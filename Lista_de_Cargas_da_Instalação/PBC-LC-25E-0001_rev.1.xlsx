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updateLinks="always" codeName="ThisWorkbook"/>
  <mc:AlternateContent xmlns:mc="http://schemas.openxmlformats.org/markup-compatibility/2006">
    <mc:Choice Requires="x15">
      <x15ac:absPath xmlns:x15ac="http://schemas.microsoft.com/office/spreadsheetml/2010/11/ac" url="F:\My Drive\1.TCC\Docs\LC\"/>
    </mc:Choice>
  </mc:AlternateContent>
  <xr:revisionPtr revIDLastSave="0" documentId="13_ncr:1_{92631638-14BB-4B87-9A4D-80972EBF6026}" xr6:coauthVersionLast="47" xr6:coauthVersionMax="47" xr10:uidLastSave="{00000000-0000-0000-0000-000000000000}"/>
  <bookViews>
    <workbookView xWindow="-108" yWindow="-108" windowWidth="23256" windowHeight="12456" tabRatio="884" xr2:uid="{00000000-000D-0000-FFFF-FFFF00000000}"/>
  </bookViews>
  <sheets>
    <sheet name="Capa" sheetId="127" r:id="rId1"/>
    <sheet name="Referências e Notas" sheetId="115" r:id="rId2"/>
    <sheet name="Lista de Cargas" sheetId="80" state="hidden" r:id="rId3"/>
    <sheet name="Lista de Carga" sheetId="150" r:id="rId4"/>
    <sheet name="Resumo LC" sheetId="153" r:id="rId5"/>
    <sheet name="Lista de Equipamentos" sheetId="152" state="hidden" r:id="rId6"/>
    <sheet name="motor" sheetId="148" state="hidden" r:id="rId7"/>
    <sheet name="partida" sheetId="149" state="hidden" r:id="rId8"/>
    <sheet name="TOMADAS" sheetId="114" state="hidden" r:id="rId9"/>
    <sheet name="PAINEL" sheetId="101" state="hidden" r:id="rId10"/>
    <sheet name="custo-cabos" sheetId="105" state="hidden" r:id="rId11"/>
    <sheet name="mc-ilum" sheetId="111" state="hidden" r:id="rId12"/>
    <sheet name="TUG-resid" sheetId="112" state="hidden" r:id="rId13"/>
  </sheets>
  <externalReferences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</externalReferences>
  <definedNames>
    <definedName name="\0" localSheetId="2">#REF!</definedName>
    <definedName name="\0" localSheetId="1">#REF!</definedName>
    <definedName name="\0">#REF!</definedName>
    <definedName name="\a">#N/A</definedName>
    <definedName name="\c" localSheetId="2">[1]Plan2!#REF!</definedName>
    <definedName name="\c" localSheetId="1">[1]Plan2!#REF!</definedName>
    <definedName name="\c">[1]Plan2!#REF!</definedName>
    <definedName name="\p" localSheetId="2">[1]Plan2!#REF!</definedName>
    <definedName name="\p" localSheetId="1">[1]Plan2!#REF!</definedName>
    <definedName name="\p">[1]Plan2!#REF!</definedName>
    <definedName name="\Q" localSheetId="2">#REF!</definedName>
    <definedName name="\Q" localSheetId="1">#REF!</definedName>
    <definedName name="\Q">#REF!</definedName>
    <definedName name="\Z" localSheetId="2">#REF!</definedName>
    <definedName name="\Z" localSheetId="1">#REF!</definedName>
    <definedName name="\Z">#REF!</definedName>
    <definedName name="______R" localSheetId="2">#REF!</definedName>
    <definedName name="______R" localSheetId="1">#REF!</definedName>
    <definedName name="______R">#REF!</definedName>
    <definedName name="_____R" localSheetId="2">#REF!</definedName>
    <definedName name="_____R" localSheetId="1">#REF!</definedName>
    <definedName name="_____R">#REF!</definedName>
    <definedName name="____R" localSheetId="2">#REF!</definedName>
    <definedName name="____R" localSheetId="1">#REF!</definedName>
    <definedName name="____R">#REF!</definedName>
    <definedName name="____VB6" localSheetId="2">#REF!</definedName>
    <definedName name="____VB6" localSheetId="1">#REF!</definedName>
    <definedName name="____VB6">#REF!</definedName>
    <definedName name="___R" localSheetId="2">'[2]Solo I'!#REF!</definedName>
    <definedName name="___R" localSheetId="1">'[2]Solo I'!#REF!</definedName>
    <definedName name="___R">'[2]Solo I'!#REF!</definedName>
    <definedName name="___VB6" localSheetId="2">#REF!</definedName>
    <definedName name="___VB6" localSheetId="1">#REF!</definedName>
    <definedName name="___VB6">#REF!</definedName>
    <definedName name="__EQP1">#REF!</definedName>
    <definedName name="__EQP2">#REF!</definedName>
    <definedName name="__EQP3">#REF!</definedName>
    <definedName name="__EQP4">#REF!</definedName>
    <definedName name="__EQP5">#REF!</definedName>
    <definedName name="__EQP6">#REF!</definedName>
    <definedName name="__R" localSheetId="2">'[2]Solo I'!#REF!</definedName>
    <definedName name="__R" localSheetId="1">'[2]Solo I'!#REF!</definedName>
    <definedName name="__R">'[2]Solo I'!#REF!</definedName>
    <definedName name="__VB6" localSheetId="2">#REF!</definedName>
    <definedName name="__VB6" localSheetId="1">#REF!</definedName>
    <definedName name="__VB6">#REF!</definedName>
    <definedName name="_1">#N/A</definedName>
    <definedName name="_1____MÃO_DE_OBRA_DIRETA">'[3]-01-MOD'!$A$1</definedName>
    <definedName name="_11">#N/A</definedName>
    <definedName name="_13.1___MATERIAL_CONSUMO">'[3]13-MAT-FERR'!$A$2</definedName>
    <definedName name="_13.2___MATERIAL_APLICAÇÃO">'[3]13-MAT-FERR'!$A$5</definedName>
    <definedName name="_13.3__FERRAMENTAS">'[3]13-MAT-FERR'!$A$39</definedName>
    <definedName name="_13____MATERIAIS_E_FERRAMENTAS">'[3]13-MAT-FERR'!$A$1</definedName>
    <definedName name="_14____MATERIAL_DE_SEGURANÇA">'[3]14-MAT.SEG '!$A$1</definedName>
    <definedName name="_15____DIVERSOS">'[3]15-DIVERSOS'!$A$1</definedName>
    <definedName name="_16.1___EQUIPAMENTOS_MAIORES">'[3]16-EQUIP.'!$A$4</definedName>
    <definedName name="_16.2___EQUIPAMENTOS_MENORES">'[3]16-EQUIP.'!$A$53</definedName>
    <definedName name="_16.3___VEÍCULOS" localSheetId="2">'[4]16-EQUIP.'!#REF!</definedName>
    <definedName name="_16.3___VEÍCULOS" localSheetId="1">'[4]16-EQUIP.'!#REF!</definedName>
    <definedName name="_16.3___VEÍCULOS">'[4]16-EQUIP.'!#REF!</definedName>
    <definedName name="_16.4___COMBÚSTIVEL" localSheetId="2">'[4]16-EQUIP.'!#REF!</definedName>
    <definedName name="_16.4___COMBÚSTIVEL" localSheetId="1">'[4]16-EQUIP.'!#REF!</definedName>
    <definedName name="_16.4___COMBÚSTIVEL">'[4]16-EQUIP.'!#REF!</definedName>
    <definedName name="_16.5___EQUIPAMENTOS_DE_ESCRITÓRIO" localSheetId="2">'[4]16-EQUIP.'!#REF!</definedName>
    <definedName name="_16.5___EQUIPAMENTOS_DE_ESCRITÓRIO" localSheetId="1">'[4]16-EQUIP.'!#REF!</definedName>
    <definedName name="_16.5___EQUIPAMENTOS_DE_ESCRITÓRIO">'[4]16-EQUIP.'!#REF!</definedName>
    <definedName name="_16___EQUIPAMENTOS">'[3]16-EQUIP.'!$A$1</definedName>
    <definedName name="_17.1_MENSALISTA">'[3]-17-MOI'!$A$5</definedName>
    <definedName name="_17.2___HORISTA">'[3]-17-MOI'!$A$95</definedName>
    <definedName name="_17___DIREÇÃO_TÉCNICA_ADMINISTRATIVA">'[3]-17-MOI'!$A$1</definedName>
    <definedName name="_18___CANTEIRO___INSTALAÇÃO___MANUTENÇÃO">'[3]-18-CANTEIRO'!$A$1</definedName>
    <definedName name="_19___TRANSPORTE_DE_PESSOAL">'[3]-19-TRANSP.PESSOAL'!$A$1</definedName>
    <definedName name="_2">#N/A</definedName>
    <definedName name="_20___MOBILIZAÇÃO___DESMOBILIZAÇÃO">'[3]-20-MOB-DESMOB '!$A$1</definedName>
    <definedName name="_21___REFEIÇÃO_REFEITÓRIO">'[3]-21-REFEICAO'!$A$1</definedName>
    <definedName name="_22">#N/A</definedName>
    <definedName name="_22___VÁRIOS">'[3]-22-VARIOS'!$A$1</definedName>
    <definedName name="_23___SERVIÇOS_DE_TERCEIROS">'[3]-23-TERCEIROS'!$A$1</definedName>
    <definedName name="_Fill" localSheetId="2" hidden="1">#REF!</definedName>
    <definedName name="_Fill" localSheetId="1" hidden="1">#REF!</definedName>
    <definedName name="_Fill" hidden="1">#REF!</definedName>
    <definedName name="_xlnm._FilterDatabase" localSheetId="3" hidden="1">'Lista de Carga'!$A$16:$Z$132</definedName>
    <definedName name="_xlnm._FilterDatabase" localSheetId="2" hidden="1">'Lista de Cargas'!$A$3:$BJ$19</definedName>
    <definedName name="_xlnm._FilterDatabase" localSheetId="5" hidden="1">'Lista de Equipamentos'!$A$2:$IY$87</definedName>
    <definedName name="_xlnm._FilterDatabase" localSheetId="11" hidden="1">'mc-ilum'!$A$2:$R$52</definedName>
    <definedName name="_xlnm._FilterDatabase" localSheetId="9" hidden="1">PAINEL!$A$2:$K$245</definedName>
    <definedName name="_xlnm._FilterDatabase" localSheetId="1" hidden="1">'Referências e Notas'!#REF!</definedName>
    <definedName name="_Order1" hidden="1">255</definedName>
    <definedName name="_Order2" hidden="1">0</definedName>
    <definedName name="_Parse_Out" localSheetId="2" hidden="1">#REF!</definedName>
    <definedName name="_Parse_Out" localSheetId="1" hidden="1">#REF!</definedName>
    <definedName name="_Parse_Out" hidden="1">#REF!</definedName>
    <definedName name="_R" localSheetId="2">'[5]Solo I'!#REF!</definedName>
    <definedName name="_R" localSheetId="1">'[5]Solo I'!#REF!</definedName>
    <definedName name="_R">'[5]Solo I'!#REF!</definedName>
    <definedName name="_Regression_X" localSheetId="2" hidden="1">#REF!</definedName>
    <definedName name="_Regression_X" localSheetId="1" hidden="1">#REF!</definedName>
    <definedName name="_Regression_X" hidden="1">#REF!</definedName>
    <definedName name="_sch10" localSheetId="5">#REF!</definedName>
    <definedName name="_sch10">#REF!</definedName>
    <definedName name="_sch100" localSheetId="5">#REF!</definedName>
    <definedName name="_sch100">#REF!</definedName>
    <definedName name="_sch120" localSheetId="5">#REF!</definedName>
    <definedName name="_sch120">#REF!</definedName>
    <definedName name="_sch140" localSheetId="5">#REF!</definedName>
    <definedName name="_sch140">#REF!</definedName>
    <definedName name="_sch160" localSheetId="5">#REF!</definedName>
    <definedName name="_sch160">#REF!</definedName>
    <definedName name="_sch2" localSheetId="5">#REF!</definedName>
    <definedName name="_sch2">#REF!</definedName>
    <definedName name="_sch20" localSheetId="5">#REF!</definedName>
    <definedName name="_sch20">#REF!</definedName>
    <definedName name="_sch30" localSheetId="5">#REF!</definedName>
    <definedName name="_sch30">#REF!</definedName>
    <definedName name="_sch40" localSheetId="5">#REF!</definedName>
    <definedName name="_sch40">#REF!</definedName>
    <definedName name="_sch5" localSheetId="5">#REF!</definedName>
    <definedName name="_sch5">#REF!</definedName>
    <definedName name="_sch60" localSheetId="5">#REF!</definedName>
    <definedName name="_sch60">#REF!</definedName>
    <definedName name="_sch80" localSheetId="5">#REF!</definedName>
    <definedName name="_sch80">#REF!</definedName>
    <definedName name="_VB6" localSheetId="2">#REF!</definedName>
    <definedName name="_VB6" localSheetId="1">#REF!</definedName>
    <definedName name="_VB6">#REF!</definedName>
    <definedName name="a" localSheetId="3">#REF!</definedName>
    <definedName name="A" localSheetId="2">#REF!</definedName>
    <definedName name="A" localSheetId="1">#REF!</definedName>
    <definedName name="A">#REF!</definedName>
    <definedName name="A_IMPRESI_N_IM" localSheetId="2">#REF!</definedName>
    <definedName name="A_IMPRESI_N_IM" localSheetId="1">#REF!</definedName>
    <definedName name="A_IMPRESI_N_IM">#REF!</definedName>
    <definedName name="A1OO" localSheetId="2">[6]LISTAGEM!#REF!</definedName>
    <definedName name="A1OO" localSheetId="1">[6]LISTAGEM!#REF!</definedName>
    <definedName name="A1OO">[6]LISTAGEM!#REF!</definedName>
    <definedName name="AA">#REF!</definedName>
    <definedName name="AA1OO" localSheetId="2">[6]LISTAGEM!#REF!</definedName>
    <definedName name="AA1OO" localSheetId="1">[6]LISTAGEM!#REF!</definedName>
    <definedName name="AA1OO">[6]LISTAGEM!#REF!</definedName>
    <definedName name="AAA" localSheetId="2">#REF!</definedName>
    <definedName name="AAA" localSheetId="1">#REF!</definedName>
    <definedName name="AAA">#REF!</definedName>
    <definedName name="AAAA" localSheetId="2">[1]Plan2!#REF!</definedName>
    <definedName name="AAAA" localSheetId="1">[1]Plan2!#REF!</definedName>
    <definedName name="AAAA">[1]Plan2!#REF!</definedName>
    <definedName name="aaaaa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aaaa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aaaa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AAAAAA" localSheetId="2">#REF!</definedName>
    <definedName name="AAAAAAA" localSheetId="1">#REF!</definedName>
    <definedName name="AAAAAAA">#REF!</definedName>
    <definedName name="AAAAAAAABBBBB" localSheetId="2">#REF!</definedName>
    <definedName name="AAAAAAAABBBBB" localSheetId="1">#REF!</definedName>
    <definedName name="AAAAAAAABBBBB">#REF!</definedName>
    <definedName name="AAB" localSheetId="2">#REF!</definedName>
    <definedName name="AAB" localSheetId="1">#REF!</definedName>
    <definedName name="AAB">#REF!</definedName>
    <definedName name="AABABBAA" localSheetId="2">#REF!</definedName>
    <definedName name="AABABBAA" localSheetId="1">#REF!</definedName>
    <definedName name="AABABBAA">#REF!</definedName>
    <definedName name="AABABBBABABAB" localSheetId="2">#REF!</definedName>
    <definedName name="AABABBBABABAB" localSheetId="1">#REF!</definedName>
    <definedName name="AABABBBABABAB">#REF!</definedName>
    <definedName name="AAC" localSheetId="2">#REF!</definedName>
    <definedName name="AAC" localSheetId="1">#REF!</definedName>
    <definedName name="AAC">#REF!</definedName>
    <definedName name="ABAABBABABBB" localSheetId="2">#REF!</definedName>
    <definedName name="ABAABBABABBB" localSheetId="1">#REF!</definedName>
    <definedName name="ABAABBABABBB">#REF!</definedName>
    <definedName name="ABABABABAB" localSheetId="2">#REF!</definedName>
    <definedName name="ABABABABAB" localSheetId="1">#REF!</definedName>
    <definedName name="ABABABABAB">#REF!</definedName>
    <definedName name="ABABABABBAB" localSheetId="2">#REF!</definedName>
    <definedName name="ABABABABBAB" localSheetId="1">#REF!</definedName>
    <definedName name="ABABABABBAB">#REF!</definedName>
    <definedName name="ABABABBAB" localSheetId="2">#REF!</definedName>
    <definedName name="ABABABBAB" localSheetId="1">#REF!</definedName>
    <definedName name="ABABABBAB">#REF!</definedName>
    <definedName name="ABABBAAB" localSheetId="2">#REF!</definedName>
    <definedName name="ABABBAAB" localSheetId="1">#REF!</definedName>
    <definedName name="ABABBAAB">#REF!</definedName>
    <definedName name="ABABBABABAB" localSheetId="2">#REF!</definedName>
    <definedName name="ABABBABABAB" localSheetId="1">#REF!</definedName>
    <definedName name="ABABBABABAB">#REF!</definedName>
    <definedName name="ABABBBABBA" localSheetId="2">#REF!</definedName>
    <definedName name="ABABBBABBA" localSheetId="1">#REF!</definedName>
    <definedName name="ABABBBABBA">#REF!</definedName>
    <definedName name="ABB" localSheetId="2">#REF!</definedName>
    <definedName name="ABB" localSheetId="1">#REF!</definedName>
    <definedName name="ABB">#REF!</definedName>
    <definedName name="ABBAABBABAB" localSheetId="2">#REF!</definedName>
    <definedName name="ABBAABBABAB" localSheetId="1">#REF!</definedName>
    <definedName name="ABBAABBABAB">#REF!</definedName>
    <definedName name="ABBABABABB" localSheetId="2">#REF!</definedName>
    <definedName name="ABBABABABB" localSheetId="1">#REF!</definedName>
    <definedName name="ABBABABABB">#REF!</definedName>
    <definedName name="ABBB" localSheetId="2">#REF!</definedName>
    <definedName name="ABBB" localSheetId="1">#REF!</definedName>
    <definedName name="ABBB">#REF!</definedName>
    <definedName name="ABBBAABABBBB" localSheetId="2">#REF!</definedName>
    <definedName name="ABBBAABABBBB" localSheetId="1">#REF!</definedName>
    <definedName name="ABBBAABABBBB">#REF!</definedName>
    <definedName name="ABBBBB" localSheetId="2">#REF!</definedName>
    <definedName name="ABBBBB" localSheetId="1">#REF!</definedName>
    <definedName name="ABBBBB">#REF!</definedName>
    <definedName name="ABBBBBBBBBBBBB" localSheetId="2">#REF!</definedName>
    <definedName name="ABBBBBBBBBBBBB" localSheetId="1">#REF!</definedName>
    <definedName name="ABBBBBBBBBBBBB">#REF!</definedName>
    <definedName name="ABBBBBBBBBBBBBB" localSheetId="2">#REF!</definedName>
    <definedName name="ABBBBBBBBBBBBBB" localSheetId="1">#REF!</definedName>
    <definedName name="ABBBBBBBBBBBBBB">#REF!</definedName>
    <definedName name="ABCD" localSheetId="2">#REF!</definedName>
    <definedName name="ABCD" localSheetId="1">#REF!</definedName>
    <definedName name="ABCD">#REF!</definedName>
    <definedName name="ADALBERTO" localSheetId="2">[1]Plan2!#REF!</definedName>
    <definedName name="ADALBERTO" localSheetId="1">[1]Plan2!#REF!</definedName>
    <definedName name="ADALBERTO">[1]Plan2!#REF!</definedName>
    <definedName name="AI">#REF!</definedName>
    <definedName name="AJUDA">[3]Ajuda!$B$3</definedName>
    <definedName name="Ajudante" localSheetId="2">#REF!</definedName>
    <definedName name="Ajudante" localSheetId="1">#REF!</definedName>
    <definedName name="Ajudante">#REF!</definedName>
    <definedName name="Andaimes" localSheetId="2">#REF!</definedName>
    <definedName name="Andaimes" localSheetId="1">#REF!</definedName>
    <definedName name="Andaimes">#REF!</definedName>
    <definedName name="Apoio" localSheetId="2">#REF!</definedName>
    <definedName name="Apoio" localSheetId="1">#REF!</definedName>
    <definedName name="Apoio">#REF!</definedName>
    <definedName name="_xlnm.Print_Area" localSheetId="0">Capa!$A$1:$BA$37</definedName>
    <definedName name="_xlnm.Print_Area" localSheetId="3">'Lista de Carga'!$A$1:$Z$132</definedName>
    <definedName name="_xlnm.Print_Area" localSheetId="2">'Lista de Cargas'!$A$1:$AC$19</definedName>
    <definedName name="_xlnm.Print_Area" localSheetId="5">'Lista de Equipamentos'!$A$1:$AO$87</definedName>
    <definedName name="_xlnm.Print_Area">#REF!</definedName>
    <definedName name="Área_impressão_IM">#N/A</definedName>
    <definedName name="AreaEightThreeZero" localSheetId="2">[7]Estimate!#REF!</definedName>
    <definedName name="AreaEightThreeZero" localSheetId="1">[7]Estimate!#REF!</definedName>
    <definedName name="AreaEightThreeZero">[7]Estimate!#REF!</definedName>
    <definedName name="AreaFiveOneZero" localSheetId="2">[7]Estimate!#REF!</definedName>
    <definedName name="AreaFiveOneZero" localSheetId="1">[7]Estimate!#REF!</definedName>
    <definedName name="AreaFiveOneZero">[7]Estimate!#REF!</definedName>
    <definedName name="AreaFiveSevenZero" localSheetId="2">[7]Estimate!#REF!</definedName>
    <definedName name="AreaFiveSevenZero" localSheetId="1">[7]Estimate!#REF!</definedName>
    <definedName name="AreaFiveSevenZero">[7]Estimate!#REF!</definedName>
    <definedName name="AreaFiveTwoZero" localSheetId="2">[7]Estimate!#REF!</definedName>
    <definedName name="AreaFiveTwoZero" localSheetId="1">[7]Estimate!#REF!</definedName>
    <definedName name="AreaFiveTwoZero">[7]Estimate!#REF!</definedName>
    <definedName name="AreaFourFourZero" localSheetId="2">[7]Estimate!#REF!</definedName>
    <definedName name="AreaFourFourZero" localSheetId="1">[7]Estimate!#REF!</definedName>
    <definedName name="AreaFourFourZero">[7]Estimate!#REF!</definedName>
    <definedName name="AreaFourOneZero" localSheetId="2">[7]Estimate!#REF!</definedName>
    <definedName name="AreaFourOneZero" localSheetId="1">[7]Estimate!#REF!</definedName>
    <definedName name="AreaFourOneZero">[7]Estimate!#REF!</definedName>
    <definedName name="AreaFourTwoZero" localSheetId="2">[7]Estimate!#REF!</definedName>
    <definedName name="AreaFourTwoZero" localSheetId="1">[7]Estimate!#REF!</definedName>
    <definedName name="AreaFourTwoZero">[7]Estimate!#REF!</definedName>
    <definedName name="AreaNineEightFour" localSheetId="2">[7]Estimate!#REF!</definedName>
    <definedName name="AreaNineEightFour" localSheetId="1">[7]Estimate!#REF!</definedName>
    <definedName name="AreaNineEightFour">[7]Estimate!#REF!</definedName>
    <definedName name="AreaNineEightTwo" localSheetId="2">[7]Estimate!#REF!</definedName>
    <definedName name="AreaNineEightTwo" localSheetId="1">[7]Estimate!#REF!</definedName>
    <definedName name="AreaNineEightTwo">[7]Estimate!#REF!</definedName>
    <definedName name="AreaNineEightZero" localSheetId="2">[7]Estimate!#REF!</definedName>
    <definedName name="AreaNineEightZero" localSheetId="1">[7]Estimate!#REF!</definedName>
    <definedName name="AreaNineEightZero">[7]Estimate!#REF!</definedName>
    <definedName name="AreaNineFourZero" localSheetId="2">[7]Estimate!#REF!</definedName>
    <definedName name="AreaNineFourZero" localSheetId="1">[7]Estimate!#REF!</definedName>
    <definedName name="AreaNineFourZero">[7]Estimate!#REF!</definedName>
    <definedName name="AreaNineNineZero" localSheetId="2">[7]Estimate!#REF!</definedName>
    <definedName name="AreaNineNineZero" localSheetId="1">[7]Estimate!#REF!</definedName>
    <definedName name="AreaNineNineZero">[7]Estimate!#REF!</definedName>
    <definedName name="AreaNineSixZero" localSheetId="2">[7]Estimate!#REF!</definedName>
    <definedName name="AreaNineSixZero" localSheetId="1">[7]Estimate!#REF!</definedName>
    <definedName name="AreaNineSixZero">[7]Estimate!#REF!</definedName>
    <definedName name="AreaNineThreeZero" localSheetId="2">[7]Estimate!#REF!</definedName>
    <definedName name="AreaNineThreeZero" localSheetId="1">[7]Estimate!#REF!</definedName>
    <definedName name="AreaNineThreeZero">[7]Estimate!#REF!</definedName>
    <definedName name="AreaNineTwoZero" localSheetId="2">[7]Estimate!#REF!</definedName>
    <definedName name="AreaNineTwoZero" localSheetId="1">[7]Estimate!#REF!</definedName>
    <definedName name="AreaNineTwoZero">[7]Estimate!#REF!</definedName>
    <definedName name="AreaOneOneZero" localSheetId="2">[7]Estimate!#REF!</definedName>
    <definedName name="AreaOneOneZero" localSheetId="1">[7]Estimate!#REF!</definedName>
    <definedName name="AreaOneOneZero">[7]Estimate!#REF!</definedName>
    <definedName name="AreaOneThreeZero" localSheetId="2">[7]Estimate!#REF!</definedName>
    <definedName name="AreaOneThreeZero" localSheetId="1">[7]Estimate!#REF!</definedName>
    <definedName name="AreaOneThreeZero">[7]Estimate!#REF!</definedName>
    <definedName name="AreaOneTwoZero" localSheetId="2">[7]Estimate!#REF!</definedName>
    <definedName name="AreaOneTwoZero" localSheetId="1">[7]Estimate!#REF!</definedName>
    <definedName name="AreaOneTwoZero">[7]Estimate!#REF!</definedName>
    <definedName name="AreaSevenFiveZero" localSheetId="2">[7]Estimate!#REF!</definedName>
    <definedName name="AreaSevenFiveZero" localSheetId="1">[7]Estimate!#REF!</definedName>
    <definedName name="AreaSevenFiveZero">[7]Estimate!#REF!</definedName>
    <definedName name="AreaSevenFourZero" localSheetId="2">[7]Estimate!#REF!</definedName>
    <definedName name="AreaSevenFourZero" localSheetId="1">[7]Estimate!#REF!</definedName>
    <definedName name="AreaSevenFourZero">[7]Estimate!#REF!</definedName>
    <definedName name="AreaThreeFiveFive" localSheetId="2">[7]Estimate!#REF!</definedName>
    <definedName name="AreaThreeFiveFive" localSheetId="1">[7]Estimate!#REF!</definedName>
    <definedName name="AreaThreeFiveFive">[7]Estimate!#REF!</definedName>
    <definedName name="AreaThreeFiveFour" localSheetId="2">[7]Estimate!#REF!</definedName>
    <definedName name="AreaThreeFiveFour" localSheetId="1">[7]Estimate!#REF!</definedName>
    <definedName name="AreaThreeFiveFour">[7]Estimate!#REF!</definedName>
    <definedName name="AreaThreeFiveOne" localSheetId="2">[7]Estimate!#REF!</definedName>
    <definedName name="AreaThreeFiveOne" localSheetId="1">[7]Estimate!#REF!</definedName>
    <definedName name="AreaThreeFiveOne">[7]Estimate!#REF!</definedName>
    <definedName name="AreaThreeFiveSeven" localSheetId="2">[7]Estimate!#REF!</definedName>
    <definedName name="AreaThreeFiveSeven" localSheetId="1">[7]Estimate!#REF!</definedName>
    <definedName name="AreaThreeFiveSeven">[7]Estimate!#REF!</definedName>
    <definedName name="AreaThreeFiveSix" localSheetId="2">[7]Estimate!#REF!</definedName>
    <definedName name="AreaThreeFiveSix" localSheetId="1">[7]Estimate!#REF!</definedName>
    <definedName name="AreaThreeFiveSix">[7]Estimate!#REF!</definedName>
    <definedName name="AreaThreeFiveThree" localSheetId="2">[7]Estimate!#REF!</definedName>
    <definedName name="AreaThreeFiveThree" localSheetId="1">[7]Estimate!#REF!</definedName>
    <definedName name="AreaThreeFiveThree">[7]Estimate!#REF!</definedName>
    <definedName name="AreaThreeFiveTwo" localSheetId="2">[7]Estimate!#REF!</definedName>
    <definedName name="AreaThreeFiveTwo" localSheetId="1">[7]Estimate!#REF!</definedName>
    <definedName name="AreaThreeFiveTwo">[7]Estimate!#REF!</definedName>
    <definedName name="AreaThreeNineZero" localSheetId="2">[7]Estimate!#REF!</definedName>
    <definedName name="AreaThreeNineZero" localSheetId="1">[7]Estimate!#REF!</definedName>
    <definedName name="AreaThreeNineZero">[7]Estimate!#REF!</definedName>
    <definedName name="AreaThreeSevenFive" localSheetId="2">[7]Estimate!#REF!</definedName>
    <definedName name="AreaThreeSevenFive" localSheetId="1">[7]Estimate!#REF!</definedName>
    <definedName name="AreaThreeSevenFive">[7]Estimate!#REF!</definedName>
    <definedName name="AreaThreeSevenFour" localSheetId="2">[7]Estimate!#REF!</definedName>
    <definedName name="AreaThreeSevenFour" localSheetId="1">[7]Estimate!#REF!</definedName>
    <definedName name="AreaThreeSevenFour">[7]Estimate!#REF!</definedName>
    <definedName name="AreaThreeSevenOne" localSheetId="2">[7]Estimate!#REF!</definedName>
    <definedName name="AreaThreeSevenOne" localSheetId="1">[7]Estimate!#REF!</definedName>
    <definedName name="AreaThreeSevenOne">[7]Estimate!#REF!</definedName>
    <definedName name="AreaThreeSevenThree" localSheetId="2">[7]Estimate!#REF!</definedName>
    <definedName name="AreaThreeSevenThree" localSheetId="1">[7]Estimate!#REF!</definedName>
    <definedName name="AreaThreeSevenThree">[7]Estimate!#REF!</definedName>
    <definedName name="AreaThreeThreeFive" localSheetId="2">[7]Estimate!#REF!</definedName>
    <definedName name="AreaThreeThreeFive" localSheetId="1">[7]Estimate!#REF!</definedName>
    <definedName name="AreaThreeThreeFive">[7]Estimate!#REF!</definedName>
    <definedName name="AreaThreeThreeFour" localSheetId="2">[7]Estimate!#REF!</definedName>
    <definedName name="AreaThreeThreeFour" localSheetId="1">[7]Estimate!#REF!</definedName>
    <definedName name="AreaThreeThreeFour">[7]Estimate!#REF!</definedName>
    <definedName name="AreaThreeThreeOne" localSheetId="2">[7]Estimate!#REF!</definedName>
    <definedName name="AreaThreeThreeOne" localSheetId="1">[7]Estimate!#REF!</definedName>
    <definedName name="AreaThreeThreeOne">[7]Estimate!#REF!</definedName>
    <definedName name="AreaThreeThreeSix" localSheetId="2">[7]Estimate!#REF!</definedName>
    <definedName name="AreaThreeThreeSix" localSheetId="1">[7]Estimate!#REF!</definedName>
    <definedName name="AreaThreeThreeSix">[7]Estimate!#REF!</definedName>
    <definedName name="AreaThreeThreeThree" localSheetId="2">[7]Estimate!#REF!</definedName>
    <definedName name="AreaThreeThreeThree" localSheetId="1">[7]Estimate!#REF!</definedName>
    <definedName name="AreaThreeThreeThree">[7]Estimate!#REF!</definedName>
    <definedName name="AreaThreeThreeTwo" localSheetId="2">[7]Estimate!#REF!</definedName>
    <definedName name="AreaThreeThreeTwo" localSheetId="1">[7]Estimate!#REF!</definedName>
    <definedName name="AreaThreeThreeTwo">[7]Estimate!#REF!</definedName>
    <definedName name="AreaThreeTwoOne" localSheetId="2">[7]Estimate!#REF!</definedName>
    <definedName name="AreaThreeTwoOne" localSheetId="1">[7]Estimate!#REF!</definedName>
    <definedName name="AreaThreeTwoOne">[7]Estimate!#REF!</definedName>
    <definedName name="AreaThreeTwoTwo" localSheetId="2">[7]Estimate!#REF!</definedName>
    <definedName name="AreaThreeTwoTwo" localSheetId="1">[7]Estimate!#REF!</definedName>
    <definedName name="AreaThreeTwoTwo">[7]Estimate!#REF!</definedName>
    <definedName name="AreaTwoEightZero" localSheetId="2">[7]Estimate!#REF!</definedName>
    <definedName name="AreaTwoEightZero" localSheetId="1">[7]Estimate!#REF!</definedName>
    <definedName name="AreaTwoEightZero">[7]Estimate!#REF!</definedName>
    <definedName name="AreaTwoFiveZero" localSheetId="2">[7]Estimate!#REF!</definedName>
    <definedName name="AreaTwoFiveZero" localSheetId="1">[7]Estimate!#REF!</definedName>
    <definedName name="AreaTwoFiveZero">[7]Estimate!#REF!</definedName>
    <definedName name="AreaTwoFourZero" localSheetId="2">[7]Estimate!#REF!</definedName>
    <definedName name="AreaTwoFourZero" localSheetId="1">[7]Estimate!#REF!</definedName>
    <definedName name="AreaTwoFourZero">[7]Estimate!#REF!</definedName>
    <definedName name="AreaTwoOneZero" localSheetId="2">[7]Estimate!#REF!</definedName>
    <definedName name="AreaTwoOneZero" localSheetId="1">[7]Estimate!#REF!</definedName>
    <definedName name="AreaTwoOneZero">[7]Estimate!#REF!</definedName>
    <definedName name="AreaTwoThreeZero" localSheetId="2">[7]Estimate!#REF!</definedName>
    <definedName name="AreaTwoThreeZero" localSheetId="1">[7]Estimate!#REF!</definedName>
    <definedName name="AreaTwoThreeZero">[7]Estimate!#REF!</definedName>
    <definedName name="AreaTwoTwoZero" localSheetId="2">[7]Estimate!#REF!</definedName>
    <definedName name="AreaTwoTwoZero" localSheetId="1">[7]Estimate!#REF!</definedName>
    <definedName name="AreaTwoTwoZero">[7]Estimate!#REF!</definedName>
    <definedName name="Armador" localSheetId="2">#REF!</definedName>
    <definedName name="Armador" localSheetId="1">#REF!</definedName>
    <definedName name="Armador">#REF!</definedName>
    <definedName name="At">[8]Ingles!$H$7:$H$202</definedName>
    <definedName name="auxiliar" localSheetId="2">#REF!</definedName>
    <definedName name="auxiliar" localSheetId="1">#REF!</definedName>
    <definedName name="auxiliar">#REF!</definedName>
    <definedName name="AVIÃO">[9]FCAC!$L$3</definedName>
    <definedName name="b" localSheetId="3">#REF!</definedName>
    <definedName name="b">#REF!</definedName>
    <definedName name="BAAABABAB" localSheetId="2">#REF!</definedName>
    <definedName name="BAAABABAB" localSheetId="1">#REF!</definedName>
    <definedName name="BAAABABAB">#REF!</definedName>
    <definedName name="BAABABABBAAB" localSheetId="2">#REF!</definedName>
    <definedName name="BAABABABBAAB" localSheetId="1">#REF!</definedName>
    <definedName name="BAABABABBAAB">#REF!</definedName>
    <definedName name="BAABBAABBABB" localSheetId="2">#REF!</definedName>
    <definedName name="BAABBAABBABB" localSheetId="1">#REF!</definedName>
    <definedName name="BAABBAABBABB">#REF!</definedName>
    <definedName name="BABAABABABBB" localSheetId="2">#REF!</definedName>
    <definedName name="BABAABABABBB" localSheetId="1">#REF!</definedName>
    <definedName name="BABAABABABBB">#REF!</definedName>
    <definedName name="BABAABABB" localSheetId="2">#REF!</definedName>
    <definedName name="BABAABABB" localSheetId="1">#REF!</definedName>
    <definedName name="BABAABABB">#REF!</definedName>
    <definedName name="BABAABBB" localSheetId="2">#REF!</definedName>
    <definedName name="BABAABBB" localSheetId="1">#REF!</definedName>
    <definedName name="BABAABBB">#REF!</definedName>
    <definedName name="BABABABAB" localSheetId="2">#REF!</definedName>
    <definedName name="BABABABAB" localSheetId="1">#REF!</definedName>
    <definedName name="BABABABAB">#REF!</definedName>
    <definedName name="BABABABABAAB" localSheetId="2">#REF!</definedName>
    <definedName name="BABABABABAAB" localSheetId="1">#REF!</definedName>
    <definedName name="BABABABABAAB">#REF!</definedName>
    <definedName name="BABABABABAB" localSheetId="2">#REF!</definedName>
    <definedName name="BABABABABAB" localSheetId="1">#REF!</definedName>
    <definedName name="BABABABABAB">#REF!</definedName>
    <definedName name="BABABABABABA" localSheetId="2">#REF!</definedName>
    <definedName name="BABABABABABA" localSheetId="1">#REF!</definedName>
    <definedName name="BABABABABABA">#REF!</definedName>
    <definedName name="BABABABBABB" localSheetId="2">#REF!</definedName>
    <definedName name="BABABABBABB" localSheetId="1">#REF!</definedName>
    <definedName name="BABABABBABB">#REF!</definedName>
    <definedName name="BABABABBB" localSheetId="2">#REF!</definedName>
    <definedName name="BABABABBB" localSheetId="1">#REF!</definedName>
    <definedName name="BABABABBB">#REF!</definedName>
    <definedName name="BABABBBB" localSheetId="2">#REF!</definedName>
    <definedName name="BABABBBB" localSheetId="1">#REF!</definedName>
    <definedName name="BABABBBB">#REF!</definedName>
    <definedName name="BABBABABA" localSheetId="2">#REF!</definedName>
    <definedName name="BABBABABA" localSheetId="1">#REF!</definedName>
    <definedName name="BABBABABA">#REF!</definedName>
    <definedName name="BABBABABAAB" localSheetId="2">#REF!</definedName>
    <definedName name="BABBABABAAB" localSheetId="1">#REF!</definedName>
    <definedName name="BABBABABAAB">#REF!</definedName>
    <definedName name="_xlnm.Database" localSheetId="2">#REF!</definedName>
    <definedName name="_xlnm.Database" localSheetId="1">#REF!</definedName>
    <definedName name="_xlnm.Database">#REF!</definedName>
    <definedName name="BANGLADESH" localSheetId="2">#REF!</definedName>
    <definedName name="BANGLADESH" localSheetId="1">#REF!</definedName>
    <definedName name="BANGLADESH">#REF!</definedName>
    <definedName name="ba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BAABABABBA" localSheetId="2">#REF!</definedName>
    <definedName name="BBAABABABBA" localSheetId="1">#REF!</definedName>
    <definedName name="BBAABABABBA">#REF!</definedName>
    <definedName name="BBAABBAABAB" localSheetId="2">#REF!</definedName>
    <definedName name="BBAABBAABAB" localSheetId="1">#REF!</definedName>
    <definedName name="BBAABBAABAB">#REF!</definedName>
    <definedName name="BBAABBAABB" localSheetId="2">#REF!</definedName>
    <definedName name="BBAABBAABB" localSheetId="1">#REF!</definedName>
    <definedName name="BBAABBAABB">#REF!</definedName>
    <definedName name="BBAABBBABA" localSheetId="2">#REF!</definedName>
    <definedName name="BBAABBBABA" localSheetId="1">#REF!</definedName>
    <definedName name="BBAABBBABA">#REF!</definedName>
    <definedName name="BBABAABABAB" localSheetId="2">#REF!</definedName>
    <definedName name="BBABAABABAB" localSheetId="1">#REF!</definedName>
    <definedName name="BBABAABABAB">#REF!</definedName>
    <definedName name="BBABABBBBA" localSheetId="2">#REF!</definedName>
    <definedName name="BBABABBBBA" localSheetId="1">#REF!</definedName>
    <definedName name="BBABABBBBA">#REF!</definedName>
    <definedName name="BBB" localSheetId="2">#REF!</definedName>
    <definedName name="BBB" localSheetId="1">#REF!</definedName>
    <definedName name="BBB">#REF!</definedName>
    <definedName name="BBC" localSheetId="2">#REF!</definedName>
    <definedName name="BBC" localSheetId="1">#REF!</definedName>
    <definedName name="BBC">#REF!</definedName>
    <definedName name="BBD" localSheetId="2">#REF!</definedName>
    <definedName name="BBD" localSheetId="1">#REF!</definedName>
    <definedName name="BBD">#REF!</definedName>
    <definedName name="BBE" localSheetId="2">#REF!</definedName>
    <definedName name="BBE" localSheetId="1">#REF!</definedName>
    <definedName name="BBE">#REF!</definedName>
    <definedName name="BBF" localSheetId="2">#REF!</definedName>
    <definedName name="BBF" localSheetId="1">#REF!</definedName>
    <definedName name="BBF">#REF!</definedName>
    <definedName name="BBG" localSheetId="2">#REF!</definedName>
    <definedName name="BBG" localSheetId="1">#REF!</definedName>
    <definedName name="BBG">#REF!</definedName>
    <definedName name="BBH" localSheetId="2">#REF!</definedName>
    <definedName name="BBH" localSheetId="1">#REF!</definedName>
    <definedName name="BBH">#REF!</definedName>
    <definedName name="BBI" localSheetId="2">#REF!</definedName>
    <definedName name="BBI" localSheetId="1">#REF!</definedName>
    <definedName name="BBI">#REF!</definedName>
    <definedName name="BBJ" localSheetId="2">#REF!</definedName>
    <definedName name="BBJ" localSheetId="1">#REF!</definedName>
    <definedName name="BBJ">#REF!</definedName>
    <definedName name="BBK" localSheetId="2">#REF!</definedName>
    <definedName name="BBK" localSheetId="1">#REF!</definedName>
    <definedName name="BBK">#REF!</definedName>
    <definedName name="BBL" localSheetId="2">#REF!</definedName>
    <definedName name="BBL" localSheetId="1">#REF!</definedName>
    <definedName name="BBL">#REF!</definedName>
    <definedName name="BBM" localSheetId="2">#REF!</definedName>
    <definedName name="BBM" localSheetId="1">#REF!</definedName>
    <definedName name="BBM">#REF!</definedName>
    <definedName name="BQ_TABLE1">#N/A</definedName>
    <definedName name="BRITAGEM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ca">[10]Estimate!$D$350:$AC$1155</definedName>
    <definedName name="Calafate" localSheetId="2">#REF!</definedName>
    <definedName name="Calafate" localSheetId="1">#REF!</definedName>
    <definedName name="Calafate">#REF!</definedName>
    <definedName name="Caldeireiro" localSheetId="2">#REF!</definedName>
    <definedName name="Caldeireiro" localSheetId="1">#REF!</definedName>
    <definedName name="Caldeireiro">#REF!</definedName>
    <definedName name="campo1">[1]Plan3!$D$9:$D$9</definedName>
    <definedName name="capamc2" localSheetId="2">#REF!</definedName>
    <definedName name="capamc2" localSheetId="1">#REF!</definedName>
    <definedName name="capamc2">#REF!</definedName>
    <definedName name="capamc3" localSheetId="2">#REF!</definedName>
    <definedName name="capamc3" localSheetId="1">#REF!</definedName>
    <definedName name="capamc3">#REF!</definedName>
    <definedName name="CAPAMC4" localSheetId="2">#REF!</definedName>
    <definedName name="CAPAMC4" localSheetId="1">#REF!</definedName>
    <definedName name="CAPAMC4">#REF!</definedName>
    <definedName name="CAPAMC5TG" localSheetId="2">#REF!</definedName>
    <definedName name="CAPAMC5TG" localSheetId="1">#REF!</definedName>
    <definedName name="CAPAMC5TG">#REF!</definedName>
    <definedName name="capanom" localSheetId="2">#REF!</definedName>
    <definedName name="capanom" localSheetId="1">#REF!</definedName>
    <definedName name="capanom">#REF!</definedName>
    <definedName name="capatc2" localSheetId="2">#REF!</definedName>
    <definedName name="capatc2" localSheetId="1">#REF!</definedName>
    <definedName name="capatc2">#REF!</definedName>
    <definedName name="capatc3" localSheetId="2">#REF!</definedName>
    <definedName name="capatc3" localSheetId="1">#REF!</definedName>
    <definedName name="capatc3">#REF!</definedName>
    <definedName name="CAPATC4" localSheetId="2">#REF!</definedName>
    <definedName name="CAPATC4" localSheetId="1">#REF!</definedName>
    <definedName name="CAPATC4">#REF!</definedName>
    <definedName name="capatg2" localSheetId="2">#REF!</definedName>
    <definedName name="capatg2" localSheetId="1">#REF!</definedName>
    <definedName name="capatg2">#REF!</definedName>
    <definedName name="CAPATG3" localSheetId="2">#REF!</definedName>
    <definedName name="CAPATG3" localSheetId="1">#REF!</definedName>
    <definedName name="CAPATG3">#REF!</definedName>
    <definedName name="capatg4" localSheetId="2">#REF!</definedName>
    <definedName name="capatg4" localSheetId="1">#REF!</definedName>
    <definedName name="capatg4">#REF!</definedName>
    <definedName name="Carpinteiro" localSheetId="2">#REF!</definedName>
    <definedName name="Carpinteiro" localSheetId="1">#REF!</definedName>
    <definedName name="Carpinteiro">#REF!</definedName>
    <definedName name="Carvoeiro" localSheetId="2">#REF!</definedName>
    <definedName name="Carvoeiro" localSheetId="1">#REF!</definedName>
    <definedName name="Carvoeiro">#REF!</definedName>
    <definedName name="CASH_FLOW">[3]CASH_FLOW!$B$6</definedName>
    <definedName name="Category" localSheetId="2">#REF!</definedName>
    <definedName name="Category" localSheetId="1">#REF!</definedName>
    <definedName name="Category">#REF!</definedName>
    <definedName name="CCC" localSheetId="2">#REF!</definedName>
    <definedName name="CCC" localSheetId="1">#REF!</definedName>
    <definedName name="CCC">#REF!</definedName>
    <definedName name="ccccc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cccc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cccc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ccc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CD" localSheetId="2">#REF!</definedName>
    <definedName name="CCD" localSheetId="1">#REF!</definedName>
    <definedName name="CCD">#REF!</definedName>
    <definedName name="CCE" localSheetId="2">#REF!</definedName>
    <definedName name="CCE" localSheetId="1">#REF!</definedName>
    <definedName name="CCE">#REF!</definedName>
    <definedName name="CCF" localSheetId="2">#REF!</definedName>
    <definedName name="CCF" localSheetId="1">#REF!</definedName>
    <definedName name="CCF">#REF!</definedName>
    <definedName name="CCM" localSheetId="2">#REF!</definedName>
    <definedName name="CCM" localSheetId="1">#REF!</definedName>
    <definedName name="CCM">#REF!</definedName>
    <definedName name="CFM" localSheetId="2">#REF!</definedName>
    <definedName name="CFM" localSheetId="1">#REF!</definedName>
    <definedName name="CFM">#REF!</definedName>
    <definedName name="CFU" localSheetId="2">#REF!</definedName>
    <definedName name="CFU" localSheetId="1">#REF!</definedName>
    <definedName name="CFU">#REF!</definedName>
    <definedName name="Class_Room">#REF!</definedName>
    <definedName name="Class_Zone">#REF!</definedName>
    <definedName name="CLIENTE">#REF!</definedName>
    <definedName name="CODIGO" localSheetId="2">#REF!</definedName>
    <definedName name="CODIGO" localSheetId="1">#REF!</definedName>
    <definedName name="CODIGO">#REF!</definedName>
    <definedName name="COMI" localSheetId="2">#REF!</definedName>
    <definedName name="COMI" localSheetId="1">#REF!</definedName>
    <definedName name="COMI">#REF!</definedName>
    <definedName name="COMPRAS">[11]FCAC!$F$5</definedName>
    <definedName name="concorrentes" localSheetId="0" hidden="1">{#N/A,#N/A,FALSE,"Cronograma";#N/A,#N/A,FALSE,"Cronogr. 2"}</definedName>
    <definedName name="concorrentes" localSheetId="2" hidden="1">{#N/A,#N/A,FALSE,"Cronograma";#N/A,#N/A,FALSE,"Cronogr. 2"}</definedName>
    <definedName name="concorrentes" localSheetId="1" hidden="1">{#N/A,#N/A,FALSE,"Cronograma";#N/A,#N/A,FALSE,"Cronogr. 2"}</definedName>
    <definedName name="concorrentes" hidden="1">{#N/A,#N/A,FALSE,"Cronograma";#N/A,#N/A,FALSE,"Cronogr. 2"}</definedName>
    <definedName name="confmc" localSheetId="2">[12]Cap7!#REF!</definedName>
    <definedName name="confmc" localSheetId="1">[12]Cap7!#REF!</definedName>
    <definedName name="confmc">[12]Cap7!#REF!</definedName>
    <definedName name="conftc" localSheetId="2">[12]Cap7!#REF!</definedName>
    <definedName name="conftc" localSheetId="1">[12]Cap7!#REF!</definedName>
    <definedName name="conftc">[12]Cap7!#REF!</definedName>
    <definedName name="conftg" localSheetId="2">[12]Cap7!#REF!</definedName>
    <definedName name="conftg" localSheetId="1">[12]Cap7!#REF!</definedName>
    <definedName name="conftg">[12]Cap7!#REF!</definedName>
    <definedName name="Consumer_Type">#REF!</definedName>
    <definedName name="CONT1" localSheetId="2">[7]Estimate!#REF!</definedName>
    <definedName name="CONT1" localSheetId="1">[7]Estimate!#REF!</definedName>
    <definedName name="CONT1">[7]Estimate!#REF!</definedName>
    <definedName name="CONT2" localSheetId="2">[7]Estimate!#REF!</definedName>
    <definedName name="CONT2" localSheetId="1">[7]Estimate!#REF!</definedName>
    <definedName name="CONT2">[7]Estimate!#REF!</definedName>
    <definedName name="CONT3" localSheetId="2">[7]Estimate!#REF!</definedName>
    <definedName name="CONT3" localSheetId="1">[7]Estimate!#REF!</definedName>
    <definedName name="CONT3">[7]Estimate!#REF!</definedName>
    <definedName name="CONT4" localSheetId="2">[7]Estimate!#REF!</definedName>
    <definedName name="CONT4" localSheetId="1">[7]Estimate!#REF!</definedName>
    <definedName name="CONT4">[7]Estimate!#REF!</definedName>
    <definedName name="CONT5" localSheetId="2">[7]Estimate!#REF!</definedName>
    <definedName name="CONT5" localSheetId="1">[7]Estimate!#REF!</definedName>
    <definedName name="CONT5">[7]Estimate!#REF!</definedName>
    <definedName name="CONT6" localSheetId="2">[7]Estimate!#REF!</definedName>
    <definedName name="CONT6" localSheetId="1">[7]Estimate!#REF!</definedName>
    <definedName name="CONT6">[7]Estimate!#REF!</definedName>
    <definedName name="CONT7" localSheetId="2">[7]Estimate!#REF!</definedName>
    <definedName name="CONT7" localSheetId="1">[7]Estimate!#REF!</definedName>
    <definedName name="CONT7">[7]Estimate!#REF!</definedName>
    <definedName name="CONT8" localSheetId="2">[7]Estimate!#REF!</definedName>
    <definedName name="CONT8" localSheetId="1">[7]Estimate!#REF!</definedName>
    <definedName name="CONT8">[7]Estimate!#REF!</definedName>
    <definedName name="CONT9" localSheetId="2">[7]Estimate!#REF!</definedName>
    <definedName name="CONT9" localSheetId="1">[7]Estimate!#REF!</definedName>
    <definedName name="CONT9">[7]Estimate!#REF!</definedName>
    <definedName name="CONTRATO">#REF!</definedName>
    <definedName name="CPV" localSheetId="2">#REF!</definedName>
    <definedName name="CPV" localSheetId="1">#REF!</definedName>
    <definedName name="CPV">#REF!</definedName>
    <definedName name="CRN_FIS" localSheetId="2">#REF!</definedName>
    <definedName name="CRN_FIS" localSheetId="1">#REF!</definedName>
    <definedName name="CRN_FIS">#REF!</definedName>
    <definedName name="cRO">#REF!</definedName>
    <definedName name="ct" localSheetId="2">#REF!</definedName>
    <definedName name="ct" localSheetId="1">#REF!</definedName>
    <definedName name="ct">#REF!</definedName>
    <definedName name="cu" localSheetId="2">#REF!</definedName>
    <definedName name="cu" localSheetId="1">#REF!</definedName>
    <definedName name="cu">#REF!</definedName>
    <definedName name="CUSTO" localSheetId="2">#REF!</definedName>
    <definedName name="CUSTO" localSheetId="1">#REF!</definedName>
    <definedName name="CUSTO">#REF!</definedName>
    <definedName name="CUSTO_DE_COMBUSTÍVEL_E_LUFRIFICANTES">'[3]16-CUSTO_EQUIPTO'!$A$1</definedName>
    <definedName name="D">#N/A</definedName>
    <definedName name="DADOS">[3]DADOS!$A$1</definedName>
    <definedName name="DATA">[9]FCAC!$P$1</definedName>
    <definedName name="DataInício">[13]cálculos!$D$28</definedName>
    <definedName name="DayRails">JanelaDataInício+ROW(#REF!)-1</definedName>
    <definedName name="DDD" localSheetId="2">#REF!</definedName>
    <definedName name="DDD" localSheetId="1">#REF!</definedName>
    <definedName name="DDD">#REF!</definedName>
    <definedName name="dddd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ddd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dddd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ddd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DDDDDD" localSheetId="2">#REF!</definedName>
    <definedName name="DDDDDDD" localSheetId="1">#REF!</definedName>
    <definedName name="DDDDDDD">#REF!</definedName>
    <definedName name="DDE" localSheetId="2">#REF!</definedName>
    <definedName name="DDE" localSheetId="1">#REF!</definedName>
    <definedName name="DDE">#REF!</definedName>
    <definedName name="DDF" localSheetId="2">#REF!</definedName>
    <definedName name="DDF" localSheetId="1">#REF!</definedName>
    <definedName name="DDF">#REF!</definedName>
    <definedName name="DDG" localSheetId="2">#REF!</definedName>
    <definedName name="DDG" localSheetId="1">#REF!</definedName>
    <definedName name="DDG">#REF!</definedName>
    <definedName name="DDH" localSheetId="2">#REF!</definedName>
    <definedName name="DDH" localSheetId="1">#REF!</definedName>
    <definedName name="DDH">#REF!</definedName>
    <definedName name="DDI" localSheetId="2">#REF!</definedName>
    <definedName name="DDI" localSheetId="1">#REF!</definedName>
    <definedName name="DDI">#REF!</definedName>
    <definedName name="DDJ" localSheetId="2">#REF!</definedName>
    <definedName name="DDJ" localSheetId="1">#REF!</definedName>
    <definedName name="DDJ">#REF!</definedName>
    <definedName name="DDK" localSheetId="2">#REF!</definedName>
    <definedName name="DDK" localSheetId="1">#REF!</definedName>
    <definedName name="DDK">#REF!</definedName>
    <definedName name="DDL" localSheetId="2">#REF!</definedName>
    <definedName name="DDL" localSheetId="1">#REF!</definedName>
    <definedName name="DDL">#REF!</definedName>
    <definedName name="DDM" localSheetId="2">#REF!</definedName>
    <definedName name="DDM" localSheetId="1">#REF!</definedName>
    <definedName name="DDM">#REF!</definedName>
    <definedName name="Denominação" localSheetId="2">#REF!</definedName>
    <definedName name="Denominação" localSheetId="1">#REF!</definedName>
    <definedName name="Denominação">#REF!</definedName>
    <definedName name="DESCRITIVO1" localSheetId="2">#REF!</definedName>
    <definedName name="DESCRITIVO1" localSheetId="1">#REF!</definedName>
    <definedName name="DESCRITIVO1">#REF!</definedName>
    <definedName name="desig">[8]Ingles!$D$7:$D$202</definedName>
    <definedName name="DeslocamentoJanela">[13]cálculos!$D$26</definedName>
    <definedName name="Di">[8]Ingles!$G$7:$G$202</definedName>
    <definedName name="DiasJanela">[13]cálculos!$D$29</definedName>
    <definedName name="DISCRIMINAÇÃO" localSheetId="2">#REF!</definedName>
    <definedName name="DISCRIMINAÇÃO" localSheetId="1">#REF!</definedName>
    <definedName name="DISCRIMINAÇÃO">#REF!</definedName>
    <definedName name="dispmc" localSheetId="2">[12]Cap7!#REF!</definedName>
    <definedName name="dispmc" localSheetId="1">[12]Cap7!#REF!</definedName>
    <definedName name="dispmc">[12]Cap7!#REF!</definedName>
    <definedName name="disptc" localSheetId="2">[12]Cap7!#REF!</definedName>
    <definedName name="disptc" localSheetId="1">[12]Cap7!#REF!</definedName>
    <definedName name="disptc">[12]Cap7!#REF!</definedName>
    <definedName name="disptg" localSheetId="2">[12]Cap7!#REF!</definedName>
    <definedName name="disptg" localSheetId="1">[12]Cap7!#REF!</definedName>
    <definedName name="disptg">[12]Cap7!#REF!</definedName>
    <definedName name="Dn">[8]Ingles!$B$7:$B$202</definedName>
    <definedName name="Do">[8]Ingles!$C$7:$C$202</definedName>
    <definedName name="document_type" localSheetId="5">#REF!</definedName>
    <definedName name="document_type" localSheetId="1">#REF!</definedName>
    <definedName name="document_type">#REF!</definedName>
    <definedName name="DOCUMENTO">#REF!</definedName>
    <definedName name="Documenttype" localSheetId="5">#REF!</definedName>
    <definedName name="Documenttype">#REF!</definedName>
    <definedName name="DOLAR">[9]FCAC!$P$2</definedName>
    <definedName name="Dólar" localSheetId="2">#REF!</definedName>
    <definedName name="Dólar" localSheetId="1">#REF!</definedName>
    <definedName name="Dólar">#REF!</definedName>
    <definedName name="DP">#REF!</definedName>
    <definedName name="DPRE" localSheetId="2">#REF!</definedName>
    <definedName name="DPRE" localSheetId="1">#REF!</definedName>
    <definedName name="DPRE">#REF!</definedName>
    <definedName name="dsf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TFE">[11]FCAC!$K$5</definedName>
    <definedName name="DTFM">[11]FCAC!$J$5</definedName>
    <definedName name="DTL">[11]FCAC!$L$5</definedName>
    <definedName name="EASD" localSheetId="2">#REF!</definedName>
    <definedName name="EASD" localSheetId="1">#REF!</definedName>
    <definedName name="EASD">#REF!</definedName>
    <definedName name="EEE" localSheetId="2">#REF!</definedName>
    <definedName name="EEE" localSheetId="1">#REF!</definedName>
    <definedName name="EEE">#REF!</definedName>
    <definedName name="EEF" localSheetId="2">#REF!</definedName>
    <definedName name="EEF" localSheetId="1">#REF!</definedName>
    <definedName name="EEF">#REF!</definedName>
    <definedName name="EEG" localSheetId="2">#REF!</definedName>
    <definedName name="EEG" localSheetId="1">#REF!</definedName>
    <definedName name="EEG">#REF!</definedName>
    <definedName name="EEH" localSheetId="2">#REF!</definedName>
    <definedName name="EEH" localSheetId="1">#REF!</definedName>
    <definedName name="EEH">#REF!</definedName>
    <definedName name="EEI" localSheetId="2">#REF!</definedName>
    <definedName name="EEI" localSheetId="1">#REF!</definedName>
    <definedName name="EEI">#REF!</definedName>
    <definedName name="EFETIVO">'[14]Tab_Geral_Nº Efetivo'!$B$5:$W$35</definedName>
    <definedName name="Eletricista_F_C" localSheetId="2">#REF!</definedName>
    <definedName name="Eletricista_F_C" localSheetId="1">#REF!</definedName>
    <definedName name="Eletricista_F_C">#REF!</definedName>
    <definedName name="Eletricista_FC" localSheetId="2">#REF!</definedName>
    <definedName name="Eletricista_FC" localSheetId="1">#REF!</definedName>
    <definedName name="Eletricista_FC">#REF!</definedName>
    <definedName name="Eletricista_Mo" localSheetId="2">#REF!</definedName>
    <definedName name="Eletricista_Mo" localSheetId="1">#REF!</definedName>
    <definedName name="Eletricista_Mo">#REF!</definedName>
    <definedName name="Eletricista_Mont" localSheetId="2">#REF!</definedName>
    <definedName name="Eletricista_Mont" localSheetId="1">#REF!</definedName>
    <definedName name="Eletricista_Mont">#REF!</definedName>
    <definedName name="EletricistaFC" localSheetId="2">#REF!</definedName>
    <definedName name="EletricistaFC" localSheetId="1">#REF!</definedName>
    <definedName name="EletricistaFC">#REF!</definedName>
    <definedName name="Encanador" localSheetId="2">#REF!</definedName>
    <definedName name="Encanador" localSheetId="1">#REF!</definedName>
    <definedName name="Encanador">#REF!</definedName>
    <definedName name="Encarregado" localSheetId="2">#REF!</definedName>
    <definedName name="Encarregado" localSheetId="1">#REF!</definedName>
    <definedName name="Encarregado">#REF!</definedName>
    <definedName name="ENG">[11]FCAC!$G$5</definedName>
    <definedName name="EQUIPAMENTO">[15]Histograma_Equip!$B$7:$AC$56</definedName>
    <definedName name="Equipment_Exhaust_Details">#REF!</definedName>
    <definedName name="Equipment_Type" localSheetId="2">'[16]Look Up'!$A$8:$A$20</definedName>
    <definedName name="Equipment_Type" localSheetId="5">'[17]Look Up'!$A$8:$A$20</definedName>
    <definedName name="Equipment_Type" localSheetId="1">'[16]Look Up'!$A$8:$A$20</definedName>
    <definedName name="Equipment_Type">#REF!</definedName>
    <definedName name="Esmerilhador" localSheetId="2">#REF!</definedName>
    <definedName name="Esmerilhador" localSheetId="1">#REF!</definedName>
    <definedName name="Esmerilhador">#REF!</definedName>
    <definedName name="ESPESSAMENT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TRAD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TRAD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TRAD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TRAD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tagig" localSheetId="2">[12]Cap7!#REF!</definedName>
    <definedName name="etagig" localSheetId="1">[12]Cap7!#REF!</definedName>
    <definedName name="etagig">[12]Cap7!#REF!</definedName>
    <definedName name="etagim" localSheetId="2">[12]Cap7!#REF!</definedName>
    <definedName name="etagim" localSheetId="1">[12]Cap7!#REF!</definedName>
    <definedName name="etagim">[12]Cap7!#REF!</definedName>
    <definedName name="etagit" localSheetId="2">[12]Cap7!#REF!</definedName>
    <definedName name="etagit" localSheetId="1">[12]Cap7!#REF!</definedName>
    <definedName name="etagit">[12]Cap7!#REF!</definedName>
    <definedName name="etatm" localSheetId="2">[12]Cap7!#REF!</definedName>
    <definedName name="etatm" localSheetId="1">[12]Cap7!#REF!</definedName>
    <definedName name="etatm">[12]Cap7!#REF!</definedName>
    <definedName name="etatmmc" localSheetId="2">[12]Cap7!#REF!</definedName>
    <definedName name="etatmmc" localSheetId="1">[12]Cap7!#REF!</definedName>
    <definedName name="etatmmc">[12]Cap7!#REF!</definedName>
    <definedName name="EXAMES_MÉDICOS">'[3]15-DIVERSOS'!$A$14</definedName>
    <definedName name="F">#N/A</definedName>
    <definedName name="fator" localSheetId="2">#REF!</definedName>
    <definedName name="fator" localSheetId="1">#REF!</definedName>
    <definedName name="fator">#REF!</definedName>
    <definedName name="FDDFDF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EPeso" localSheetId="2">#REF!</definedName>
    <definedName name="FEPeso" localSheetId="1">#REF!</definedName>
    <definedName name="FEPeso">#REF!</definedName>
    <definedName name="FEVol" localSheetId="2">#REF!</definedName>
    <definedName name="FEVol" localSheetId="1">#REF!</definedName>
    <definedName name="FEVol">#REF!</definedName>
    <definedName name="FFF" localSheetId="2">#REF!</definedName>
    <definedName name="FFF" localSheetId="1">#REF!</definedName>
    <definedName name="FFF">#REF!</definedName>
    <definedName name="FFG" localSheetId="2">#REF!</definedName>
    <definedName name="FFG" localSheetId="1">#REF!</definedName>
    <definedName name="FFG">#REF!</definedName>
    <definedName name="FFH" localSheetId="2">#REF!</definedName>
    <definedName name="FFH" localSheetId="1">#REF!</definedName>
    <definedName name="FFH">#REF!</definedName>
    <definedName name="FFI" localSheetId="2">#REF!</definedName>
    <definedName name="FFI" localSheetId="1">#REF!</definedName>
    <definedName name="FFI">#REF!</definedName>
    <definedName name="fifty" localSheetId="2">[10]Estimate!#REF!</definedName>
    <definedName name="fifty" localSheetId="1">[10]Estimate!#REF!</definedName>
    <definedName name="fifty">[10]Estimate!#REF!</definedName>
    <definedName name="filtragem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veA" localSheetId="2">[7]Estimate!#REF!</definedName>
    <definedName name="FiveA" localSheetId="1">[7]Estimate!#REF!</definedName>
    <definedName name="FiveA">[7]Estimate!#REF!</definedName>
    <definedName name="FiveB" localSheetId="2">[7]Estimate!#REF!</definedName>
    <definedName name="FiveB" localSheetId="1">[7]Estimate!#REF!</definedName>
    <definedName name="FiveB">[7]Estimate!#REF!</definedName>
    <definedName name="FiveC" localSheetId="2">[7]Estimate!#REF!</definedName>
    <definedName name="FiveC" localSheetId="1">[7]Estimate!#REF!</definedName>
    <definedName name="FiveC">[7]Estimate!#REF!</definedName>
    <definedName name="FiveD" localSheetId="2">[7]Estimate!#REF!</definedName>
    <definedName name="FiveD" localSheetId="1">[7]Estimate!#REF!</definedName>
    <definedName name="FiveD">[7]Estimate!#REF!</definedName>
    <definedName name="FiveE" localSheetId="2">[7]Estimate!#REF!</definedName>
    <definedName name="FiveE" localSheetId="1">[7]Estimate!#REF!</definedName>
    <definedName name="FiveE">[7]Estimate!#REF!</definedName>
    <definedName name="FiveF" localSheetId="2">[7]Estimate!#REF!</definedName>
    <definedName name="FiveF" localSheetId="1">[7]Estimate!#REF!</definedName>
    <definedName name="FiveF">[7]Estimate!#REF!</definedName>
    <definedName name="FiveG" localSheetId="2">[7]Estimate!#REF!</definedName>
    <definedName name="FiveG" localSheetId="1">[7]Estimate!#REF!</definedName>
    <definedName name="FiveG">[7]Estimate!#REF!</definedName>
    <definedName name="FiveH" localSheetId="2">[7]Estimate!#REF!</definedName>
    <definedName name="FiveH" localSheetId="1">[7]Estimate!#REF!</definedName>
    <definedName name="FiveH">[7]Estimate!#REF!</definedName>
    <definedName name="FiveI" localSheetId="2">[7]Estimate!#REF!</definedName>
    <definedName name="FiveI" localSheetId="1">[7]Estimate!#REF!</definedName>
    <definedName name="FiveI">[7]Estimate!#REF!</definedName>
    <definedName name="FiveJ" localSheetId="2">[7]Estimate!#REF!</definedName>
    <definedName name="FiveJ" localSheetId="1">[7]Estimate!#REF!</definedName>
    <definedName name="FiveJ">[7]Estimate!#REF!</definedName>
    <definedName name="FiveK" localSheetId="2">[7]Estimate!#REF!</definedName>
    <definedName name="FiveK" localSheetId="1">[7]Estimate!#REF!</definedName>
    <definedName name="FiveK">[7]Estimate!#REF!</definedName>
    <definedName name="FiveL" localSheetId="2">[7]Estimate!#REF!</definedName>
    <definedName name="FiveL" localSheetId="1">[7]Estimate!#REF!</definedName>
    <definedName name="FiveL">[7]Estimate!#REF!</definedName>
    <definedName name="FiveM" localSheetId="2">[7]Estimate!#REF!</definedName>
    <definedName name="FiveM" localSheetId="1">[7]Estimate!#REF!</definedName>
    <definedName name="FiveM">[7]Estimate!#REF!</definedName>
    <definedName name="FLO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idos">'[18]G-Materiais'!$B$1:$B$15</definedName>
    <definedName name="FLUTUANTE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urA" localSheetId="2">[7]Estimate!#REF!</definedName>
    <definedName name="FourA" localSheetId="1">[7]Estimate!#REF!</definedName>
    <definedName name="FourA">[7]Estimate!#REF!</definedName>
    <definedName name="FourB" localSheetId="2">[7]Estimate!#REF!</definedName>
    <definedName name="FourB" localSheetId="1">[7]Estimate!#REF!</definedName>
    <definedName name="FourB">[7]Estimate!#REF!</definedName>
    <definedName name="FourC" localSheetId="2">[7]Estimate!#REF!</definedName>
    <definedName name="FourC" localSheetId="1">[7]Estimate!#REF!</definedName>
    <definedName name="FourC">[7]Estimate!#REF!</definedName>
    <definedName name="FourD" localSheetId="2">[7]Estimate!#REF!</definedName>
    <definedName name="FourD" localSheetId="1">[7]Estimate!#REF!</definedName>
    <definedName name="FourD">[7]Estimate!#REF!</definedName>
    <definedName name="FourE" localSheetId="2">[7]Estimate!#REF!</definedName>
    <definedName name="FourE" localSheetId="1">[7]Estimate!#REF!</definedName>
    <definedName name="FourE">[7]Estimate!#REF!</definedName>
    <definedName name="FourF" localSheetId="2">[7]Estimate!#REF!</definedName>
    <definedName name="FourF" localSheetId="1">[7]Estimate!#REF!</definedName>
    <definedName name="FourF">[7]Estimate!#REF!</definedName>
    <definedName name="FourG" localSheetId="2">[7]Estimate!#REF!</definedName>
    <definedName name="FourG" localSheetId="1">[7]Estimate!#REF!</definedName>
    <definedName name="FourG">[7]Estimate!#REF!</definedName>
    <definedName name="FourH" localSheetId="2">[7]Estimate!#REF!</definedName>
    <definedName name="FourH" localSheetId="1">[7]Estimate!#REF!</definedName>
    <definedName name="FourH">[7]Estimate!#REF!</definedName>
    <definedName name="FourI" localSheetId="2">[7]Estimate!#REF!</definedName>
    <definedName name="FourI" localSheetId="1">[7]Estimate!#REF!</definedName>
    <definedName name="FourI">[7]Estimate!#REF!</definedName>
    <definedName name="FourJ" localSheetId="2">[7]Estimate!#REF!</definedName>
    <definedName name="FourJ" localSheetId="1">[7]Estimate!#REF!</definedName>
    <definedName name="FourJ">[7]Estimate!#REF!</definedName>
    <definedName name="FourK" localSheetId="2">[7]Estimate!#REF!</definedName>
    <definedName name="FourK" localSheetId="1">[7]Estimate!#REF!</definedName>
    <definedName name="FourK">[7]Estimate!#REF!</definedName>
    <definedName name="FourL" localSheetId="2">[7]Estimate!#REF!</definedName>
    <definedName name="FourL" localSheetId="1">[7]Estimate!#REF!</definedName>
    <definedName name="FourL">[7]Estimate!#REF!</definedName>
    <definedName name="Fourm" localSheetId="2">[7]Estimate!#REF!</definedName>
    <definedName name="Fourm" localSheetId="1">[7]Estimate!#REF!</definedName>
    <definedName name="Fourm">[7]Estimate!#REF!</definedName>
    <definedName name="FRT" localSheetId="2">#REF!</definedName>
    <definedName name="FRT" localSheetId="1">#REF!</definedName>
    <definedName name="FRT">#REF!</definedName>
    <definedName name="Funileiro" localSheetId="2">#REF!</definedName>
    <definedName name="Funileiro" localSheetId="1">#REF!</definedName>
    <definedName name="Funileiro">#REF!</definedName>
    <definedName name="GGG" localSheetId="2">#REF!</definedName>
    <definedName name="GGG" localSheetId="1">#REF!</definedName>
    <definedName name="GGG">#REF!</definedName>
    <definedName name="GGH" localSheetId="2">#REF!</definedName>
    <definedName name="GGH" localSheetId="1">#REF!</definedName>
    <definedName name="GGH">#REF!</definedName>
    <definedName name="GGI" localSheetId="2">#REF!</definedName>
    <definedName name="GGI" localSheetId="1">#REF!</definedName>
    <definedName name="GGI">#REF!</definedName>
    <definedName name="GGJ" localSheetId="2">#REF!</definedName>
    <definedName name="GGJ" localSheetId="1">#REF!</definedName>
    <definedName name="GGJ">#REF!</definedName>
    <definedName name="GradeCálc">IFERROR([13]cálculos!$A1/SUMPRODUCT( (#REF!=[13]cálculos!$C1)*(#REF!&lt;=[13]cálculos!A$31)*((#REF!&gt;=[13]cálculos!A$31)+(LEN(#REF!)=0)*(#REF!=[13]cálculos!A$31)) ),NA())</definedName>
    <definedName name="_xlnm.Recorder" localSheetId="2">#REF!</definedName>
    <definedName name="_xlnm.Recorder" localSheetId="1">#REF!</definedName>
    <definedName name="_xlnm.Recorder">#REF!</definedName>
    <definedName name="groelandia" localSheetId="2">#REF!</definedName>
    <definedName name="groelandia" localSheetId="1">#REF!</definedName>
    <definedName name="groelandia">#REF!</definedName>
    <definedName name="HHH" localSheetId="2">#REF!</definedName>
    <definedName name="HHH" localSheetId="1">#REF!</definedName>
    <definedName name="HHH">#REF!</definedName>
    <definedName name="HHI" localSheetId="2">#REF!</definedName>
    <definedName name="HHI" localSheetId="1">#REF!</definedName>
    <definedName name="HHI">#REF!</definedName>
    <definedName name="HHJ" localSheetId="2">#REF!</definedName>
    <definedName name="HHJ" localSheetId="1">#REF!</definedName>
    <definedName name="HHJ">#REF!</definedName>
    <definedName name="HHK" localSheetId="2">#REF!</definedName>
    <definedName name="HHK" localSheetId="1">#REF!</definedName>
    <definedName name="HHK">#REF!</definedName>
    <definedName name="I">[8]Ingles!$I$7:$I$202</definedName>
    <definedName name="ICMS" localSheetId="2">#REF!</definedName>
    <definedName name="ICMS" localSheetId="1">#REF!</definedName>
    <definedName name="ICMS">#REF!</definedName>
    <definedName name="II" localSheetId="2">#REF!</definedName>
    <definedName name="II" localSheetId="1">#REF!</definedName>
    <definedName name="II">#REF!</definedName>
    <definedName name="III" localSheetId="2">#REF!</definedName>
    <definedName name="III" localSheetId="1">#REF!</definedName>
    <definedName name="III">#REF!</definedName>
    <definedName name="IIIA" localSheetId="2">#REF!</definedName>
    <definedName name="IIIA" localSheetId="1">#REF!</definedName>
    <definedName name="IIIA">#REF!</definedName>
    <definedName name="IMP_03" localSheetId="2">[1]Erection!#REF!</definedName>
    <definedName name="IMP_03" localSheetId="1">[1]Erection!#REF!</definedName>
    <definedName name="IMP_03">[1]Erection!#REF!</definedName>
    <definedName name="INDICE">[3]ÍNDICE!$B$1</definedName>
    <definedName name="InhaltsvezSUMMEN" localSheetId="2">#REF!</definedName>
    <definedName name="InhaltsvezSUMMEN" localSheetId="1">#REF!</definedName>
    <definedName name="InhaltsvezSUMMEN">#REF!</definedName>
    <definedName name="Instr_Controle" localSheetId="2">#REF!</definedName>
    <definedName name="Instr_Controle" localSheetId="1">#REF!</definedName>
    <definedName name="Instr_Controle">#REF!</definedName>
    <definedName name="Instrum_Con" localSheetId="2">#REF!</definedName>
    <definedName name="Instrum_Con" localSheetId="1">#REF!</definedName>
    <definedName name="Instrum_Con">#REF!</definedName>
    <definedName name="Instrum_Controle" localSheetId="2">#REF!</definedName>
    <definedName name="Instrum_Controle" localSheetId="1">#REF!</definedName>
    <definedName name="Instrum_Controle">#REF!</definedName>
    <definedName name="Instrum_Mo" localSheetId="2">#REF!</definedName>
    <definedName name="Instrum_Mo" localSheetId="1">#REF!</definedName>
    <definedName name="Instrum_Mo">#REF!</definedName>
    <definedName name="Instrum_Montador" localSheetId="2">#REF!</definedName>
    <definedName name="Instrum_Montador" localSheetId="1">#REF!</definedName>
    <definedName name="Instrum_Montador">#REF!</definedName>
    <definedName name="Instrum_Tubista" localSheetId="2">#REF!</definedName>
    <definedName name="Instrum_Tubista" localSheetId="1">#REF!</definedName>
    <definedName name="Instrum_Tubista">#REF!</definedName>
    <definedName name="IPI" localSheetId="2">#REF!</definedName>
    <definedName name="IPI" localSheetId="1">#REF!</definedName>
    <definedName name="IPI">#REF!</definedName>
    <definedName name="Isolador" localSheetId="2">#REF!</definedName>
    <definedName name="Isolador" localSheetId="1">#REF!</definedName>
    <definedName name="Isolador">#REF!</definedName>
    <definedName name="item_1" localSheetId="2">#REF!</definedName>
    <definedName name="item_1" localSheetId="1">#REF!</definedName>
    <definedName name="item_1">#REF!</definedName>
    <definedName name="JAIR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IR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IR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IR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nelaDataInício">[13]cálculos!$D$25</definedName>
    <definedName name="Jatista" localSheetId="2">#REF!</definedName>
    <definedName name="Jatista" localSheetId="1">#REF!</definedName>
    <definedName name="Jatista">#REF!</definedName>
    <definedName name="JJJ" localSheetId="2">#REF!</definedName>
    <definedName name="JJJ" localSheetId="1">#REF!</definedName>
    <definedName name="JJJ">#REF!</definedName>
    <definedName name="JJJA" localSheetId="2">#REF!</definedName>
    <definedName name="JJJA" localSheetId="1">#REF!</definedName>
    <definedName name="JJJA">#REF!</definedName>
    <definedName name="JOAMAR">#N/A</definedName>
    <definedName name="JOAO" localSheetId="2">#REF!</definedName>
    <definedName name="JOAO" localSheetId="1">#REF!</definedName>
    <definedName name="JOAO">#REF!</definedName>
    <definedName name="K" localSheetId="2">#REF!</definedName>
    <definedName name="K" localSheetId="1">#REF!</definedName>
    <definedName name="K">#REF!</definedName>
    <definedName name="k1mc" localSheetId="2">[12]Cap7!#REF!</definedName>
    <definedName name="k1mc" localSheetId="1">[12]Cap7!#REF!</definedName>
    <definedName name="k1mc">[12]Cap7!#REF!</definedName>
    <definedName name="k1tc" localSheetId="2">[12]Cap7!#REF!</definedName>
    <definedName name="k1tc" localSheetId="1">[12]Cap7!#REF!</definedName>
    <definedName name="k1tc">[12]Cap7!#REF!</definedName>
    <definedName name="k2mc" localSheetId="2">[12]Cap7!#REF!</definedName>
    <definedName name="k2mc" localSheetId="1">[12]Cap7!#REF!</definedName>
    <definedName name="k2mc">[12]Cap7!#REF!</definedName>
    <definedName name="k2tc" localSheetId="2">[12]Cap7!#REF!</definedName>
    <definedName name="k2tc" localSheetId="1">[12]Cap7!#REF!</definedName>
    <definedName name="k2tc">[12]Cap7!#REF!</definedName>
    <definedName name="k3tc" localSheetId="2">[12]Cap7!#REF!</definedName>
    <definedName name="k3tc" localSheetId="1">[12]Cap7!#REF!</definedName>
    <definedName name="k3tc">[12]Cap7!#REF!</definedName>
    <definedName name="k4mc" localSheetId="2">[12]Cap7!#REF!</definedName>
    <definedName name="k4mc" localSheetId="1">[12]Cap7!#REF!</definedName>
    <definedName name="k4mc">[12]Cap7!#REF!</definedName>
    <definedName name="k4tc" localSheetId="2">[12]Cap7!#REF!</definedName>
    <definedName name="k4tc" localSheetId="1">[12]Cap7!#REF!</definedName>
    <definedName name="k4tc">[12]Cap7!#REF!</definedName>
    <definedName name="KKK" localSheetId="2">#REF!</definedName>
    <definedName name="KKK" localSheetId="1">#REF!</definedName>
    <definedName name="KKK">#REF!</definedName>
    <definedName name="KKKA" localSheetId="2">#REF!</definedName>
    <definedName name="KKKA" localSheetId="1">#REF!</definedName>
    <definedName name="KKKA">#REF!</definedName>
    <definedName name="KKKKK" localSheetId="2">#REF!</definedName>
    <definedName name="KKKKK" localSheetId="1">#REF!</definedName>
    <definedName name="KKKKK">#REF!</definedName>
    <definedName name="Laminador" localSheetId="2">#REF!</definedName>
    <definedName name="Laminador" localSheetId="1">#REF!</definedName>
    <definedName name="Laminador">#REF!</definedName>
    <definedName name="LILIAN">[19]Preços!$A$121:$F$141</definedName>
    <definedName name="Lista" localSheetId="2">#REF!</definedName>
    <definedName name="Lista" localSheetId="1">#REF!</definedName>
    <definedName name="Lista">#REF!</definedName>
    <definedName name="ListaFim" localSheetId="2">#REF!</definedName>
    <definedName name="ListaFim" localSheetId="1">#REF!</definedName>
    <definedName name="ListaFim">#REF!</definedName>
    <definedName name="LLL" localSheetId="2">#REF!</definedName>
    <definedName name="LLL" localSheetId="1">#REF!</definedName>
    <definedName name="LLL">#REF!</definedName>
    <definedName name="LLLA" localSheetId="2">#REF!</definedName>
    <definedName name="LLLA" localSheetId="1">#REF!</definedName>
    <definedName name="LLLA">#REF!</definedName>
    <definedName name="Lookup_Equipment_Letter">#REF!</definedName>
    <definedName name="LOP" localSheetId="2">#REF!</definedName>
    <definedName name="LOP" localSheetId="1">#REF!</definedName>
    <definedName name="LOP">#REF!</definedName>
    <definedName name="lulinha" localSheetId="2">[7]Estimate!#REF!</definedName>
    <definedName name="lulinha" localSheetId="1">[7]Estimate!#REF!</definedName>
    <definedName name="lulinha">[7]Estimate!#REF!</definedName>
    <definedName name="Maçariqueiro" localSheetId="2">#REF!</definedName>
    <definedName name="Maçariqueiro" localSheetId="1">#REF!</definedName>
    <definedName name="Maçariqueiro">#REF!</definedName>
    <definedName name="Macro1" localSheetId="3">[20]!Macro1</definedName>
    <definedName name="Macro1" localSheetId="2">[20]!Macro1</definedName>
    <definedName name="Macro1" localSheetId="1">[20]!Macro1</definedName>
    <definedName name="Macro1">[20]!Macro1</definedName>
    <definedName name="marcel" localSheetId="2">#REF!</definedName>
    <definedName name="marcel" localSheetId="1">#REF!</definedName>
    <definedName name="marcel">#REF!</definedName>
    <definedName name="MARIANA" localSheetId="2">[7]Estimate!#REF!</definedName>
    <definedName name="MARIANA" localSheetId="1">[7]Estimate!#REF!</definedName>
    <definedName name="MARIANA">[7]Estimate!#REF!</definedName>
    <definedName name="MARINA" localSheetId="2">#REF!</definedName>
    <definedName name="MARINA" localSheetId="1">#REF!</definedName>
    <definedName name="MARINA">#REF!</definedName>
    <definedName name="Materiais">'[18]G-Materiais'!$A$22:$A$46</definedName>
    <definedName name="Material">#REF!</definedName>
    <definedName name="Mecanico_Aj" localSheetId="2">#REF!</definedName>
    <definedName name="Mecanico_Aj" localSheetId="1">#REF!</definedName>
    <definedName name="Mecanico_Aj">#REF!</definedName>
    <definedName name="Mecânico_Ajust" localSheetId="2">#REF!</definedName>
    <definedName name="Mecânico_Ajust" localSheetId="1">#REF!</definedName>
    <definedName name="Mecânico_Ajust">#REF!</definedName>
    <definedName name="Mecanico_Mon" localSheetId="2">#REF!</definedName>
    <definedName name="Mecanico_Mon" localSheetId="1">#REF!</definedName>
    <definedName name="Mecanico_Mon">#REF!</definedName>
    <definedName name="Mecânico_Mont" localSheetId="2">#REF!</definedName>
    <definedName name="Mecânico_Mont" localSheetId="1">#REF!</definedName>
    <definedName name="Mecânico_Mont">#REF!</definedName>
    <definedName name="MediaCodes">#REF!</definedName>
    <definedName name="MediaDatabase">#REF!</definedName>
    <definedName name="MmExcelLinker_4E7BD31E_65F0_440C_A162_0361D739B0FD" localSheetId="0">ANEXO IVA MAT DE [21]APLICAÇÃO!$A$4:$B$4</definedName>
    <definedName name="MmExcelLinker_4E7BD31E_65F0_440C_A162_0361D739B0FD" localSheetId="3">ANEXO IVA MAT DE [21]APLICAÇÃO!$A$4:$B$4</definedName>
    <definedName name="MmExcelLinker_4E7BD31E_65F0_440C_A162_0361D739B0FD" localSheetId="2">ANEXO IVA MAT DE [21]APLICAÇÃO!$A$4:$B$4</definedName>
    <definedName name="MmExcelLinker_4E7BD31E_65F0_440C_A162_0361D739B0FD" localSheetId="1">ANEXO IVA MAT DE [21]APLICAÇÃO!$A$4:$B$4</definedName>
    <definedName name="MmExcelLinker_4E7BD31E_65F0_440C_A162_0361D739B0FD">ANEXO IVA MAT DE [21]APLICAÇÃO!$A$4:$B$4</definedName>
    <definedName name="MMM" localSheetId="2">#REF!</definedName>
    <definedName name="MMM" localSheetId="1">#REF!</definedName>
    <definedName name="MMM">#REF!</definedName>
    <definedName name="MMMA" localSheetId="2">#REF!</definedName>
    <definedName name="MMMA" localSheetId="1">#REF!</definedName>
    <definedName name="MMMA">#REF!</definedName>
    <definedName name="Montador" localSheetId="2">#REF!</definedName>
    <definedName name="Montador" localSheetId="1">#REF!</definedName>
    <definedName name="Montador">#REF!</definedName>
    <definedName name="Montagem" localSheetId="2">#REF!</definedName>
    <definedName name="Montagem" localSheetId="1">#REF!</definedName>
    <definedName name="Montagem">#REF!</definedName>
    <definedName name="N">#REF!</definedName>
    <definedName name="NCM" localSheetId="2">#REF!</definedName>
    <definedName name="NCM" localSheetId="1">#REF!</definedName>
    <definedName name="NCM">#REF!</definedName>
    <definedName name="New_Modify">#REF!</definedName>
    <definedName name="nnn">#REF!</definedName>
    <definedName name="nw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OneA" localSheetId="2">[7]Estimate!#REF!</definedName>
    <definedName name="OneA" localSheetId="1">[7]Estimate!#REF!</definedName>
    <definedName name="OneA">[7]Estimate!#REF!</definedName>
    <definedName name="OneB" localSheetId="2">[7]Estimate!#REF!</definedName>
    <definedName name="OneB" localSheetId="1">[7]Estimate!#REF!</definedName>
    <definedName name="OneB">[7]Estimate!#REF!</definedName>
    <definedName name="OneC" localSheetId="2">[7]Estimate!#REF!</definedName>
    <definedName name="OneC" localSheetId="1">[7]Estimate!#REF!</definedName>
    <definedName name="OneC">[7]Estimate!#REF!</definedName>
    <definedName name="OneD" localSheetId="2">[7]Estimate!#REF!</definedName>
    <definedName name="OneD" localSheetId="1">[7]Estimate!#REF!</definedName>
    <definedName name="OneD">[7]Estimate!#REF!</definedName>
    <definedName name="OneE" localSheetId="2">[7]Estimate!#REF!</definedName>
    <definedName name="OneE" localSheetId="1">[7]Estimate!#REF!</definedName>
    <definedName name="OneE">[7]Estimate!#REF!</definedName>
    <definedName name="OneF" localSheetId="2">[7]Estimate!#REF!</definedName>
    <definedName name="OneF" localSheetId="1">[7]Estimate!#REF!</definedName>
    <definedName name="OneF">[7]Estimate!#REF!</definedName>
    <definedName name="OneG" localSheetId="2">[7]Estimate!#REF!</definedName>
    <definedName name="OneG" localSheetId="1">[7]Estimate!#REF!</definedName>
    <definedName name="OneG">[7]Estimate!#REF!</definedName>
    <definedName name="OneH" localSheetId="2">[7]Estimate!#REF!</definedName>
    <definedName name="OneH" localSheetId="1">[7]Estimate!#REF!</definedName>
    <definedName name="OneH">[7]Estimate!#REF!</definedName>
    <definedName name="OneI" localSheetId="2">[7]Estimate!#REF!</definedName>
    <definedName name="OneI" localSheetId="1">[7]Estimate!#REF!</definedName>
    <definedName name="OneI">[7]Estimate!#REF!</definedName>
    <definedName name="OneJ" localSheetId="2">[7]Estimate!#REF!</definedName>
    <definedName name="OneJ" localSheetId="1">[7]Estimate!#REF!</definedName>
    <definedName name="OneJ">[7]Estimate!#REF!</definedName>
    <definedName name="OneK" localSheetId="2">[7]Estimate!#REF!</definedName>
    <definedName name="OneK" localSheetId="1">[7]Estimate!#REF!</definedName>
    <definedName name="OneK">[7]Estimate!#REF!</definedName>
    <definedName name="OneL" localSheetId="2">[7]Estimate!#REF!</definedName>
    <definedName name="OneL" localSheetId="1">[7]Estimate!#REF!</definedName>
    <definedName name="OneL">[7]Estimate!#REF!</definedName>
    <definedName name="OneM" localSheetId="2">[7]Estimate!#REF!</definedName>
    <definedName name="OneM" localSheetId="1">[7]Estimate!#REF!</definedName>
    <definedName name="OneM">[7]Estimate!#REF!</definedName>
    <definedName name="OP">#REF!</definedName>
    <definedName name="ORÇ">[11]FCAC!$F$2</definedName>
    <definedName name="OUTR" localSheetId="2">#REF!</definedName>
    <definedName name="OUTR" localSheetId="1">#REF!</definedName>
    <definedName name="OUTR">#REF!</definedName>
    <definedName name="P.Aparente" localSheetId="2">#REF!</definedName>
    <definedName name="P.Aparente" localSheetId="1">#REF!</definedName>
    <definedName name="P.Aparente">#REF!</definedName>
    <definedName name="P.Reatia" localSheetId="2">#REF!</definedName>
    <definedName name="P.Reatia" localSheetId="1">#REF!</definedName>
    <definedName name="P.Reatia">#REF!</definedName>
    <definedName name="p2mpmc2" localSheetId="2">#REF!</definedName>
    <definedName name="p2mpmc2" localSheetId="1">#REF!</definedName>
    <definedName name="p2mpmc2">#REF!</definedName>
    <definedName name="p2mpmc3" localSheetId="2">#REF!</definedName>
    <definedName name="p2mpmc3" localSheetId="1">#REF!</definedName>
    <definedName name="p2mpmc3">#REF!</definedName>
    <definedName name="p2mpmc4" localSheetId="2">#REF!</definedName>
    <definedName name="p2mpmc4" localSheetId="1">#REF!</definedName>
    <definedName name="p2mpmc4">#REF!</definedName>
    <definedName name="P2MPTC2" localSheetId="2">#REF!</definedName>
    <definedName name="P2MPTC2" localSheetId="1">#REF!</definedName>
    <definedName name="P2MPTC2">#REF!</definedName>
    <definedName name="p2mptc3" localSheetId="2">#REF!</definedName>
    <definedName name="p2mptc3" localSheetId="1">#REF!</definedName>
    <definedName name="p2mptc3">#REF!</definedName>
    <definedName name="p2mptc4" localSheetId="2">#REF!</definedName>
    <definedName name="p2mptc4" localSheetId="1">#REF!</definedName>
    <definedName name="p2mptc4">#REF!</definedName>
    <definedName name="p2mptg2" localSheetId="2">#REF!</definedName>
    <definedName name="p2mptg2" localSheetId="1">#REF!</definedName>
    <definedName name="p2mptg2">#REF!</definedName>
    <definedName name="p2mptg3" localSheetId="2">#REF!</definedName>
    <definedName name="p2mptg3" localSheetId="1">#REF!</definedName>
    <definedName name="p2mptg3">#REF!</definedName>
    <definedName name="p2mptg4" localSheetId="2">#REF!</definedName>
    <definedName name="p2mptg4" localSheetId="1">#REF!</definedName>
    <definedName name="p2mptg4">#REF!</definedName>
    <definedName name="p2mptg5" localSheetId="2">#REF!</definedName>
    <definedName name="p2mptg5" localSheetId="1">#REF!</definedName>
    <definedName name="p2mptg5">#REF!</definedName>
    <definedName name="p3mpmc3" localSheetId="2">#REF!</definedName>
    <definedName name="p3mpmc3" localSheetId="1">#REF!</definedName>
    <definedName name="p3mpmc3">#REF!</definedName>
    <definedName name="p3mpmc4" localSheetId="2">#REF!</definedName>
    <definedName name="p3mpmc4" localSheetId="1">#REF!</definedName>
    <definedName name="p3mpmc4">#REF!</definedName>
    <definedName name="p3mptc3" localSheetId="2">#REF!</definedName>
    <definedName name="p3mptc3" localSheetId="1">#REF!</definedName>
    <definedName name="p3mptc3">#REF!</definedName>
    <definedName name="p3mptc4" localSheetId="2">#REF!</definedName>
    <definedName name="p3mptc4" localSheetId="1">#REF!</definedName>
    <definedName name="p3mptc4">#REF!</definedName>
    <definedName name="p3mptg3" localSheetId="2">#REF!</definedName>
    <definedName name="p3mptg3" localSheetId="1">#REF!</definedName>
    <definedName name="p3mptg3">#REF!</definedName>
    <definedName name="p3mptg4" localSheetId="2">#REF!</definedName>
    <definedName name="p3mptg4" localSheetId="1">#REF!</definedName>
    <definedName name="p3mptg4">#REF!</definedName>
    <definedName name="p3mptg5" localSheetId="2">#REF!</definedName>
    <definedName name="p3mptg5" localSheetId="1">#REF!</definedName>
    <definedName name="p3mptg5">#REF!</definedName>
    <definedName name="p4mpmc4" localSheetId="2">#REF!</definedName>
    <definedName name="p4mpmc4" localSheetId="1">#REF!</definedName>
    <definedName name="p4mpmc4">#REF!</definedName>
    <definedName name="p4mptc4" localSheetId="2">#REF!</definedName>
    <definedName name="p4mptc4" localSheetId="1">#REF!</definedName>
    <definedName name="p4mptc4">#REF!</definedName>
    <definedName name="p4mptg4" localSheetId="2">#REF!</definedName>
    <definedName name="p4mptg4" localSheetId="1">#REF!</definedName>
    <definedName name="p4mptg4">#REF!</definedName>
    <definedName name="p4mptg5" localSheetId="2">#REF!</definedName>
    <definedName name="p4mptg5" localSheetId="1">#REF!</definedName>
    <definedName name="p4mptg5">#REF!</definedName>
    <definedName name="p5mptg5" localSheetId="2">#REF!</definedName>
    <definedName name="p5mptg5" localSheetId="1">#REF!</definedName>
    <definedName name="p5mptg5">#REF!</definedName>
    <definedName name="p5mtg5" localSheetId="2">#REF!</definedName>
    <definedName name="p5mtg5" localSheetId="1">#REF!</definedName>
    <definedName name="p5mtg5">#REF!</definedName>
    <definedName name="pativar" localSheetId="2">#REF!</definedName>
    <definedName name="pativar" localSheetId="1">#REF!</definedName>
    <definedName name="pativar">#REF!</definedName>
    <definedName name="PCORMC" localSheetId="2">[12]Cap7!#REF!</definedName>
    <definedName name="PCORMC" localSheetId="1">[12]Cap7!#REF!</definedName>
    <definedName name="PCORMC">[12]Cap7!#REF!</definedName>
    <definedName name="PCORTC" localSheetId="2">[12]Cap7!#REF!</definedName>
    <definedName name="PCORTC" localSheetId="1">[12]Cap7!#REF!</definedName>
    <definedName name="PCORTC">[12]Cap7!#REF!</definedName>
    <definedName name="PCORTG" localSheetId="2">[12]Cap7!#REF!</definedName>
    <definedName name="PCORTG" localSheetId="1">[12]Cap7!#REF!</definedName>
    <definedName name="PCORTG">[12]Cap7!#REF!</definedName>
    <definedName name="Pedr_Refrat" localSheetId="2">#REF!</definedName>
    <definedName name="Pedr_Refrat" localSheetId="1">#REF!</definedName>
    <definedName name="Pedr_Refrat">#REF!</definedName>
    <definedName name="Pedreiro" localSheetId="2">#REF!</definedName>
    <definedName name="Pedreiro" localSheetId="1">#REF!</definedName>
    <definedName name="Pedreiro">#REF!</definedName>
    <definedName name="Pedreiro_Ref" localSheetId="2">#REF!</definedName>
    <definedName name="Pedreiro_Ref" localSheetId="1">#REF!</definedName>
    <definedName name="Pedreiro_Ref">#REF!</definedName>
    <definedName name="Pedreiro_Refrat" localSheetId="2">#REF!</definedName>
    <definedName name="Pedreiro_Refrat" localSheetId="1">#REF!</definedName>
    <definedName name="Pedreiro_Refrat">#REF!</definedName>
    <definedName name="Pintor" localSheetId="2">#REF!</definedName>
    <definedName name="Pintor" localSheetId="1">#REF!</definedName>
    <definedName name="Pintor">#REF!</definedName>
    <definedName name="Piping_IDs">#REF!</definedName>
    <definedName name="Piping_NPD_designation">#REF!</definedName>
    <definedName name="Piping_NPDs">#REF!</definedName>
    <definedName name="Piping_ODs">#REF!</definedName>
    <definedName name="Piping_Specs">#REF!</definedName>
    <definedName name="Piping_Thick">#REF!</definedName>
    <definedName name="plan" localSheetId="2">#REF!</definedName>
    <definedName name="plan" localSheetId="1">#REF!</definedName>
    <definedName name="plan">#REF!</definedName>
    <definedName name="PLANILHA" localSheetId="2">#REF!</definedName>
    <definedName name="PLANILHA" localSheetId="1">#REF!</definedName>
    <definedName name="PLANILHA">#REF!</definedName>
    <definedName name="po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tencia" localSheetId="2">#REF!</definedName>
    <definedName name="Potencia" localSheetId="1">#REF!</definedName>
    <definedName name="Potencia">#REF!</definedName>
    <definedName name="Power_Control">#REF!</definedName>
    <definedName name="Power_Details">#REF!</definedName>
    <definedName name="PQ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Q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Q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Q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reços">[19]Preços!$A$3:$F$119</definedName>
    <definedName name="Print_Area_MI" localSheetId="2">#REF!</definedName>
    <definedName name="Print_Area_MI" localSheetId="1">#REF!</definedName>
    <definedName name="Print_Area_MI">#REF!</definedName>
    <definedName name="PROJ">[11]FCAC!$I$5</definedName>
    <definedName name="project_name">'[22]Page 1'!$H$7</definedName>
    <definedName name="Projects" localSheetId="2">#REF!</definedName>
    <definedName name="Projects" localSheetId="1">#REF!</definedName>
    <definedName name="Projects">#REF!</definedName>
    <definedName name="PROJETO">#REF!</definedName>
    <definedName name="Q" localSheetId="2">'[23]Solo I'!#REF!</definedName>
    <definedName name="Q" localSheetId="1">'[23]Solo I'!#REF!</definedName>
    <definedName name="Q">'[23]Solo I'!#REF!</definedName>
    <definedName name="QDNOB1" localSheetId="2">#REF!</definedName>
    <definedName name="QDNOB1" localSheetId="1">#REF!</definedName>
    <definedName name="QDNOB1">#REF!</definedName>
    <definedName name="QP">#REF!</definedName>
    <definedName name="qq" localSheetId="2">#REF!</definedName>
    <definedName name="qq" localSheetId="1">#REF!</definedName>
    <definedName name="qq">#REF!</definedName>
    <definedName name="qw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w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w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w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tório_de_faturamento" localSheetId="2">#REF!</definedName>
    <definedName name="relatório_de_faturamento" localSheetId="1">#REF!</definedName>
    <definedName name="relatório_de_faturamento">#REF!</definedName>
    <definedName name="Rendimento" localSheetId="2">#REF!</definedName>
    <definedName name="Rendimento" localSheetId="1">#REF!</definedName>
    <definedName name="Rendimento">#REF!</definedName>
    <definedName name="rEnergyTransport">'[24]Line List'!#REF!</definedName>
    <definedName name="RESINAS" localSheetId="2">[12]Cap7!#REF!</definedName>
    <definedName name="RESINAS" localSheetId="1">[12]Cap7!#REF!</definedName>
    <definedName name="RESINAS">[12]Cap7!#REF!</definedName>
    <definedName name="resultadorendimento" localSheetId="2">#REF!</definedName>
    <definedName name="resultadorendimento" localSheetId="1">#REF!</definedName>
    <definedName name="resultadorendimento">#REF!</definedName>
    <definedName name="RESUMO" localSheetId="2">[12]Cap7!#REF!</definedName>
    <definedName name="RESUMO" localSheetId="1">[12]Cap7!#REF!</definedName>
    <definedName name="RESUMO">[12]Cap7!#REF!</definedName>
    <definedName name="REV." localSheetId="2">#REF!</definedName>
    <definedName name="REV." localSheetId="1">#REF!</definedName>
    <definedName name="REV.">#REF!</definedName>
    <definedName name="Revestidor" localSheetId="2">#REF!</definedName>
    <definedName name="Revestidor" localSheetId="1">#REF!</definedName>
    <definedName name="Revestidor">#REF!</definedName>
    <definedName name="REVISÃO">#REF!</definedName>
    <definedName name="Rg">[8]Ingles!$K$7:$K$202</definedName>
    <definedName name="rgAllData">'[24]Line List'!#REF!</definedName>
    <definedName name="rGeneralPurpose">'[24]Line List'!#REF!</definedName>
    <definedName name="rgLineData">'[24]Line List'!#REF!</definedName>
    <definedName name="rgLineID">'[24]Line List'!#REF!</definedName>
    <definedName name="riskATSTbaselineRequested">TRUE</definedName>
    <definedName name="riskATSTboxGraph">TRUE</definedName>
    <definedName name="riskATSTcomparisonGraph">TRUE</definedName>
    <definedName name="riskATSThistogramGraph">FALSE</definedName>
    <definedName name="riskATSToutputStatistic">4</definedName>
    <definedName name="riskATSTprintReport">FALSE</definedName>
    <definedName name="riskATSTreportsInActiveBook">FALSE</definedName>
    <definedName name="riskATSTreportsSelected">TRUE</definedName>
    <definedName name="riskATSTsequentialStress">TRUE</definedName>
    <definedName name="riskATSTsummaryReport">TRUE</definedName>
    <definedName name="RiskAutoStopPercChange">1.5</definedName>
    <definedName name="RiskCollectDistributionSamples">2</definedName>
    <definedName name="RiskExcelReportsGoInNewWorkbook">TRUE</definedName>
    <definedName name="RiskExcelReportsToGenerate">0</definedName>
    <definedName name="RiskFixedSeed">1</definedName>
    <definedName name="RiskGenerateExcelReportsAtEndOfSimulation">FALSE</definedName>
    <definedName name="RiskGroup" localSheetId="2">#REF!</definedName>
    <definedName name="RiskGroup" localSheetId="1">#REF!</definedName>
    <definedName name="RiskGroup">#REF!</definedName>
    <definedName name="RiskHasSettings">TRUE</definedName>
    <definedName name="RiskMinimizeOnStart">FALSE</definedName>
    <definedName name="RiskMonitorConvergence">FALSE</definedName>
    <definedName name="RiskNumIterations">5000</definedName>
    <definedName name="RiskNumSimulations">1</definedName>
    <definedName name="RiskPauseOnError">FALSE</definedName>
    <definedName name="RiskRealTimeResults">FALSE</definedName>
    <definedName name="RiskReportGraphFormat">0</definedName>
    <definedName name="RiskResultsUpdateFreq">100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3</definedName>
    <definedName name="RiskShowRiskWindowAtEndOfSimulation">TRUE</definedName>
    <definedName name="RiskStandardRecalc">1</definedName>
    <definedName name="RiskTemplateSheetName">"myTemplate"</definedName>
    <definedName name="RiskUpdateDisplay">FALSE</definedName>
    <definedName name="RiskUseDifferentSeedForEachSim">FALSE</definedName>
    <definedName name="RiskUseFixedSeed">FALSE</definedName>
    <definedName name="RiskUseMultipleCPUs">FALSE</definedName>
    <definedName name="ROST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ST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ST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S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ProcessLines">'[24]Line List'!#REF!</definedName>
    <definedName name="rr" localSheetId="2">#REF!</definedName>
    <definedName name="rr" localSheetId="1">#REF!</definedName>
    <definedName name="rr">#REF!</definedName>
    <definedName name="rSteamLines">'[24]Line List'!#REF!</definedName>
    <definedName name="s" localSheetId="0">#REF!</definedName>
    <definedName name="s" localSheetId="5">#REF!</definedName>
    <definedName name="S">#N/A</definedName>
    <definedName name="sa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s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ch" localSheetId="5">#REF!</definedName>
    <definedName name="sch">#REF!</definedName>
    <definedName name="sdf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df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df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eguro_Internacional" localSheetId="2">#REF!</definedName>
    <definedName name="Seguro_Internacional" localSheetId="1">#REF!</definedName>
    <definedName name="Seguro_Internacional">#REF!</definedName>
    <definedName name="Serralheiro" localSheetId="2">#REF!</definedName>
    <definedName name="Serralheiro" localSheetId="1">#REF!</definedName>
    <definedName name="Serralheiro">#REF!</definedName>
    <definedName name="SixA" localSheetId="2">[7]Estimate!#REF!</definedName>
    <definedName name="SixA" localSheetId="1">[7]Estimate!#REF!</definedName>
    <definedName name="SixA">[7]Estimate!#REF!</definedName>
    <definedName name="SixB" localSheetId="2">[7]Estimate!#REF!</definedName>
    <definedName name="SixB" localSheetId="1">[7]Estimate!#REF!</definedName>
    <definedName name="SixB">[7]Estimate!#REF!</definedName>
    <definedName name="SixC" localSheetId="2">[7]Estimate!#REF!</definedName>
    <definedName name="SixC" localSheetId="1">[7]Estimate!#REF!</definedName>
    <definedName name="SixC">[7]Estimate!#REF!</definedName>
    <definedName name="SixD" localSheetId="2">[7]Estimate!#REF!</definedName>
    <definedName name="SixD" localSheetId="1">[7]Estimate!#REF!</definedName>
    <definedName name="SixD">[7]Estimate!#REF!</definedName>
    <definedName name="SixE" localSheetId="2">[7]Estimate!#REF!</definedName>
    <definedName name="SixE" localSheetId="1">[7]Estimate!#REF!</definedName>
    <definedName name="SixE">[7]Estimate!#REF!</definedName>
    <definedName name="SixF" localSheetId="2">[7]Estimate!#REF!</definedName>
    <definedName name="SixF" localSheetId="1">[7]Estimate!#REF!</definedName>
    <definedName name="SixF">[7]Estimate!#REF!</definedName>
    <definedName name="SixG" localSheetId="2">[7]Estimate!#REF!</definedName>
    <definedName name="SixG" localSheetId="1">[7]Estimate!#REF!</definedName>
    <definedName name="SixG">[7]Estimate!#REF!</definedName>
    <definedName name="SixH" localSheetId="2">[7]Estimate!#REF!</definedName>
    <definedName name="SixH" localSheetId="1">[7]Estimate!#REF!</definedName>
    <definedName name="SixH">[7]Estimate!#REF!</definedName>
    <definedName name="SixI" localSheetId="2">[7]Estimate!#REF!</definedName>
    <definedName name="SixI" localSheetId="1">[7]Estimate!#REF!</definedName>
    <definedName name="SixI">[7]Estimate!#REF!</definedName>
    <definedName name="SixJ" localSheetId="2">[7]Estimate!#REF!</definedName>
    <definedName name="SixJ" localSheetId="1">[7]Estimate!#REF!</definedName>
    <definedName name="SixJ">[7]Estimate!#REF!</definedName>
    <definedName name="SixK" localSheetId="2">[7]Estimate!#REF!</definedName>
    <definedName name="SixK" localSheetId="1">[7]Estimate!#REF!</definedName>
    <definedName name="SixK">[7]Estimate!#REF!</definedName>
    <definedName name="SixL" localSheetId="2">[7]Estimate!#REF!</definedName>
    <definedName name="SixL" localSheetId="1">[7]Estimate!#REF!</definedName>
    <definedName name="SixL">[7]Estimate!#REF!</definedName>
    <definedName name="SixM" localSheetId="2">[7]Estimate!#REF!</definedName>
    <definedName name="SixM" localSheetId="1">[7]Estimate!#REF!</definedName>
    <definedName name="SixM">[7]Estimate!#REF!</definedName>
    <definedName name="Soldador_AC" localSheetId="2">#REF!</definedName>
    <definedName name="Soldador_AC" localSheetId="1">#REF!</definedName>
    <definedName name="Soldador_AC">#REF!</definedName>
    <definedName name="Soldador_AC_TIG" localSheetId="2">#REF!</definedName>
    <definedName name="Soldador_AC_TIG" localSheetId="1">#REF!</definedName>
    <definedName name="Soldador_AC_TIG">#REF!</definedName>
    <definedName name="Soldador_ACarb" localSheetId="2">#REF!</definedName>
    <definedName name="Soldador_ACarb" localSheetId="1">#REF!</definedName>
    <definedName name="Soldador_ACarb">#REF!</definedName>
    <definedName name="Soldador_AI" localSheetId="2">#REF!</definedName>
    <definedName name="Soldador_AI" localSheetId="1">#REF!</definedName>
    <definedName name="Soldador_AI">#REF!</definedName>
    <definedName name="Soldador_AI_TIG" localSheetId="2">#REF!</definedName>
    <definedName name="Soldador_AI_TIG" localSheetId="1">#REF!</definedName>
    <definedName name="Soldador_AI_TIG">#REF!</definedName>
    <definedName name="Soldador_AInox" localSheetId="2">#REF!</definedName>
    <definedName name="Soldador_AInox" localSheetId="1">#REF!</definedName>
    <definedName name="Soldador_AInox">#REF!</definedName>
    <definedName name="Soldador_AL" localSheetId="2">#REF!</definedName>
    <definedName name="Soldador_AL" localSheetId="1">#REF!</definedName>
    <definedName name="Soldador_AL">#REF!</definedName>
    <definedName name="Soldador_AL_TIG" localSheetId="2">#REF!</definedName>
    <definedName name="Soldador_AL_TIG" localSheetId="1">#REF!</definedName>
    <definedName name="Soldador_AL_TIG">#REF!</definedName>
    <definedName name="Soldador_ALiga" localSheetId="2">#REF!</definedName>
    <definedName name="Soldador_ALiga" localSheetId="1">#REF!</definedName>
    <definedName name="Soldador_ALiga">#REF!</definedName>
    <definedName name="Soldador_Alum" localSheetId="2">#REF!</definedName>
    <definedName name="Soldador_Alum" localSheetId="1">#REF!</definedName>
    <definedName name="Soldador_Alum">#REF!</definedName>
    <definedName name="Soldador_Alumínio" localSheetId="2">#REF!</definedName>
    <definedName name="Soldador_Alumínio" localSheetId="1">#REF!</definedName>
    <definedName name="Soldador_Alumínio">#REF!</definedName>
    <definedName name="Soldador_Cob" localSheetId="2">#REF!</definedName>
    <definedName name="Soldador_Cob" localSheetId="1">#REF!</definedName>
    <definedName name="Soldador_Cob">#REF!</definedName>
    <definedName name="Soldador_Cobre" localSheetId="2">#REF!</definedName>
    <definedName name="Soldador_Cobre" localSheetId="1">#REF!</definedName>
    <definedName name="Soldador_Cobre">#REF!</definedName>
    <definedName name="Soldador_Est" localSheetId="2">#REF!</definedName>
    <definedName name="Soldador_Est" localSheetId="1">#REF!</definedName>
    <definedName name="Soldador_Est">#REF!</definedName>
    <definedName name="Soldador_Estrut" localSheetId="2">#REF!</definedName>
    <definedName name="Soldador_Estrut" localSheetId="1">#REF!</definedName>
    <definedName name="Soldador_Estrut">#REF!</definedName>
    <definedName name="Soldador_TIG_AC" localSheetId="2">#REF!</definedName>
    <definedName name="Soldador_TIG_AC" localSheetId="1">#REF!</definedName>
    <definedName name="Soldador_TIG_AC">#REF!</definedName>
    <definedName name="Soldador_TIG_AI" localSheetId="2">#REF!</definedName>
    <definedName name="Soldador_TIG_AI" localSheetId="1">#REF!</definedName>
    <definedName name="Soldador_TIG_AI">#REF!</definedName>
    <definedName name="Soldador_TIG_AL" localSheetId="2">#REF!</definedName>
    <definedName name="Soldador_TIG_AL" localSheetId="1">#REF!</definedName>
    <definedName name="Soldador_TIG_AL">#REF!</definedName>
    <definedName name="SP">#REF!</definedName>
    <definedName name="SpecRoughness">#REF!</definedName>
    <definedName name="SS" localSheetId="2" hidden="1">[25]Plan4!#REF!</definedName>
    <definedName name="SS" localSheetId="1" hidden="1">[25]Plan4!#REF!</definedName>
    <definedName name="SS" hidden="1">[25]Plan4!#REF!</definedName>
    <definedName name="SSSSSSSS" localSheetId="2">[12]Cap7!#REF!</definedName>
    <definedName name="SSSSSSSS" localSheetId="1">[12]Cap7!#REF!</definedName>
    <definedName name="SSSSSSSS">[12]Cap7!#REF!</definedName>
    <definedName name="Subestação" localSheetId="2">#REF!</definedName>
    <definedName name="Subestação" localSheetId="1">#REF!</definedName>
    <definedName name="Subestação">#REF!</definedName>
    <definedName name="SYOKI_GAMEN">#N/A</definedName>
    <definedName name="tabelaDenominação" localSheetId="2">#REF!</definedName>
    <definedName name="tabelaDenominação" localSheetId="1">#REF!</definedName>
    <definedName name="tabelaDenominação">#REF!</definedName>
    <definedName name="Tag_Carga" localSheetId="2">#REF!</definedName>
    <definedName name="Tag_Carga" localSheetId="1">#REF!</definedName>
    <definedName name="Tag_Carga">#REF!</definedName>
    <definedName name="Tag_CCM" localSheetId="2">#REF!</definedName>
    <definedName name="Tag_CCM" localSheetId="1">#REF!</definedName>
    <definedName name="Tag_CCM">#REF!</definedName>
    <definedName name="TEC">[11]FCAC!$H$5</definedName>
    <definedName name="TEC." localSheetId="2">#REF!</definedName>
    <definedName name="TEC." localSheetId="1">#REF!</definedName>
    <definedName name="TEC.">#REF!</definedName>
    <definedName name="TESTE" localSheetId="2">[7]Estimate!#REF!</definedName>
    <definedName name="TESTE" localSheetId="1">[7]Estimate!#REF!</definedName>
    <definedName name="TESTE">[7]Estimate!#REF!</definedName>
    <definedName name="TESTE2" localSheetId="2">[7]Estimate!#REF!</definedName>
    <definedName name="TESTE2" localSheetId="1">[7]Estimate!#REF!</definedName>
    <definedName name="TESTE2">[7]Estimate!#REF!</definedName>
    <definedName name="thmed">[8]Ingles!$E$7:$E$202</definedName>
    <definedName name="thmin">[8]Ingles!$F$7:$F$202</definedName>
    <definedName name="ThreeA" localSheetId="0">[7]Estimate!#REF!</definedName>
    <definedName name="ThreeA" localSheetId="2">[7]Estimate!#REF!</definedName>
    <definedName name="ThreeA" localSheetId="1">[7]Estimate!#REF!</definedName>
    <definedName name="ThreeA">[7]Estimate!#REF!</definedName>
    <definedName name="ThreeB" localSheetId="2">[7]Estimate!#REF!</definedName>
    <definedName name="ThreeB" localSheetId="1">[7]Estimate!#REF!</definedName>
    <definedName name="ThreeB">[7]Estimate!#REF!</definedName>
    <definedName name="ThreeC" localSheetId="2">[7]Estimate!#REF!</definedName>
    <definedName name="ThreeC" localSheetId="1">[7]Estimate!#REF!</definedName>
    <definedName name="ThreeC">[7]Estimate!#REF!</definedName>
    <definedName name="ThreeD" localSheetId="2">[7]Estimate!#REF!</definedName>
    <definedName name="ThreeD" localSheetId="1">[7]Estimate!#REF!</definedName>
    <definedName name="ThreeD">[7]Estimate!#REF!</definedName>
    <definedName name="ThreeE" localSheetId="2">[7]Estimate!#REF!</definedName>
    <definedName name="ThreeE" localSheetId="1">[7]Estimate!#REF!</definedName>
    <definedName name="ThreeE">[7]Estimate!#REF!</definedName>
    <definedName name="ThreeF" localSheetId="2">[7]Estimate!#REF!</definedName>
    <definedName name="ThreeF" localSheetId="1">[7]Estimate!#REF!</definedName>
    <definedName name="ThreeF">[7]Estimate!#REF!</definedName>
    <definedName name="ThreeG" localSheetId="2">[7]Estimate!#REF!</definedName>
    <definedName name="ThreeG" localSheetId="1">[7]Estimate!#REF!</definedName>
    <definedName name="ThreeG">[7]Estimate!#REF!</definedName>
    <definedName name="ThreeH" localSheetId="2">[7]Estimate!#REF!</definedName>
    <definedName name="ThreeH" localSheetId="1">[7]Estimate!#REF!</definedName>
    <definedName name="ThreeH">[7]Estimate!#REF!</definedName>
    <definedName name="ThreeI" localSheetId="2">[7]Estimate!#REF!</definedName>
    <definedName name="ThreeI" localSheetId="1">[7]Estimate!#REF!</definedName>
    <definedName name="ThreeI">[7]Estimate!#REF!</definedName>
    <definedName name="ThreeJ" localSheetId="2">[7]Estimate!#REF!</definedName>
    <definedName name="ThreeJ" localSheetId="1">[7]Estimate!#REF!</definedName>
    <definedName name="ThreeJ">[7]Estimate!#REF!</definedName>
    <definedName name="ThreeK" localSheetId="2">[7]Estimate!#REF!</definedName>
    <definedName name="ThreeK" localSheetId="1">[7]Estimate!#REF!</definedName>
    <definedName name="ThreeK">[7]Estimate!#REF!</definedName>
    <definedName name="ThreeL" localSheetId="2">[7]Estimate!#REF!</definedName>
    <definedName name="ThreeL" localSheetId="1">[7]Estimate!#REF!</definedName>
    <definedName name="ThreeL">[7]Estimate!#REF!</definedName>
    <definedName name="ThreeM" localSheetId="2">[7]Estimate!#REF!</definedName>
    <definedName name="ThreeM" localSheetId="1">[7]Estimate!#REF!</definedName>
    <definedName name="ThreeM">[7]Estimate!#REF!</definedName>
    <definedName name="TIPO_DE_INSTRUMENTO" localSheetId="2">#REF!</definedName>
    <definedName name="TIPO_DE_INSTRUMENTO" localSheetId="1">#REF!</definedName>
    <definedName name="TIPO_DE_INSTRUMENTO">#REF!</definedName>
    <definedName name="tit">[9]Custos!$F$1</definedName>
    <definedName name="TIT_FIS" localSheetId="2">#REF!</definedName>
    <definedName name="TIT_FIS" localSheetId="1">#REF!</definedName>
    <definedName name="TIT_FIS">#REF!</definedName>
    <definedName name="_xlnm.Print_Titles" localSheetId="0">Capa!$1:$2</definedName>
    <definedName name="_xlnm.Print_Titles" localSheetId="3">'Lista de Carga'!$1:$16</definedName>
    <definedName name="_xlnm.Print_Titles" localSheetId="2">'Lista de Cargas'!$2:$3</definedName>
    <definedName name="_xlnm.Print_Titles" localSheetId="5">'Lista de Equipamentos'!$1:$2</definedName>
    <definedName name="_xlnm.Print_Titles">#N/A</definedName>
    <definedName name="Títulos_impressão_IM" localSheetId="2">[26]MCBR!#REF!</definedName>
    <definedName name="Títulos_impressão_IM" localSheetId="1">[26]MCBR!#REF!</definedName>
    <definedName name="Títulos_impressão_IM">[26]MCBR!#REF!</definedName>
    <definedName name="TOTAL">[1]Plan2!$I$253</definedName>
    <definedName name="TPREVMC" localSheetId="0">[12]Cap7!#REF!</definedName>
    <definedName name="TPREVMC" localSheetId="2">[12]Cap7!#REF!</definedName>
    <definedName name="TPREVMC" localSheetId="1">[12]Cap7!#REF!</definedName>
    <definedName name="TPREVMC">[12]Cap7!#REF!</definedName>
    <definedName name="TPREVTC" localSheetId="2">[12]Cap7!#REF!</definedName>
    <definedName name="TPREVTC" localSheetId="1">[12]Cap7!#REF!</definedName>
    <definedName name="TPREVTC">[12]Cap7!#REF!</definedName>
    <definedName name="TPREVTG" localSheetId="2">[12]Cap7!#REF!</definedName>
    <definedName name="TPREVTG" localSheetId="1">[12]Cap7!#REF!</definedName>
    <definedName name="TPREVTG">[12]Cap7!#REF!</definedName>
    <definedName name="TwoA" localSheetId="2">[7]Estimate!#REF!</definedName>
    <definedName name="TwoA" localSheetId="1">[7]Estimate!#REF!</definedName>
    <definedName name="TwoA">[7]Estimate!#REF!</definedName>
    <definedName name="TwoB" localSheetId="2">[7]Estimate!#REF!</definedName>
    <definedName name="TwoB" localSheetId="1">[7]Estimate!#REF!</definedName>
    <definedName name="TwoB">[7]Estimate!#REF!</definedName>
    <definedName name="TwoC" localSheetId="2">[7]Estimate!#REF!</definedName>
    <definedName name="TwoC" localSheetId="1">[7]Estimate!#REF!</definedName>
    <definedName name="TwoC">[7]Estimate!#REF!</definedName>
    <definedName name="TwoD" localSheetId="2">[7]Estimate!#REF!</definedName>
    <definedName name="TwoD" localSheetId="1">[7]Estimate!#REF!</definedName>
    <definedName name="TwoD">[7]Estimate!#REF!</definedName>
    <definedName name="TwoE" localSheetId="2">[7]Estimate!#REF!</definedName>
    <definedName name="TwoE" localSheetId="1">[7]Estimate!#REF!</definedName>
    <definedName name="TwoE">[7]Estimate!#REF!</definedName>
    <definedName name="TwoF" localSheetId="2">[7]Estimate!#REF!</definedName>
    <definedName name="TwoF" localSheetId="1">[7]Estimate!#REF!</definedName>
    <definedName name="TwoF">[7]Estimate!#REF!</definedName>
    <definedName name="TwoG" localSheetId="2">[7]Estimate!#REF!</definedName>
    <definedName name="TwoG" localSheetId="1">[7]Estimate!#REF!</definedName>
    <definedName name="TwoG">[7]Estimate!#REF!</definedName>
    <definedName name="TwoH" localSheetId="2">[7]Estimate!#REF!</definedName>
    <definedName name="TwoH" localSheetId="1">[7]Estimate!#REF!</definedName>
    <definedName name="TwoH">[7]Estimate!#REF!</definedName>
    <definedName name="TwoI" localSheetId="2">[7]Estimate!#REF!</definedName>
    <definedName name="TwoI" localSheetId="1">[7]Estimate!#REF!</definedName>
    <definedName name="TwoI">[7]Estimate!#REF!</definedName>
    <definedName name="TwoJ" localSheetId="2">[7]Estimate!#REF!</definedName>
    <definedName name="TwoJ" localSheetId="1">[7]Estimate!#REF!</definedName>
    <definedName name="TwoJ">[7]Estimate!#REF!</definedName>
    <definedName name="TwoK" localSheetId="2">[7]Estimate!#REF!</definedName>
    <definedName name="TwoK" localSheetId="1">[7]Estimate!#REF!</definedName>
    <definedName name="TwoK">[7]Estimate!#REF!</definedName>
    <definedName name="TwoL" localSheetId="2">[7]Estimate!#REF!</definedName>
    <definedName name="TwoL" localSheetId="1">[7]Estimate!#REF!</definedName>
    <definedName name="TwoL">[7]Estimate!#REF!</definedName>
    <definedName name="TwoM" localSheetId="2">[7]Estimate!#REF!</definedName>
    <definedName name="TwoM" localSheetId="1">[7]Estimate!#REF!</definedName>
    <definedName name="TwoM">[7]Estimate!#REF!</definedName>
    <definedName name="UN" localSheetId="2">#REF!</definedName>
    <definedName name="UN" localSheetId="1">#REF!</definedName>
    <definedName name="UN">#REF!</definedName>
    <definedName name="Unidade" localSheetId="2">#REF!</definedName>
    <definedName name="Unidade" localSheetId="1">#REF!</definedName>
    <definedName name="Unidade">#REF!</definedName>
    <definedName name="VI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I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I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agua">[8]Ingles!$M$7:$M$202</definedName>
    <definedName name="wn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pipe">[8]Ingles!$L$7:$L$202</definedName>
    <definedName name="wrn.Caixa._.de._.Ferramentas." localSheetId="0" hidden="1">{#N/A,#N/A,FALSE,"Eletricista";#N/A,#N/A,FALSE,"Mec. Refrig.";#N/A,#N/A,FALSE,"Civil";#N/A,#N/A,FALSE,"Civ";#N/A,#N/A,FALSE,"Serralheiro";#N/A,#N/A,FALSE,"Encanador";#N/A,#N/A,FALSE,"Eletr.";#N/A,#N/A,FALSE,"EL";#N/A,#N/A,FALSE,"Mec.Refrig.";#N/A,#N/A,FALSE,"Serv. Civ.";#N/A,#N/A,FALSE,"MMO";#N/A,#N/A,FALSE,"EN - CA";#N/A,#N/A,FALSE,"EL - ELT";#N/A,#N/A,FALSE,"PE";#N/A,#N/A,FALSE,"CARP";#N/A,#N/A,FALSE,"TAPEC";#N/A,#N/A,FALSE,"FU";#N/A,#N/A,FALSE,"Mec. Manut.";#N/A,#N/A,FALSE,"SO";#N/A,#N/A,FALSE,"Marc."}</definedName>
    <definedName name="wrn.Caixa._.de._.Ferramentas." localSheetId="2" hidden="1">{#N/A,#N/A,FALSE,"Eletricista";#N/A,#N/A,FALSE,"Mec. Refrig.";#N/A,#N/A,FALSE,"Civil";#N/A,#N/A,FALSE,"Civ";#N/A,#N/A,FALSE,"Serralheiro";#N/A,#N/A,FALSE,"Encanador";#N/A,#N/A,FALSE,"Eletr.";#N/A,#N/A,FALSE,"EL";#N/A,#N/A,FALSE,"Mec.Refrig.";#N/A,#N/A,FALSE,"Serv. Civ.";#N/A,#N/A,FALSE,"MMO";#N/A,#N/A,FALSE,"EN - CA";#N/A,#N/A,FALSE,"EL - ELT";#N/A,#N/A,FALSE,"PE";#N/A,#N/A,FALSE,"CARP";#N/A,#N/A,FALSE,"TAPEC";#N/A,#N/A,FALSE,"FU";#N/A,#N/A,FALSE,"Mec. Manut.";#N/A,#N/A,FALSE,"SO";#N/A,#N/A,FALSE,"Marc."}</definedName>
    <definedName name="wrn.Caixa._.de._.Ferramentas." localSheetId="1" hidden="1">{#N/A,#N/A,FALSE,"Eletricista";#N/A,#N/A,FALSE,"Mec. Refrig.";#N/A,#N/A,FALSE,"Civil";#N/A,#N/A,FALSE,"Civ";#N/A,#N/A,FALSE,"Serralheiro";#N/A,#N/A,FALSE,"Encanador";#N/A,#N/A,FALSE,"Eletr.";#N/A,#N/A,FALSE,"EL";#N/A,#N/A,FALSE,"Mec.Refrig.";#N/A,#N/A,FALSE,"Serv. Civ.";#N/A,#N/A,FALSE,"MMO";#N/A,#N/A,FALSE,"EN - CA";#N/A,#N/A,FALSE,"EL - ELT";#N/A,#N/A,FALSE,"PE";#N/A,#N/A,FALSE,"CARP";#N/A,#N/A,FALSE,"TAPEC";#N/A,#N/A,FALSE,"FU";#N/A,#N/A,FALSE,"Mec. Manut.";#N/A,#N/A,FALSE,"SO";#N/A,#N/A,FALSE,"Marc."}</definedName>
    <definedName name="wrn.Caixa._.de._.Ferramentas." hidden="1">{#N/A,#N/A,FALSE,"Eletricista";#N/A,#N/A,FALSE,"Mec. Refrig.";#N/A,#N/A,FALSE,"Civil";#N/A,#N/A,FALSE,"Civ";#N/A,#N/A,FALSE,"Serralheiro";#N/A,#N/A,FALSE,"Encanador";#N/A,#N/A,FALSE,"Eletr.";#N/A,#N/A,FALSE,"EL";#N/A,#N/A,FALSE,"Mec.Refrig.";#N/A,#N/A,FALSE,"Serv. Civ.";#N/A,#N/A,FALSE,"MMO";#N/A,#N/A,FALSE,"EN - CA";#N/A,#N/A,FALSE,"EL - ELT";#N/A,#N/A,FALSE,"PE";#N/A,#N/A,FALSE,"CARP";#N/A,#N/A,FALSE,"TAPEC";#N/A,#N/A,FALSE,"FU";#N/A,#N/A,FALSE,"Mec. Manut.";#N/A,#N/A,FALSE,"SO";#N/A,#N/A,FALSE,"Marc."}</definedName>
    <definedName name="wrn.Caixa._.de._.Ferramentas._.Individuais." localSheetId="0" hidden="1">{#N/A,#N/A,FALSE,"Eletricista";#N/A,#N/A,FALSE,"Mecânico de Refrigeração";#N/A,#N/A,FALSE,"Obra civil";#N/A,#N/A,FALSE,"Serralheiro e Mecânico Montador";#N/A,#N/A,FALSE,"Encanador e Caldeireiro";#N/A,#N/A,FALSE,"Eletricista eletrônico";#N/A,#N/A,FALSE,"Pedreiro";#N/A,#N/A,FALSE,"Carpinteiro";#N/A,#N/A,FALSE,"Tapeceiro";#N/A,#N/A,FALSE,"Funileiro";#N/A,#N/A,FALSE,"Mecânico de Manutenção";#N/A,#N/A,FALSE,"Soldador";#N/A,#N/A,FALSE,"Marceneiro";#N/A,#N/A,FALSE,"Laminador"}</definedName>
    <definedName name="wrn.Caixa._.de._.Ferramentas._.Individuais." localSheetId="2" hidden="1">{#N/A,#N/A,FALSE,"Eletricista";#N/A,#N/A,FALSE,"Mecânico de Refrigeração";#N/A,#N/A,FALSE,"Obra civil";#N/A,#N/A,FALSE,"Serralheiro e Mecânico Montador";#N/A,#N/A,FALSE,"Encanador e Caldeireiro";#N/A,#N/A,FALSE,"Eletricista eletrônico";#N/A,#N/A,FALSE,"Pedreiro";#N/A,#N/A,FALSE,"Carpinteiro";#N/A,#N/A,FALSE,"Tapeceiro";#N/A,#N/A,FALSE,"Funileiro";#N/A,#N/A,FALSE,"Mecânico de Manutenção";#N/A,#N/A,FALSE,"Soldador";#N/A,#N/A,FALSE,"Marceneiro";#N/A,#N/A,FALSE,"Laminador"}</definedName>
    <definedName name="wrn.Caixa._.de._.Ferramentas._.Individuais." localSheetId="1" hidden="1">{#N/A,#N/A,FALSE,"Eletricista";#N/A,#N/A,FALSE,"Mecânico de Refrigeração";#N/A,#N/A,FALSE,"Obra civil";#N/A,#N/A,FALSE,"Serralheiro e Mecânico Montador";#N/A,#N/A,FALSE,"Encanador e Caldeireiro";#N/A,#N/A,FALSE,"Eletricista eletrônico";#N/A,#N/A,FALSE,"Pedreiro";#N/A,#N/A,FALSE,"Carpinteiro";#N/A,#N/A,FALSE,"Tapeceiro";#N/A,#N/A,FALSE,"Funileiro";#N/A,#N/A,FALSE,"Mecânico de Manutenção";#N/A,#N/A,FALSE,"Soldador";#N/A,#N/A,FALSE,"Marceneiro";#N/A,#N/A,FALSE,"Laminador"}</definedName>
    <definedName name="wrn.Caixa._.de._.Ferramentas._.Individuais." hidden="1">{#N/A,#N/A,FALSE,"Eletricista";#N/A,#N/A,FALSE,"Mecânico de Refrigeração";#N/A,#N/A,FALSE,"Obra civil";#N/A,#N/A,FALSE,"Serralheiro e Mecânico Montador";#N/A,#N/A,FALSE,"Encanador e Caldeireiro";#N/A,#N/A,FALSE,"Eletricista eletrônico";#N/A,#N/A,FALSE,"Pedreiro";#N/A,#N/A,FALSE,"Carpinteiro";#N/A,#N/A,FALSE,"Tapeceiro";#N/A,#N/A,FALSE,"Funileiro";#N/A,#N/A,FALSE,"Mecânico de Manutenção";#N/A,#N/A,FALSE,"Soldador";#N/A,#N/A,FALSE,"Marceneiro";#N/A,#N/A,FALSE,"Laminador"}</definedName>
    <definedName name="wrn.Cronograma." localSheetId="0" hidden="1">{#N/A,#N/A,FALSE,"Cronograma";#N/A,#N/A,FALSE,"Cronogr. 2"}</definedName>
    <definedName name="wrn.Cronograma." localSheetId="2" hidden="1">{#N/A,#N/A,FALSE,"Cronograma";#N/A,#N/A,FALSE,"Cronogr. 2"}</definedName>
    <definedName name="wrn.Cronograma." localSheetId="1" hidden="1">{#N/A,#N/A,FALSE,"Cronograma";#N/A,#N/A,FALSE,"Cronogr. 2"}</definedName>
    <definedName name="wrn.Cronograma." hidden="1">{#N/A,#N/A,FALSE,"Cronograma";#N/A,#N/A,FALSE,"Cronogr. 2"}</definedName>
    <definedName name="wrn.ESTIMAT." localSheetId="0" hidden="1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STIMAT." localSheetId="2" hidden="1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STIMAT." localSheetId="1" hidden="1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STIMAT." hidden="1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impressao." localSheetId="0" hidden="1">{#N/A,#N/A,FALSE,"FASE1";#N/A,#N/A,FALSE,"FASE2";#N/A,#N/A,FALSE,"FASE3";#N/A,#N/A,FALSE,"FASE4";#N/A,#N/A,FALSE,"FASE5";#N/A,#N/A,FALSE,"FASE6";#N/A,#N/A,FALSE,"FASE7";#N/A,#N/A,FALSE,"FASE8";#N/A,#N/A,FALSE,"FASE9";#N/A,#N/A,FALSE,"FASE10";#N/A,#N/A,FALSE,"EQUIPAMENTOS";#N/A,#N/A,FALSE,"MOI";#N/A,#N/A,FALSE,"CANTEIRO";#N/A,#N/A,FALSE,"TERCEIROS";#N/A,#N/A,FALSE,"DCO";#N/A,#N/A,FALSE,"RESUMO"}</definedName>
    <definedName name="wrn.impressao." localSheetId="2" hidden="1">{#N/A,#N/A,FALSE,"FASE1";#N/A,#N/A,FALSE,"FASE2";#N/A,#N/A,FALSE,"FASE3";#N/A,#N/A,FALSE,"FASE4";#N/A,#N/A,FALSE,"FASE5";#N/A,#N/A,FALSE,"FASE6";#N/A,#N/A,FALSE,"FASE7";#N/A,#N/A,FALSE,"FASE8";#N/A,#N/A,FALSE,"FASE9";#N/A,#N/A,FALSE,"FASE10";#N/A,#N/A,FALSE,"EQUIPAMENTOS";#N/A,#N/A,FALSE,"MOI";#N/A,#N/A,FALSE,"CANTEIRO";#N/A,#N/A,FALSE,"TERCEIROS";#N/A,#N/A,FALSE,"DCO";#N/A,#N/A,FALSE,"RESUMO"}</definedName>
    <definedName name="wrn.impressao." localSheetId="1" hidden="1">{#N/A,#N/A,FALSE,"FASE1";#N/A,#N/A,FALSE,"FASE2";#N/A,#N/A,FALSE,"FASE3";#N/A,#N/A,FALSE,"FASE4";#N/A,#N/A,FALSE,"FASE5";#N/A,#N/A,FALSE,"FASE6";#N/A,#N/A,FALSE,"FASE7";#N/A,#N/A,FALSE,"FASE8";#N/A,#N/A,FALSE,"FASE9";#N/A,#N/A,FALSE,"FASE10";#N/A,#N/A,FALSE,"EQUIPAMENTOS";#N/A,#N/A,FALSE,"MOI";#N/A,#N/A,FALSE,"CANTEIRO";#N/A,#N/A,FALSE,"TERCEIROS";#N/A,#N/A,FALSE,"DCO";#N/A,#N/A,FALSE,"RESUMO"}</definedName>
    <definedName name="wrn.impressao." hidden="1">{#N/A,#N/A,FALSE,"FASE1";#N/A,#N/A,FALSE,"FASE2";#N/A,#N/A,FALSE,"FASE3";#N/A,#N/A,FALSE,"FASE4";#N/A,#N/A,FALSE,"FASE5";#N/A,#N/A,FALSE,"FASE6";#N/A,#N/A,FALSE,"FASE7";#N/A,#N/A,FALSE,"FASE8";#N/A,#N/A,FALSE,"FASE9";#N/A,#N/A,FALSE,"FASE10";#N/A,#N/A,FALSE,"EQUIPAMENTOS";#N/A,#N/A,FALSE,"MOI";#N/A,#N/A,FALSE,"CANTEIRO";#N/A,#N/A,FALSE,"TERCEIROS";#N/A,#N/A,FALSE,"DCO";#N/A,#N/A,FALSE,"RESUMO"}</definedName>
    <definedName name="WRN.PEN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total">[8]Ingles!$N$7:$N$202</definedName>
    <definedName name="X" localSheetId="2">#REF!</definedName>
    <definedName name="X" localSheetId="1">#REF!</definedName>
    <definedName name="X">#REF!</definedName>
    <definedName name="xxx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" localSheetId="2">#REF!</definedName>
    <definedName name="XXXXX" localSheetId="1">#REF!</definedName>
    <definedName name="XXXXX">#REF!</definedName>
    <definedName name="XXXXXX" localSheetId="2">#REF!</definedName>
    <definedName name="XXXXXX" localSheetId="1">#REF!</definedName>
    <definedName name="XXXXXX">#REF!</definedName>
    <definedName name="XXXXXXX" localSheetId="2">[12]Cap7!#REF!</definedName>
    <definedName name="XXXXXXX" localSheetId="1">[12]Cap7!#REF!</definedName>
    <definedName name="XXXXXXX">[12]Cap7!#REF!</definedName>
    <definedName name="XYZZXZXXZXZ" localSheetId="2">#REF!</definedName>
    <definedName name="XYZZXZXXZXZ" localSheetId="1">#REF!</definedName>
    <definedName name="XYZZXZXXZXZ">#REF!</definedName>
    <definedName name="Yes_No_NA">#REF!</definedName>
    <definedName name="Z">[8]Ingles!$J$7:$J$202</definedName>
  </definedNames>
  <calcPr calcId="191029"/>
  <fileRecoveryPr autoRecover="0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2" i="115" l="1"/>
  <c r="C18" i="153"/>
  <c r="C54" i="115" l="1"/>
  <c r="F54" i="115"/>
  <c r="G54" i="115"/>
  <c r="E17" i="153" l="1"/>
  <c r="E18" i="153"/>
  <c r="E22" i="153"/>
  <c r="C22" i="153"/>
  <c r="E21" i="153"/>
  <c r="C21" i="153"/>
  <c r="E20" i="153"/>
  <c r="C20" i="153"/>
  <c r="C19" i="153"/>
  <c r="E19" i="153"/>
  <c r="C17" i="153"/>
  <c r="I17" i="150"/>
  <c r="I18" i="150"/>
  <c r="I19" i="150"/>
  <c r="I20" i="150"/>
  <c r="I21" i="150"/>
  <c r="I22" i="150"/>
  <c r="I23" i="150"/>
  <c r="I24" i="150"/>
  <c r="I25" i="150"/>
  <c r="I26" i="150"/>
  <c r="I27" i="150"/>
  <c r="I28" i="150"/>
  <c r="I29" i="150"/>
  <c r="I30" i="150"/>
  <c r="I31" i="150"/>
  <c r="I32" i="150"/>
  <c r="I33" i="150"/>
  <c r="I34" i="150"/>
  <c r="I35" i="150"/>
  <c r="I36" i="150"/>
  <c r="I37" i="150"/>
  <c r="I38" i="150"/>
  <c r="I39" i="150"/>
  <c r="I40" i="150"/>
  <c r="I41" i="150"/>
  <c r="I42" i="150"/>
  <c r="I43" i="150"/>
  <c r="I44" i="150"/>
  <c r="I45" i="150"/>
  <c r="I46" i="150"/>
  <c r="I47" i="150"/>
  <c r="I48" i="150"/>
  <c r="I49" i="150"/>
  <c r="I50" i="150"/>
  <c r="I51" i="150"/>
  <c r="I52" i="150"/>
  <c r="I53" i="150"/>
  <c r="I54" i="150"/>
  <c r="I55" i="150"/>
  <c r="I56" i="150"/>
  <c r="I57" i="150"/>
  <c r="I58" i="150"/>
  <c r="I59" i="150"/>
  <c r="I60" i="150"/>
  <c r="I61" i="150"/>
  <c r="I62" i="150"/>
  <c r="I63" i="150"/>
  <c r="I64" i="150"/>
  <c r="I65" i="150"/>
  <c r="I66" i="150"/>
  <c r="I67" i="150"/>
  <c r="I68" i="150"/>
  <c r="I69" i="150"/>
  <c r="I70" i="150"/>
  <c r="I71" i="150"/>
  <c r="I72" i="150"/>
  <c r="I73" i="150"/>
  <c r="I74" i="150"/>
  <c r="I75" i="150"/>
  <c r="I76" i="150"/>
  <c r="I77" i="150"/>
  <c r="I78" i="150"/>
  <c r="I79" i="150"/>
  <c r="I80" i="150"/>
  <c r="I81" i="150"/>
  <c r="I82" i="150"/>
  <c r="I83" i="150"/>
  <c r="I84" i="150"/>
  <c r="I85" i="150"/>
  <c r="I86" i="150"/>
  <c r="I87" i="150"/>
  <c r="I88" i="150"/>
  <c r="I89" i="150"/>
  <c r="I90" i="150"/>
  <c r="I91" i="150"/>
  <c r="I92" i="150"/>
  <c r="I93" i="150"/>
  <c r="I94" i="150"/>
  <c r="I95" i="150"/>
  <c r="I96" i="150"/>
  <c r="I97" i="150"/>
  <c r="I98" i="150"/>
  <c r="I99" i="150"/>
  <c r="I100" i="150"/>
  <c r="I101" i="150"/>
  <c r="I102" i="150"/>
  <c r="I103" i="150"/>
  <c r="I104" i="150"/>
  <c r="I105" i="150"/>
  <c r="I106" i="150"/>
  <c r="I107" i="150"/>
  <c r="I108" i="150"/>
  <c r="I109" i="150"/>
  <c r="I110" i="150"/>
  <c r="I111" i="150"/>
  <c r="I112" i="150"/>
  <c r="I113" i="150"/>
  <c r="I114" i="150"/>
  <c r="I115" i="150"/>
  <c r="I116" i="150"/>
  <c r="I117" i="150"/>
  <c r="I118" i="150"/>
  <c r="I119" i="150"/>
  <c r="I120" i="150"/>
  <c r="I121" i="150"/>
  <c r="I122" i="150"/>
  <c r="I123" i="150"/>
  <c r="I124" i="150"/>
  <c r="I125" i="150"/>
  <c r="I126" i="150"/>
  <c r="I127" i="150"/>
  <c r="I128" i="150"/>
  <c r="I129" i="150"/>
  <c r="J130" i="150"/>
  <c r="J131" i="150" s="1"/>
  <c r="K130" i="150"/>
  <c r="K131" i="150" s="1"/>
  <c r="B21" i="153" l="1"/>
  <c r="B22" i="153"/>
  <c r="B20" i="153"/>
  <c r="B18" i="153"/>
  <c r="B19" i="153"/>
  <c r="B17" i="153"/>
  <c r="I130" i="150"/>
  <c r="I131" i="150" s="1"/>
  <c r="L126" i="150"/>
  <c r="N126" i="150" s="1"/>
  <c r="M126" i="150" s="1"/>
  <c r="L125" i="150"/>
  <c r="N125" i="150" s="1"/>
  <c r="M125" i="150" s="1"/>
  <c r="L122" i="150"/>
  <c r="N122" i="150" s="1"/>
  <c r="M122" i="150" s="1"/>
  <c r="L118" i="150"/>
  <c r="N118" i="150" s="1"/>
  <c r="M118" i="150" s="1"/>
  <c r="L117" i="150"/>
  <c r="N117" i="150" s="1"/>
  <c r="M117" i="150" s="1"/>
  <c r="L114" i="150"/>
  <c r="N114" i="150" s="1"/>
  <c r="M114" i="150" s="1"/>
  <c r="L110" i="150"/>
  <c r="N110" i="150" s="1"/>
  <c r="M110" i="150" s="1"/>
  <c r="L109" i="150"/>
  <c r="N109" i="150" s="1"/>
  <c r="M109" i="150" s="1"/>
  <c r="L106" i="150"/>
  <c r="N106" i="150" s="1"/>
  <c r="M106" i="150" s="1"/>
  <c r="L102" i="150"/>
  <c r="N102" i="150" s="1"/>
  <c r="M102" i="150" s="1"/>
  <c r="L101" i="150"/>
  <c r="N101" i="150" s="1"/>
  <c r="M101" i="150" s="1"/>
  <c r="L98" i="150"/>
  <c r="N98" i="150" s="1"/>
  <c r="M98" i="150" s="1"/>
  <c r="L94" i="150"/>
  <c r="N94" i="150" s="1"/>
  <c r="M94" i="150" s="1"/>
  <c r="L93" i="150"/>
  <c r="N93" i="150" s="1"/>
  <c r="M93" i="150" s="1"/>
  <c r="L90" i="150"/>
  <c r="N90" i="150" s="1"/>
  <c r="M90" i="150" s="1"/>
  <c r="L86" i="150"/>
  <c r="N86" i="150" s="1"/>
  <c r="M86" i="150" s="1"/>
  <c r="L85" i="150"/>
  <c r="N85" i="150" s="1"/>
  <c r="M85" i="150" s="1"/>
  <c r="L82" i="150"/>
  <c r="N82" i="150" s="1"/>
  <c r="M82" i="150" s="1"/>
  <c r="L78" i="150"/>
  <c r="N78" i="150" s="1"/>
  <c r="M78" i="150" s="1"/>
  <c r="L77" i="150"/>
  <c r="N77" i="150" s="1"/>
  <c r="M77" i="150" s="1"/>
  <c r="L73" i="150"/>
  <c r="N73" i="150" s="1"/>
  <c r="M73" i="150" s="1"/>
  <c r="L72" i="150"/>
  <c r="N72" i="150" s="1"/>
  <c r="M72" i="150" s="1"/>
  <c r="L69" i="150"/>
  <c r="N69" i="150" s="1"/>
  <c r="M69" i="150" s="1"/>
  <c r="L65" i="150"/>
  <c r="N65" i="150" s="1"/>
  <c r="M65" i="150" s="1"/>
  <c r="L64" i="150"/>
  <c r="N64" i="150" s="1"/>
  <c r="M64" i="150" s="1"/>
  <c r="L61" i="150"/>
  <c r="N61" i="150" s="1"/>
  <c r="M61" i="150" s="1"/>
  <c r="L57" i="150"/>
  <c r="N57" i="150" s="1"/>
  <c r="M57" i="150" s="1"/>
  <c r="L56" i="150"/>
  <c r="N56" i="150" s="1"/>
  <c r="M56" i="150" s="1"/>
  <c r="L53" i="150"/>
  <c r="N53" i="150" s="1"/>
  <c r="M53" i="150" s="1"/>
  <c r="L49" i="150"/>
  <c r="N49" i="150" s="1"/>
  <c r="M49" i="150" s="1"/>
  <c r="L48" i="150"/>
  <c r="N48" i="150" s="1"/>
  <c r="M48" i="150" s="1"/>
  <c r="L45" i="150"/>
  <c r="N45" i="150" s="1"/>
  <c r="M45" i="150" s="1"/>
  <c r="L41" i="150"/>
  <c r="N41" i="150" s="1"/>
  <c r="M41" i="150" s="1"/>
  <c r="L40" i="150"/>
  <c r="N40" i="150" s="1"/>
  <c r="M40" i="150" s="1"/>
  <c r="L37" i="150"/>
  <c r="N37" i="150" s="1"/>
  <c r="M37" i="150" s="1"/>
  <c r="L33" i="150"/>
  <c r="N33" i="150" s="1"/>
  <c r="M33" i="150" s="1"/>
  <c r="L32" i="150"/>
  <c r="N32" i="150" s="1"/>
  <c r="M32" i="150" s="1"/>
  <c r="L29" i="150"/>
  <c r="N29" i="150" s="1"/>
  <c r="M29" i="150" s="1"/>
  <c r="L25" i="150"/>
  <c r="N25" i="150" s="1"/>
  <c r="M25" i="150" s="1"/>
  <c r="L24" i="150"/>
  <c r="N24" i="150" s="1"/>
  <c r="M24" i="150" s="1"/>
  <c r="L21" i="150"/>
  <c r="N21" i="150" s="1"/>
  <c r="M21" i="150" s="1"/>
  <c r="L18" i="150"/>
  <c r="N18" i="150" s="1"/>
  <c r="M18" i="150" s="1"/>
  <c r="L19" i="150"/>
  <c r="N19" i="150" s="1"/>
  <c r="M19" i="150" s="1"/>
  <c r="L20" i="150"/>
  <c r="N20" i="150" s="1"/>
  <c r="M20" i="150" s="1"/>
  <c r="L22" i="150"/>
  <c r="N22" i="150" s="1"/>
  <c r="M22" i="150" s="1"/>
  <c r="L23" i="150"/>
  <c r="N23" i="150" s="1"/>
  <c r="M23" i="150" s="1"/>
  <c r="L26" i="150"/>
  <c r="N26" i="150" s="1"/>
  <c r="M26" i="150" s="1"/>
  <c r="L27" i="150"/>
  <c r="N27" i="150" s="1"/>
  <c r="M27" i="150" s="1"/>
  <c r="L28" i="150"/>
  <c r="N28" i="150" s="1"/>
  <c r="M28" i="150" s="1"/>
  <c r="L30" i="150"/>
  <c r="L31" i="150"/>
  <c r="N31" i="150" s="1"/>
  <c r="M31" i="150" s="1"/>
  <c r="L34" i="150"/>
  <c r="N34" i="150" s="1"/>
  <c r="M34" i="150" s="1"/>
  <c r="L35" i="150"/>
  <c r="N35" i="150" s="1"/>
  <c r="M35" i="150" s="1"/>
  <c r="L36" i="150"/>
  <c r="N36" i="150" s="1"/>
  <c r="M36" i="150" s="1"/>
  <c r="L38" i="150"/>
  <c r="N38" i="150" s="1"/>
  <c r="M38" i="150" s="1"/>
  <c r="L39" i="150"/>
  <c r="N39" i="150" s="1"/>
  <c r="M39" i="150" s="1"/>
  <c r="L42" i="150"/>
  <c r="N42" i="150" s="1"/>
  <c r="M42" i="150" s="1"/>
  <c r="L43" i="150"/>
  <c r="N43" i="150" s="1"/>
  <c r="M43" i="150" s="1"/>
  <c r="L44" i="150"/>
  <c r="N44" i="150" s="1"/>
  <c r="M44" i="150" s="1"/>
  <c r="L46" i="150"/>
  <c r="N46" i="150" s="1"/>
  <c r="M46" i="150" s="1"/>
  <c r="L47" i="150"/>
  <c r="N47" i="150" s="1"/>
  <c r="M47" i="150" s="1"/>
  <c r="L50" i="150"/>
  <c r="N50" i="150" s="1"/>
  <c r="M50" i="150" s="1"/>
  <c r="L51" i="150"/>
  <c r="N51" i="150" s="1"/>
  <c r="M51" i="150" s="1"/>
  <c r="L52" i="150"/>
  <c r="N52" i="150" s="1"/>
  <c r="M52" i="150" s="1"/>
  <c r="L54" i="150"/>
  <c r="N54" i="150" s="1"/>
  <c r="M54" i="150" s="1"/>
  <c r="L55" i="150"/>
  <c r="N55" i="150" s="1"/>
  <c r="M55" i="150" s="1"/>
  <c r="L58" i="150"/>
  <c r="N58" i="150" s="1"/>
  <c r="M58" i="150" s="1"/>
  <c r="L59" i="150"/>
  <c r="N59" i="150" s="1"/>
  <c r="M59" i="150" s="1"/>
  <c r="L60" i="150"/>
  <c r="N60" i="150" s="1"/>
  <c r="M60" i="150" s="1"/>
  <c r="L62" i="150"/>
  <c r="N62" i="150" s="1"/>
  <c r="M62" i="150" s="1"/>
  <c r="L63" i="150"/>
  <c r="N63" i="150" s="1"/>
  <c r="M63" i="150" s="1"/>
  <c r="L66" i="150"/>
  <c r="N66" i="150" s="1"/>
  <c r="M66" i="150" s="1"/>
  <c r="L67" i="150"/>
  <c r="N67" i="150" s="1"/>
  <c r="M67" i="150" s="1"/>
  <c r="L68" i="150"/>
  <c r="N68" i="150" s="1"/>
  <c r="M68" i="150" s="1"/>
  <c r="L70" i="150"/>
  <c r="N70" i="150" s="1"/>
  <c r="M70" i="150" s="1"/>
  <c r="L71" i="150"/>
  <c r="N71" i="150" s="1"/>
  <c r="M71" i="150" s="1"/>
  <c r="L74" i="150"/>
  <c r="N74" i="150" s="1"/>
  <c r="M74" i="150" s="1"/>
  <c r="L75" i="150"/>
  <c r="N75" i="150" s="1"/>
  <c r="M75" i="150" s="1"/>
  <c r="L76" i="150"/>
  <c r="N76" i="150" s="1"/>
  <c r="M76" i="150" s="1"/>
  <c r="L79" i="150"/>
  <c r="N79" i="150" s="1"/>
  <c r="M79" i="150" s="1"/>
  <c r="L80" i="150"/>
  <c r="N80" i="150" s="1"/>
  <c r="M80" i="150" s="1"/>
  <c r="L81" i="150"/>
  <c r="N81" i="150" s="1"/>
  <c r="M81" i="150" s="1"/>
  <c r="L83" i="150"/>
  <c r="N83" i="150" s="1"/>
  <c r="M83" i="150" s="1"/>
  <c r="L84" i="150"/>
  <c r="N84" i="150" s="1"/>
  <c r="M84" i="150" s="1"/>
  <c r="L87" i="150"/>
  <c r="N87" i="150" s="1"/>
  <c r="M87" i="150" s="1"/>
  <c r="L88" i="150"/>
  <c r="N88" i="150" s="1"/>
  <c r="M88" i="150" s="1"/>
  <c r="L89" i="150"/>
  <c r="N89" i="150" s="1"/>
  <c r="M89" i="150" s="1"/>
  <c r="L91" i="150"/>
  <c r="N91" i="150" s="1"/>
  <c r="M91" i="150" s="1"/>
  <c r="L92" i="150"/>
  <c r="N92" i="150" s="1"/>
  <c r="M92" i="150" s="1"/>
  <c r="L95" i="150"/>
  <c r="N95" i="150" s="1"/>
  <c r="M95" i="150" s="1"/>
  <c r="L96" i="150"/>
  <c r="N96" i="150" s="1"/>
  <c r="M96" i="150" s="1"/>
  <c r="L97" i="150"/>
  <c r="N97" i="150" s="1"/>
  <c r="M97" i="150" s="1"/>
  <c r="L99" i="150"/>
  <c r="N99" i="150" s="1"/>
  <c r="M99" i="150" s="1"/>
  <c r="L100" i="150"/>
  <c r="N100" i="150" s="1"/>
  <c r="M100" i="150" s="1"/>
  <c r="L103" i="150"/>
  <c r="N103" i="150" s="1"/>
  <c r="M103" i="150" s="1"/>
  <c r="L104" i="150"/>
  <c r="N104" i="150" s="1"/>
  <c r="M104" i="150" s="1"/>
  <c r="L105" i="150"/>
  <c r="N105" i="150" s="1"/>
  <c r="M105" i="150" s="1"/>
  <c r="L107" i="150"/>
  <c r="N107" i="150" s="1"/>
  <c r="M107" i="150" s="1"/>
  <c r="L108" i="150"/>
  <c r="N108" i="150" s="1"/>
  <c r="M108" i="150" s="1"/>
  <c r="L111" i="150"/>
  <c r="N111" i="150" s="1"/>
  <c r="M111" i="150" s="1"/>
  <c r="L112" i="150"/>
  <c r="N112" i="150" s="1"/>
  <c r="M112" i="150" s="1"/>
  <c r="L113" i="150"/>
  <c r="N113" i="150" s="1"/>
  <c r="M113" i="150" s="1"/>
  <c r="L115" i="150"/>
  <c r="N115" i="150" s="1"/>
  <c r="M115" i="150" s="1"/>
  <c r="L116" i="150"/>
  <c r="N116" i="150" s="1"/>
  <c r="M116" i="150" s="1"/>
  <c r="L119" i="150"/>
  <c r="N119" i="150" s="1"/>
  <c r="M119" i="150" s="1"/>
  <c r="L120" i="150"/>
  <c r="N120" i="150" s="1"/>
  <c r="M120" i="150" s="1"/>
  <c r="L121" i="150"/>
  <c r="N121" i="150" s="1"/>
  <c r="M121" i="150" s="1"/>
  <c r="L123" i="150"/>
  <c r="N123" i="150" s="1"/>
  <c r="M123" i="150" s="1"/>
  <c r="L124" i="150"/>
  <c r="N124" i="150" s="1"/>
  <c r="M124" i="150" s="1"/>
  <c r="L127" i="150"/>
  <c r="N127" i="150" s="1"/>
  <c r="M127" i="150" s="1"/>
  <c r="L128" i="150"/>
  <c r="N128" i="150" s="1"/>
  <c r="M128" i="150" s="1"/>
  <c r="L129" i="150"/>
  <c r="N129" i="150" s="1"/>
  <c r="M129" i="150" s="1"/>
  <c r="L17" i="150"/>
  <c r="N17" i="150" s="1"/>
  <c r="M17" i="150" s="1"/>
  <c r="N30" i="150" l="1"/>
  <c r="M30" i="150" s="1"/>
  <c r="S30" i="150"/>
  <c r="B23" i="153"/>
  <c r="Q94" i="150"/>
  <c r="Q114" i="150"/>
  <c r="Q93" i="150"/>
  <c r="Q90" i="150"/>
  <c r="Q53" i="150"/>
  <c r="Q33" i="150"/>
  <c r="Q117" i="150"/>
  <c r="Q29" i="150"/>
  <c r="Q73" i="150"/>
  <c r="Q56" i="150"/>
  <c r="M130" i="150"/>
  <c r="M131" i="150" s="1"/>
  <c r="Q126" i="150"/>
  <c r="Q49" i="150"/>
  <c r="Q106" i="150"/>
  <c r="Q48" i="150"/>
  <c r="Q32" i="150"/>
  <c r="Q69" i="150"/>
  <c r="Q108" i="150"/>
  <c r="Q65" i="150"/>
  <c r="Q72" i="150"/>
  <c r="Q45" i="150"/>
  <c r="Q92" i="150"/>
  <c r="Q110" i="150"/>
  <c r="Q86" i="150"/>
  <c r="Q55" i="150"/>
  <c r="Q24" i="150"/>
  <c r="Q109" i="150"/>
  <c r="Q85" i="150"/>
  <c r="Q71" i="150"/>
  <c r="Q31" i="150"/>
  <c r="Q125" i="150"/>
  <c r="Q102" i="150"/>
  <c r="Q47" i="150"/>
  <c r="Q101" i="150"/>
  <c r="Q82" i="150"/>
  <c r="Q39" i="150"/>
  <c r="Q116" i="150"/>
  <c r="Q100" i="150"/>
  <c r="Q77" i="150"/>
  <c r="Q64" i="150"/>
  <c r="Q41" i="150"/>
  <c r="Q21" i="150"/>
  <c r="Q76" i="150"/>
  <c r="Q40" i="150"/>
  <c r="Q84" i="150"/>
  <c r="Q63" i="150"/>
  <c r="Q123" i="150"/>
  <c r="Q115" i="150"/>
  <c r="Q107" i="150"/>
  <c r="Q99" i="150"/>
  <c r="Q91" i="150"/>
  <c r="Q83" i="150"/>
  <c r="Q70" i="150"/>
  <c r="Q62" i="150"/>
  <c r="Q54" i="150"/>
  <c r="Q46" i="150"/>
  <c r="Q38" i="150"/>
  <c r="Q30" i="150"/>
  <c r="Q22" i="150"/>
  <c r="Q23" i="150"/>
  <c r="Q122" i="150"/>
  <c r="Q98" i="150"/>
  <c r="Q61" i="150"/>
  <c r="Q37" i="150"/>
  <c r="Q129" i="150"/>
  <c r="Q121" i="150"/>
  <c r="Q113" i="150"/>
  <c r="Q105" i="150"/>
  <c r="Q97" i="150"/>
  <c r="Q89" i="150"/>
  <c r="Q81" i="150"/>
  <c r="Q68" i="150"/>
  <c r="Q60" i="150"/>
  <c r="Q52" i="150"/>
  <c r="Q44" i="150"/>
  <c r="Q36" i="150"/>
  <c r="Q28" i="150"/>
  <c r="Q20" i="150"/>
  <c r="Q124" i="150"/>
  <c r="Q128" i="150"/>
  <c r="Q120" i="150"/>
  <c r="Q112" i="150"/>
  <c r="Q104" i="150"/>
  <c r="Q96" i="150"/>
  <c r="Q88" i="150"/>
  <c r="Q80" i="150"/>
  <c r="Q75" i="150"/>
  <c r="Q67" i="150"/>
  <c r="Q59" i="150"/>
  <c r="Q51" i="150"/>
  <c r="Q43" i="150"/>
  <c r="Q35" i="150"/>
  <c r="Q27" i="150"/>
  <c r="Q19" i="150"/>
  <c r="Q127" i="150"/>
  <c r="Q119" i="150"/>
  <c r="Q111" i="150"/>
  <c r="Q103" i="150"/>
  <c r="Q95" i="150"/>
  <c r="Q87" i="150"/>
  <c r="Q79" i="150"/>
  <c r="Q74" i="150"/>
  <c r="Q66" i="150"/>
  <c r="Q58" i="150"/>
  <c r="Q50" i="150"/>
  <c r="Q42" i="150"/>
  <c r="Q34" i="150"/>
  <c r="Q26" i="150"/>
  <c r="Q18" i="150"/>
  <c r="Q118" i="150"/>
  <c r="Q78" i="150"/>
  <c r="Q57" i="150"/>
  <c r="Q25" i="150"/>
  <c r="Q17" i="150"/>
  <c r="Q130" i="150" l="1"/>
  <c r="Q131" i="150" s="1"/>
  <c r="S129" i="150" l="1"/>
  <c r="S55" i="150"/>
  <c r="S128" i="150"/>
  <c r="S98" i="150"/>
  <c r="S57" i="150"/>
  <c r="S54" i="150"/>
  <c r="T129" i="150" l="1"/>
  <c r="U129" i="150"/>
  <c r="Y129" i="150" s="1"/>
  <c r="T57" i="150"/>
  <c r="U57" i="150"/>
  <c r="Y57" i="150" s="1"/>
  <c r="T128" i="150"/>
  <c r="U128" i="150"/>
  <c r="Y128" i="150" s="1"/>
  <c r="S56" i="150"/>
  <c r="S99" i="150"/>
  <c r="T55" i="150"/>
  <c r="U55" i="150"/>
  <c r="Y55" i="150" s="1"/>
  <c r="U54" i="150"/>
  <c r="Y54" i="150" s="1"/>
  <c r="T54" i="150"/>
  <c r="S77" i="150"/>
  <c r="S97" i="150"/>
  <c r="T98" i="150"/>
  <c r="U98" i="150"/>
  <c r="Y98" i="150" s="1"/>
  <c r="V98" i="150" l="1"/>
  <c r="V128" i="150"/>
  <c r="V57" i="150"/>
  <c r="V54" i="150"/>
  <c r="V55" i="150"/>
  <c r="V129" i="150"/>
  <c r="T97" i="150"/>
  <c r="U97" i="150"/>
  <c r="Y97" i="150" s="1"/>
  <c r="U77" i="150"/>
  <c r="Y77" i="150" s="1"/>
  <c r="T77" i="150"/>
  <c r="T99" i="150"/>
  <c r="U99" i="150"/>
  <c r="Y99" i="150" s="1"/>
  <c r="T56" i="150"/>
  <c r="U56" i="150"/>
  <c r="Y56" i="150" s="1"/>
  <c r="S96" i="150"/>
  <c r="V97" i="150" l="1"/>
  <c r="V56" i="150"/>
  <c r="V77" i="150"/>
  <c r="V99" i="150"/>
  <c r="T96" i="150"/>
  <c r="U96" i="150"/>
  <c r="Y96" i="150" s="1"/>
  <c r="V96" i="150" l="1"/>
  <c r="S95" i="150" l="1"/>
  <c r="S124" i="150" l="1"/>
  <c r="S123" i="150"/>
  <c r="S104" i="150"/>
  <c r="S40" i="150"/>
  <c r="S31" i="150"/>
  <c r="S120" i="150"/>
  <c r="S38" i="150"/>
  <c r="T31" i="150" l="1"/>
  <c r="U31" i="150"/>
  <c r="Y31" i="150" s="1"/>
  <c r="S27" i="150"/>
  <c r="S90" i="150"/>
  <c r="S25" i="150"/>
  <c r="S92" i="150"/>
  <c r="S80" i="150"/>
  <c r="S24" i="150"/>
  <c r="S22" i="150"/>
  <c r="S102" i="150"/>
  <c r="S39" i="150"/>
  <c r="S94" i="150"/>
  <c r="S91" i="150"/>
  <c r="T95" i="150"/>
  <c r="U95" i="150"/>
  <c r="Y95" i="150" s="1"/>
  <c r="S122" i="150"/>
  <c r="S48" i="150"/>
  <c r="S33" i="150"/>
  <c r="S21" i="150"/>
  <c r="S93" i="150"/>
  <c r="S41" i="150"/>
  <c r="S19" i="150"/>
  <c r="S37" i="150"/>
  <c r="S83" i="150"/>
  <c r="S20" i="150"/>
  <c r="S35" i="150"/>
  <c r="S100" i="150"/>
  <c r="S69" i="150"/>
  <c r="S36" i="150"/>
  <c r="S84" i="150"/>
  <c r="V95" i="150" l="1"/>
  <c r="V31" i="150"/>
  <c r="T91" i="150"/>
  <c r="U91" i="150"/>
  <c r="Y91" i="150" s="1"/>
  <c r="T93" i="150"/>
  <c r="U93" i="150"/>
  <c r="Y93" i="150" s="1"/>
  <c r="T35" i="150"/>
  <c r="U35" i="150"/>
  <c r="Y35" i="150" s="1"/>
  <c r="T36" i="150"/>
  <c r="U36" i="150"/>
  <c r="Y36" i="150" s="1"/>
  <c r="T122" i="150"/>
  <c r="U122" i="150"/>
  <c r="Y122" i="150" s="1"/>
  <c r="T30" i="150"/>
  <c r="U30" i="150"/>
  <c r="Y30" i="150" s="1"/>
  <c r="U124" i="150"/>
  <c r="Y124" i="150" s="1"/>
  <c r="T124" i="150"/>
  <c r="T102" i="150"/>
  <c r="U102" i="150"/>
  <c r="Y102" i="150" s="1"/>
  <c r="T22" i="150"/>
  <c r="U22" i="150"/>
  <c r="Y22" i="150" s="1"/>
  <c r="T104" i="150"/>
  <c r="U104" i="150"/>
  <c r="Y104" i="150" s="1"/>
  <c r="T84" i="150"/>
  <c r="U84" i="150"/>
  <c r="Y84" i="150" s="1"/>
  <c r="T33" i="150"/>
  <c r="U33" i="150"/>
  <c r="Y33" i="150" s="1"/>
  <c r="U92" i="150"/>
  <c r="Y92" i="150" s="1"/>
  <c r="T92" i="150"/>
  <c r="T19" i="150"/>
  <c r="U19" i="150"/>
  <c r="Y19" i="150" s="1"/>
  <c r="T48" i="150"/>
  <c r="U48" i="150"/>
  <c r="Y48" i="150" s="1"/>
  <c r="U24" i="150"/>
  <c r="Y24" i="150" s="1"/>
  <c r="T24" i="150"/>
  <c r="T39" i="150"/>
  <c r="U39" i="150"/>
  <c r="Y39" i="150" s="1"/>
  <c r="T40" i="150"/>
  <c r="U40" i="150"/>
  <c r="Y40" i="150" s="1"/>
  <c r="T120" i="150"/>
  <c r="U120" i="150"/>
  <c r="Y120" i="150" s="1"/>
  <c r="T90" i="150"/>
  <c r="U90" i="150"/>
  <c r="Y90" i="150" s="1"/>
  <c r="T27" i="150"/>
  <c r="U27" i="150"/>
  <c r="Y27" i="150" s="1"/>
  <c r="T38" i="150"/>
  <c r="U38" i="150"/>
  <c r="Y38" i="150" s="1"/>
  <c r="T69" i="150"/>
  <c r="U69" i="150"/>
  <c r="Y69" i="150" s="1"/>
  <c r="T20" i="150"/>
  <c r="U20" i="150"/>
  <c r="Y20" i="150" s="1"/>
  <c r="T41" i="150"/>
  <c r="U41" i="150"/>
  <c r="Y41" i="150" s="1"/>
  <c r="U100" i="150"/>
  <c r="Y100" i="150" s="1"/>
  <c r="T100" i="150"/>
  <c r="T80" i="150"/>
  <c r="U80" i="150"/>
  <c r="Y80" i="150" s="1"/>
  <c r="T123" i="150"/>
  <c r="U123" i="150"/>
  <c r="Y123" i="150" s="1"/>
  <c r="T94" i="150"/>
  <c r="U94" i="150"/>
  <c r="Y94" i="150" s="1"/>
  <c r="T25" i="150"/>
  <c r="U25" i="150"/>
  <c r="Y25" i="150" s="1"/>
  <c r="T37" i="150"/>
  <c r="U37" i="150"/>
  <c r="Y37" i="150" s="1"/>
  <c r="T83" i="150"/>
  <c r="U83" i="150"/>
  <c r="Y83" i="150" s="1"/>
  <c r="T21" i="150"/>
  <c r="U21" i="150"/>
  <c r="Y21" i="150" s="1"/>
  <c r="V93" i="150" l="1"/>
  <c r="V20" i="150"/>
  <c r="V80" i="150"/>
  <c r="V22" i="150"/>
  <c r="V122" i="150"/>
  <c r="V91" i="150"/>
  <c r="V19" i="150"/>
  <c r="V24" i="150"/>
  <c r="V90" i="150"/>
  <c r="V102" i="150"/>
  <c r="V39" i="150"/>
  <c r="V25" i="150"/>
  <c r="V37" i="150"/>
  <c r="V104" i="150"/>
  <c r="V94" i="150"/>
  <c r="V38" i="150"/>
  <c r="V33" i="150"/>
  <c r="V100" i="150"/>
  <c r="V41" i="150"/>
  <c r="V27" i="150"/>
  <c r="V40" i="150"/>
  <c r="V84" i="150"/>
  <c r="V35" i="150"/>
  <c r="V123" i="150"/>
  <c r="V30" i="150"/>
  <c r="V69" i="150"/>
  <c r="V92" i="150"/>
  <c r="V21" i="150"/>
  <c r="V120" i="150"/>
  <c r="V48" i="150"/>
  <c r="V36" i="150"/>
  <c r="V83" i="150"/>
  <c r="V124" i="150"/>
  <c r="S105" i="150" l="1"/>
  <c r="S111" i="150"/>
  <c r="S64" i="150"/>
  <c r="S74" i="150"/>
  <c r="S86" i="150"/>
  <c r="S113" i="150"/>
  <c r="S18" i="150"/>
  <c r="S127" i="150"/>
  <c r="S52" i="150"/>
  <c r="S116" i="150"/>
  <c r="S85" i="150"/>
  <c r="S42" i="150"/>
  <c r="S109" i="150"/>
  <c r="S89" i="150"/>
  <c r="S34" i="150"/>
  <c r="S29" i="150"/>
  <c r="S75" i="150"/>
  <c r="S32" i="150"/>
  <c r="S103" i="150"/>
  <c r="S108" i="150"/>
  <c r="F18" i="153" l="1"/>
  <c r="S78" i="150"/>
  <c r="S62" i="150"/>
  <c r="S101" i="150"/>
  <c r="S51" i="150"/>
  <c r="S82" i="150"/>
  <c r="S17" i="150"/>
  <c r="S50" i="150"/>
  <c r="S49" i="150"/>
  <c r="S112" i="150"/>
  <c r="S71" i="150"/>
  <c r="S119" i="150"/>
  <c r="S72" i="150"/>
  <c r="S106" i="150"/>
  <c r="S76" i="150"/>
  <c r="S79" i="150"/>
  <c r="S118" i="150"/>
  <c r="S53" i="150"/>
  <c r="S26" i="150"/>
  <c r="S23" i="150"/>
  <c r="S63" i="150"/>
  <c r="S121" i="150"/>
  <c r="S110" i="150"/>
  <c r="S46" i="150"/>
  <c r="S43" i="150"/>
  <c r="S65" i="150"/>
  <c r="S45" i="150"/>
  <c r="S59" i="150"/>
  <c r="S88" i="150"/>
  <c r="S73" i="150"/>
  <c r="S126" i="150"/>
  <c r="S67" i="150"/>
  <c r="S114" i="150"/>
  <c r="S107" i="150"/>
  <c r="S47" i="150"/>
  <c r="S58" i="150"/>
  <c r="S66" i="150"/>
  <c r="S60" i="150"/>
  <c r="S44" i="150"/>
  <c r="S28" i="150"/>
  <c r="S125" i="150"/>
  <c r="S115" i="150"/>
  <c r="S61" i="150"/>
  <c r="S117" i="150"/>
  <c r="S70" i="150"/>
  <c r="S68" i="150"/>
  <c r="S87" i="150"/>
  <c r="L130" i="150"/>
  <c r="F19" i="153" l="1"/>
  <c r="F21" i="153"/>
  <c r="F20" i="153"/>
  <c r="F17" i="153"/>
  <c r="L131" i="150"/>
  <c r="U47" i="150"/>
  <c r="Y47" i="150" s="1"/>
  <c r="T47" i="150"/>
  <c r="T115" i="150"/>
  <c r="U115" i="150"/>
  <c r="Y115" i="150" s="1"/>
  <c r="T70" i="150"/>
  <c r="U70" i="150"/>
  <c r="Y70" i="150" s="1"/>
  <c r="T114" i="150"/>
  <c r="U114" i="150"/>
  <c r="Y114" i="150" s="1"/>
  <c r="T118" i="150"/>
  <c r="U118" i="150"/>
  <c r="Y118" i="150" s="1"/>
  <c r="U17" i="150"/>
  <c r="Y17" i="150" s="1"/>
  <c r="T119" i="150"/>
  <c r="U119" i="150"/>
  <c r="Y119" i="150" s="1"/>
  <c r="T26" i="150"/>
  <c r="U26" i="150"/>
  <c r="Y26" i="150" s="1"/>
  <c r="T23" i="150"/>
  <c r="U23" i="150"/>
  <c r="Y23" i="150" s="1"/>
  <c r="T71" i="150"/>
  <c r="U71" i="150"/>
  <c r="Y71" i="150" s="1"/>
  <c r="T44" i="150"/>
  <c r="U44" i="150"/>
  <c r="Y44" i="150" s="1"/>
  <c r="T68" i="150"/>
  <c r="U68" i="150"/>
  <c r="Y68" i="150" s="1"/>
  <c r="T51" i="150"/>
  <c r="U51" i="150"/>
  <c r="Y51" i="150" s="1"/>
  <c r="T72" i="150"/>
  <c r="U72" i="150"/>
  <c r="Y72" i="150" s="1"/>
  <c r="T43" i="150"/>
  <c r="U43" i="150"/>
  <c r="Y43" i="150" s="1"/>
  <c r="T62" i="150"/>
  <c r="U62" i="150"/>
  <c r="Y62" i="150" s="1"/>
  <c r="T112" i="150"/>
  <c r="U112" i="150"/>
  <c r="Y112" i="150" s="1"/>
  <c r="T67" i="150"/>
  <c r="U67" i="150"/>
  <c r="Y67" i="150" s="1"/>
  <c r="T106" i="150"/>
  <c r="U106" i="150"/>
  <c r="Y106" i="150" s="1"/>
  <c r="T65" i="150"/>
  <c r="U65" i="150"/>
  <c r="Y65" i="150" s="1"/>
  <c r="T73" i="150"/>
  <c r="U73" i="150"/>
  <c r="Y73" i="150" s="1"/>
  <c r="T50" i="150"/>
  <c r="U50" i="150"/>
  <c r="Y50" i="150" s="1"/>
  <c r="T60" i="150"/>
  <c r="U60" i="150"/>
  <c r="Y60" i="150" s="1"/>
  <c r="T87" i="150"/>
  <c r="U87" i="150"/>
  <c r="Y87" i="150" s="1"/>
  <c r="U78" i="150"/>
  <c r="Y78" i="150" s="1"/>
  <c r="T78" i="150"/>
  <c r="T76" i="150"/>
  <c r="U76" i="150"/>
  <c r="Y76" i="150" s="1"/>
  <c r="T121" i="150"/>
  <c r="U121" i="150"/>
  <c r="Y121" i="150" s="1"/>
  <c r="T46" i="150"/>
  <c r="U46" i="150"/>
  <c r="Y46" i="150" s="1"/>
  <c r="T53" i="150"/>
  <c r="U53" i="150"/>
  <c r="Y53" i="150" s="1"/>
  <c r="T58" i="150"/>
  <c r="U58" i="150"/>
  <c r="Y58" i="150" s="1"/>
  <c r="T101" i="150"/>
  <c r="U101" i="150"/>
  <c r="Y101" i="150" s="1"/>
  <c r="T126" i="150"/>
  <c r="U126" i="150"/>
  <c r="Y126" i="150" s="1"/>
  <c r="U61" i="150"/>
  <c r="Y61" i="150" s="1"/>
  <c r="T61" i="150"/>
  <c r="T110" i="150"/>
  <c r="U110" i="150"/>
  <c r="Y110" i="150" s="1"/>
  <c r="T125" i="150"/>
  <c r="U125" i="150"/>
  <c r="Y125" i="150" s="1"/>
  <c r="T127" i="150"/>
  <c r="U127" i="150"/>
  <c r="Y127" i="150" s="1"/>
  <c r="T42" i="150"/>
  <c r="U42" i="150"/>
  <c r="Y42" i="150" s="1"/>
  <c r="T105" i="150"/>
  <c r="U105" i="150"/>
  <c r="Y105" i="150" s="1"/>
  <c r="T109" i="150"/>
  <c r="U109" i="150"/>
  <c r="Y109" i="150" s="1"/>
  <c r="U34" i="150"/>
  <c r="Y34" i="150" s="1"/>
  <c r="T34" i="150"/>
  <c r="U66" i="150"/>
  <c r="Y66" i="150" s="1"/>
  <c r="T66" i="150"/>
  <c r="T88" i="150"/>
  <c r="U88" i="150"/>
  <c r="Y88" i="150" s="1"/>
  <c r="T29" i="150"/>
  <c r="U29" i="150"/>
  <c r="Y29" i="150" s="1"/>
  <c r="T28" i="150"/>
  <c r="U28" i="150"/>
  <c r="Y28" i="150" s="1"/>
  <c r="T89" i="150"/>
  <c r="U89" i="150"/>
  <c r="Y89" i="150" s="1"/>
  <c r="T113" i="150"/>
  <c r="U113" i="150"/>
  <c r="Y113" i="150" s="1"/>
  <c r="U116" i="150"/>
  <c r="Y116" i="150" s="1"/>
  <c r="T116" i="150"/>
  <c r="T85" i="150"/>
  <c r="U85" i="150"/>
  <c r="Y85" i="150" s="1"/>
  <c r="T32" i="150"/>
  <c r="U32" i="150"/>
  <c r="Y32" i="150" s="1"/>
  <c r="T75" i="150"/>
  <c r="U75" i="150"/>
  <c r="Y75" i="150" s="1"/>
  <c r="T111" i="150"/>
  <c r="U111" i="150"/>
  <c r="Y111" i="150" s="1"/>
  <c r="T64" i="150"/>
  <c r="U64" i="150"/>
  <c r="Y64" i="150" s="1"/>
  <c r="T52" i="150"/>
  <c r="U52" i="150"/>
  <c r="Y52" i="150" s="1"/>
  <c r="U108" i="150"/>
  <c r="Y108" i="150" s="1"/>
  <c r="T108" i="150"/>
  <c r="T18" i="150"/>
  <c r="U18" i="150"/>
  <c r="Y18" i="150" s="1"/>
  <c r="S81" i="150"/>
  <c r="S130" i="150" s="1"/>
  <c r="T74" i="150"/>
  <c r="U74" i="150"/>
  <c r="Y74" i="150" s="1"/>
  <c r="T103" i="150"/>
  <c r="U103" i="150"/>
  <c r="Y103" i="150" s="1"/>
  <c r="T86" i="150"/>
  <c r="U86" i="150"/>
  <c r="Y86" i="150" s="1"/>
  <c r="V47" i="150" l="1"/>
  <c r="G18" i="153"/>
  <c r="H18" i="153"/>
  <c r="D18" i="153" s="1"/>
  <c r="F22" i="153"/>
  <c r="F23" i="153" s="1"/>
  <c r="H17" i="153"/>
  <c r="V70" i="150"/>
  <c r="V18" i="150"/>
  <c r="V111" i="150"/>
  <c r="V29" i="150"/>
  <c r="V109" i="150"/>
  <c r="V125" i="150"/>
  <c r="V101" i="150"/>
  <c r="V121" i="150"/>
  <c r="V60" i="150"/>
  <c r="V106" i="150"/>
  <c r="V43" i="150"/>
  <c r="V44" i="150"/>
  <c r="V119" i="150"/>
  <c r="V86" i="150"/>
  <c r="V115" i="150"/>
  <c r="V75" i="150"/>
  <c r="V110" i="150"/>
  <c r="V76" i="150"/>
  <c r="V50" i="150"/>
  <c r="V67" i="150"/>
  <c r="V72" i="150"/>
  <c r="V71" i="150"/>
  <c r="V116" i="150"/>
  <c r="V113" i="150"/>
  <c r="V118" i="150"/>
  <c r="V105" i="150"/>
  <c r="V89" i="150"/>
  <c r="V23" i="150"/>
  <c r="V34" i="150"/>
  <c r="V58" i="150"/>
  <c r="V108" i="150"/>
  <c r="V52" i="150"/>
  <c r="V42" i="150"/>
  <c r="V73" i="150"/>
  <c r="V112" i="150"/>
  <c r="V51" i="150"/>
  <c r="V66" i="150"/>
  <c r="V61" i="150"/>
  <c r="V78" i="150"/>
  <c r="V114" i="150"/>
  <c r="V88" i="150"/>
  <c r="V103" i="150"/>
  <c r="V32" i="150"/>
  <c r="V53" i="150"/>
  <c r="V74" i="150"/>
  <c r="V64" i="150"/>
  <c r="V85" i="150"/>
  <c r="V28" i="150"/>
  <c r="V127" i="150"/>
  <c r="V126" i="150"/>
  <c r="V46" i="150"/>
  <c r="V87" i="150"/>
  <c r="V65" i="150"/>
  <c r="V62" i="150"/>
  <c r="V68" i="150"/>
  <c r="V26" i="150"/>
  <c r="V17" i="150"/>
  <c r="T17" i="150"/>
  <c r="G17" i="153" s="1"/>
  <c r="T81" i="150"/>
  <c r="U81" i="150"/>
  <c r="Y81" i="150" s="1"/>
  <c r="T82" i="150"/>
  <c r="U82" i="150"/>
  <c r="Y82" i="150" s="1"/>
  <c r="T59" i="150"/>
  <c r="U59" i="150"/>
  <c r="Y59" i="150" s="1"/>
  <c r="T63" i="150"/>
  <c r="U63" i="150"/>
  <c r="Y63" i="150" s="1"/>
  <c r="T49" i="150"/>
  <c r="U49" i="150"/>
  <c r="Y49" i="150" s="1"/>
  <c r="T117" i="150"/>
  <c r="U117" i="150"/>
  <c r="Y117" i="150" s="1"/>
  <c r="T107" i="150"/>
  <c r="U107" i="150"/>
  <c r="Y107" i="150" s="1"/>
  <c r="T79" i="150"/>
  <c r="G21" i="153" s="1"/>
  <c r="U79" i="150"/>
  <c r="Y79" i="150" s="1"/>
  <c r="T45" i="150"/>
  <c r="U45" i="150"/>
  <c r="Y45" i="150" s="1"/>
  <c r="L20" i="153" l="1"/>
  <c r="H21" i="153"/>
  <c r="D21" i="153" s="1"/>
  <c r="G53" i="115"/>
  <c r="H19" i="153"/>
  <c r="D19" i="153" s="1"/>
  <c r="G19" i="153"/>
  <c r="S131" i="150"/>
  <c r="C53" i="115"/>
  <c r="H22" i="153"/>
  <c r="D22" i="153" s="1"/>
  <c r="G22" i="153"/>
  <c r="D17" i="153"/>
  <c r="H20" i="153"/>
  <c r="D20" i="153" s="1"/>
  <c r="G20" i="153"/>
  <c r="I18" i="153"/>
  <c r="I17" i="153"/>
  <c r="L18" i="153"/>
  <c r="L17" i="153"/>
  <c r="V79" i="150"/>
  <c r="I21" i="153" s="1"/>
  <c r="V63" i="150"/>
  <c r="V59" i="150"/>
  <c r="V117" i="150"/>
  <c r="V107" i="150"/>
  <c r="V82" i="150"/>
  <c r="V45" i="150"/>
  <c r="V49" i="150"/>
  <c r="V81" i="150"/>
  <c r="T130" i="150"/>
  <c r="L21" i="153" l="1"/>
  <c r="G23" i="153"/>
  <c r="C55" i="115"/>
  <c r="T131" i="150"/>
  <c r="E54" i="115" s="1"/>
  <c r="E53" i="115"/>
  <c r="L22" i="153"/>
  <c r="I22" i="153"/>
  <c r="I20" i="153"/>
  <c r="L19" i="153"/>
  <c r="I19" i="153"/>
  <c r="Y130" i="150"/>
  <c r="U130" i="150"/>
  <c r="V130" i="150" s="1"/>
  <c r="N130" i="150"/>
  <c r="O19" i="80"/>
  <c r="O31" i="80"/>
  <c r="O28" i="80"/>
  <c r="O27" i="80"/>
  <c r="H23" i="153" l="1"/>
  <c r="D23" i="153" s="1"/>
  <c r="L23" i="153"/>
  <c r="E55" i="115"/>
  <c r="U131" i="150"/>
  <c r="D53" i="115"/>
  <c r="N131" i="150"/>
  <c r="P130" i="150"/>
  <c r="N13" i="80"/>
  <c r="P13" i="80"/>
  <c r="R13" i="80" s="1"/>
  <c r="AA13" i="80" s="1"/>
  <c r="T13" i="80"/>
  <c r="Y13" i="80"/>
  <c r="AB13" i="80"/>
  <c r="BH13" i="80"/>
  <c r="W13" i="80" s="1"/>
  <c r="BI13" i="80"/>
  <c r="V13" i="80" s="1"/>
  <c r="AV9" i="80"/>
  <c r="P9" i="80" s="1"/>
  <c r="T9" i="80"/>
  <c r="V9" i="80"/>
  <c r="W9" i="80"/>
  <c r="Y9" i="80"/>
  <c r="AB9" i="80"/>
  <c r="AK9" i="80" s="1"/>
  <c r="BC16" i="80"/>
  <c r="AB16" i="80"/>
  <c r="Y16" i="80"/>
  <c r="W16" i="80"/>
  <c r="V16" i="80"/>
  <c r="T16" i="80"/>
  <c r="P16" i="80"/>
  <c r="BI16" i="80" s="1"/>
  <c r="N16" i="80"/>
  <c r="AB15" i="80"/>
  <c r="Y15" i="80"/>
  <c r="T15" i="80"/>
  <c r="P15" i="80"/>
  <c r="BH15" i="80" s="1"/>
  <c r="W15" i="80" s="1"/>
  <c r="N15" i="80"/>
  <c r="AB14" i="80"/>
  <c r="Y14" i="80"/>
  <c r="T14" i="80"/>
  <c r="P14" i="80"/>
  <c r="BH14" i="80" s="1"/>
  <c r="W14" i="80" s="1"/>
  <c r="N14" i="80"/>
  <c r="AB12" i="80"/>
  <c r="Y12" i="80"/>
  <c r="T12" i="80"/>
  <c r="P12" i="80"/>
  <c r="BH12" i="80" s="1"/>
  <c r="W12" i="80" s="1"/>
  <c r="N12" i="80"/>
  <c r="O42" i="80"/>
  <c r="O41" i="80"/>
  <c r="O40" i="80"/>
  <c r="O38" i="80"/>
  <c r="O33" i="80"/>
  <c r="O32" i="80"/>
  <c r="O30" i="80"/>
  <c r="O29" i="80"/>
  <c r="I23" i="153" l="1"/>
  <c r="AP9" i="80"/>
  <c r="V131" i="150"/>
  <c r="F53" i="115"/>
  <c r="P131" i="150"/>
  <c r="D54" i="115"/>
  <c r="G55" i="115"/>
  <c r="AT9" i="80"/>
  <c r="O34" i="80"/>
  <c r="AR9" i="80"/>
  <c r="AQ9" i="80"/>
  <c r="Q13" i="80"/>
  <c r="AC13" i="80" s="1"/>
  <c r="S13" i="80"/>
  <c r="BI15" i="80"/>
  <c r="V15" i="80" s="1"/>
  <c r="Q15" i="80" s="1"/>
  <c r="S15" i="80" s="1"/>
  <c r="AI9" i="80"/>
  <c r="BC9" i="80"/>
  <c r="AH9" i="80"/>
  <c r="AL9" i="80"/>
  <c r="AJ9" i="80"/>
  <c r="Q9" i="80"/>
  <c r="S9" i="80" s="1"/>
  <c r="BH9" i="80"/>
  <c r="BI9" i="80"/>
  <c r="AO9" i="80"/>
  <c r="AG9" i="80"/>
  <c r="AN9" i="80"/>
  <c r="AF9" i="80"/>
  <c r="AU9" i="80"/>
  <c r="AM9" i="80"/>
  <c r="R9" i="80"/>
  <c r="AA9" i="80" s="1"/>
  <c r="AS9" i="80"/>
  <c r="R12" i="80"/>
  <c r="AA12" i="80" s="1"/>
  <c r="BI12" i="80"/>
  <c r="V12" i="80" s="1"/>
  <c r="Q12" i="80" s="1"/>
  <c r="S12" i="80" s="1"/>
  <c r="Q16" i="80"/>
  <c r="S16" i="80" s="1"/>
  <c r="R16" i="80"/>
  <c r="AA16" i="80" s="1"/>
  <c r="R15" i="80"/>
  <c r="AA15" i="80" s="1"/>
  <c r="BI14" i="80"/>
  <c r="V14" i="80" s="1"/>
  <c r="Q14" i="80" s="1"/>
  <c r="S14" i="80" s="1"/>
  <c r="R14" i="80"/>
  <c r="AA14" i="80" s="1"/>
  <c r="BH16" i="80"/>
  <c r="BC11" i="80"/>
  <c r="BC10" i="80"/>
  <c r="N10" i="80"/>
  <c r="P10" i="80"/>
  <c r="BH10" i="80" s="1"/>
  <c r="T10" i="80"/>
  <c r="V10" i="80"/>
  <c r="W10" i="80"/>
  <c r="Y10" i="80"/>
  <c r="AB10" i="80"/>
  <c r="N11" i="80"/>
  <c r="P11" i="80"/>
  <c r="BI11" i="80" s="1"/>
  <c r="T11" i="80"/>
  <c r="V11" i="80"/>
  <c r="W11" i="80"/>
  <c r="Y11" i="80"/>
  <c r="AB11" i="80"/>
  <c r="F55" i="115" l="1"/>
  <c r="AC9" i="80"/>
  <c r="AC16" i="80"/>
  <c r="AC15" i="80"/>
  <c r="AC14" i="80"/>
  <c r="AC12" i="80"/>
  <c r="R10" i="80"/>
  <c r="AA10" i="80" s="1"/>
  <c r="R11" i="80"/>
  <c r="Q11" i="80"/>
  <c r="S11" i="80" s="1"/>
  <c r="BH11" i="80"/>
  <c r="Q10" i="80"/>
  <c r="BI10" i="80"/>
  <c r="BC17" i="80"/>
  <c r="BC18" i="80"/>
  <c r="AB4" i="80"/>
  <c r="AB5" i="80"/>
  <c r="AF5" i="80" s="1"/>
  <c r="AB6" i="80"/>
  <c r="AF6" i="80" s="1"/>
  <c r="AB7" i="80"/>
  <c r="AF7" i="80" s="1"/>
  <c r="AB8" i="80"/>
  <c r="AF8" i="80" s="1"/>
  <c r="AA11" i="80" l="1"/>
  <c r="AC11" i="80"/>
  <c r="S10" i="80"/>
  <c r="AC10" i="80"/>
  <c r="AM8" i="80"/>
  <c r="AM6" i="80"/>
  <c r="AI6" i="80"/>
  <c r="AU6" i="80"/>
  <c r="AM5" i="80"/>
  <c r="AI8" i="80"/>
  <c r="AI5" i="80"/>
  <c r="AU8" i="80"/>
  <c r="AU5" i="80"/>
  <c r="AQ8" i="80"/>
  <c r="AQ6" i="80"/>
  <c r="AQ5" i="80"/>
  <c r="AU7" i="80"/>
  <c r="AM7" i="80"/>
  <c r="AT8" i="80"/>
  <c r="AP8" i="80"/>
  <c r="AT7" i="80"/>
  <c r="AP7" i="80"/>
  <c r="AT6" i="80"/>
  <c r="AP6" i="80"/>
  <c r="AT5" i="80"/>
  <c r="AP5" i="80"/>
  <c r="AQ7" i="80"/>
  <c r="AI7" i="80"/>
  <c r="AS8" i="80"/>
  <c r="AO8" i="80"/>
  <c r="AK8" i="80"/>
  <c r="AG8" i="80"/>
  <c r="AS7" i="80"/>
  <c r="AO7" i="80"/>
  <c r="AK7" i="80"/>
  <c r="AG7" i="80"/>
  <c r="AS6" i="80"/>
  <c r="AO6" i="80"/>
  <c r="AK6" i="80"/>
  <c r="AG6" i="80"/>
  <c r="AS5" i="80"/>
  <c r="AO5" i="80"/>
  <c r="AK5" i="80"/>
  <c r="AG5" i="80"/>
  <c r="AR8" i="80"/>
  <c r="AN8" i="80"/>
  <c r="AJ8" i="80"/>
  <c r="AR7" i="80"/>
  <c r="AN7" i="80"/>
  <c r="AJ7" i="80"/>
  <c r="AR6" i="80"/>
  <c r="AN6" i="80"/>
  <c r="AJ6" i="80"/>
  <c r="AR5" i="80"/>
  <c r="AN5" i="80"/>
  <c r="AJ5" i="80"/>
  <c r="O39" i="80" l="1"/>
  <c r="N18" i="80"/>
  <c r="P18" i="80"/>
  <c r="T18" i="80"/>
  <c r="W18" i="80"/>
  <c r="Y18" i="80"/>
  <c r="AB18" i="80"/>
  <c r="N17" i="80"/>
  <c r="P17" i="80"/>
  <c r="T17" i="80"/>
  <c r="W17" i="80"/>
  <c r="Y17" i="80"/>
  <c r="R17" i="80" l="1"/>
  <c r="AA17" i="80" s="1"/>
  <c r="BI17" i="80"/>
  <c r="BH17" i="80"/>
  <c r="R18" i="80"/>
  <c r="BH18" i="80"/>
  <c r="BI18" i="80"/>
  <c r="AF17" i="80"/>
  <c r="AJ17" i="80"/>
  <c r="AN17" i="80"/>
  <c r="AR17" i="80"/>
  <c r="AM17" i="80"/>
  <c r="AG17" i="80"/>
  <c r="AK17" i="80"/>
  <c r="AO17" i="80"/>
  <c r="AS17" i="80"/>
  <c r="AQ17" i="80"/>
  <c r="AP17" i="80"/>
  <c r="AT17" i="80"/>
  <c r="AI17" i="80"/>
  <c r="AU17" i="80"/>
  <c r="AF18" i="80"/>
  <c r="AJ18" i="80"/>
  <c r="AN18" i="80"/>
  <c r="AR18" i="80"/>
  <c r="AI18" i="80"/>
  <c r="AU18" i="80"/>
  <c r="AG18" i="80"/>
  <c r="AK18" i="80"/>
  <c r="AO18" i="80"/>
  <c r="AS18" i="80"/>
  <c r="AQ18" i="80"/>
  <c r="AP18" i="80"/>
  <c r="AT18" i="80"/>
  <c r="AM18" i="80"/>
  <c r="V17" i="80"/>
  <c r="Q17" i="80" s="1"/>
  <c r="S17" i="80" s="1"/>
  <c r="AL17" i="80" s="1"/>
  <c r="V18" i="80"/>
  <c r="Q18" i="80" s="1"/>
  <c r="AA18" i="80" l="1"/>
  <c r="AH17" i="80"/>
  <c r="AC17" i="80"/>
  <c r="AC18" i="80"/>
  <c r="S18" i="80"/>
  <c r="AL18" i="80" l="1"/>
  <c r="AH18" i="80"/>
  <c r="N6" i="80"/>
  <c r="P6" i="80"/>
  <c r="BI6" i="80" s="1"/>
  <c r="V6" i="80" s="1"/>
  <c r="T6" i="80"/>
  <c r="Y6" i="80"/>
  <c r="BC6" i="80"/>
  <c r="N7" i="80"/>
  <c r="P7" i="80"/>
  <c r="BI7" i="80" s="1"/>
  <c r="V7" i="80" s="1"/>
  <c r="T7" i="80"/>
  <c r="Y7" i="80"/>
  <c r="BC7" i="80"/>
  <c r="N8" i="80"/>
  <c r="P8" i="80"/>
  <c r="T8" i="80"/>
  <c r="Y8" i="80"/>
  <c r="BC8" i="80"/>
  <c r="N5" i="80"/>
  <c r="P5" i="80"/>
  <c r="R5" i="80" s="1"/>
  <c r="AA5" i="80" s="1"/>
  <c r="T5" i="80"/>
  <c r="Y5" i="80"/>
  <c r="BC5" i="80"/>
  <c r="BI5" i="80" l="1"/>
  <c r="V5" i="80" s="1"/>
  <c r="BH5" i="80"/>
  <c r="W5" i="80" s="1"/>
  <c r="R7" i="80"/>
  <c r="AA7" i="80" s="1"/>
  <c r="BH7" i="80"/>
  <c r="W7" i="80" s="1"/>
  <c r="Q7" i="80" s="1"/>
  <c r="BH6" i="80"/>
  <c r="W6" i="80" s="1"/>
  <c r="Q6" i="80" s="1"/>
  <c r="BI8" i="80"/>
  <c r="V8" i="80" s="1"/>
  <c r="BH8" i="80"/>
  <c r="W8" i="80" s="1"/>
  <c r="R6" i="80"/>
  <c r="AA6" i="80" s="1"/>
  <c r="R8" i="80"/>
  <c r="AA8" i="80" s="1"/>
  <c r="Q5" i="80" l="1"/>
  <c r="AC5" i="80" s="1"/>
  <c r="Q8" i="80"/>
  <c r="S8" i="80" s="1"/>
  <c r="AC7" i="80"/>
  <c r="S7" i="80"/>
  <c r="AC6" i="80"/>
  <c r="S6" i="80"/>
  <c r="S5" i="80" l="1"/>
  <c r="AL6" i="80"/>
  <c r="AH6" i="80"/>
  <c r="AL7" i="80"/>
  <c r="AH7" i="80"/>
  <c r="AL8" i="80"/>
  <c r="AH8" i="80"/>
  <c r="AC8" i="80"/>
  <c r="AL5" i="80" l="1"/>
  <c r="AH5" i="80"/>
  <c r="F51" i="111"/>
  <c r="D51" i="111"/>
  <c r="O50" i="111"/>
  <c r="P50" i="111" s="1"/>
  <c r="K50" i="111"/>
  <c r="J50" i="111" s="1"/>
  <c r="I50" i="111"/>
  <c r="M50" i="111" s="1"/>
  <c r="G50" i="111"/>
  <c r="O49" i="111"/>
  <c r="P49" i="111" s="1"/>
  <c r="K49" i="111"/>
  <c r="J49" i="111" s="1"/>
  <c r="I49" i="111"/>
  <c r="M49" i="111" s="1"/>
  <c r="G49" i="111"/>
  <c r="O48" i="111"/>
  <c r="P48" i="111" s="1"/>
  <c r="K48" i="111"/>
  <c r="J48" i="111" s="1"/>
  <c r="I48" i="111"/>
  <c r="M48" i="111" s="1"/>
  <c r="G48" i="111"/>
  <c r="O47" i="111"/>
  <c r="P47" i="111" s="1"/>
  <c r="K47" i="111"/>
  <c r="J47" i="111" s="1"/>
  <c r="I47" i="111"/>
  <c r="M47" i="111" s="1"/>
  <c r="G47" i="111"/>
  <c r="O46" i="111"/>
  <c r="P46" i="111" s="1"/>
  <c r="K46" i="111"/>
  <c r="J46" i="111" s="1"/>
  <c r="I46" i="111"/>
  <c r="M46" i="111" s="1"/>
  <c r="G46" i="111"/>
  <c r="O45" i="111"/>
  <c r="P45" i="111" s="1"/>
  <c r="K45" i="111"/>
  <c r="J45" i="111" s="1"/>
  <c r="I45" i="111"/>
  <c r="M45" i="111" s="1"/>
  <c r="G45" i="111"/>
  <c r="O44" i="111"/>
  <c r="P44" i="111" s="1"/>
  <c r="K44" i="111"/>
  <c r="J44" i="111" s="1"/>
  <c r="I44" i="111"/>
  <c r="M44" i="111" s="1"/>
  <c r="G44" i="111"/>
  <c r="O43" i="111"/>
  <c r="P43" i="111" s="1"/>
  <c r="K43" i="111"/>
  <c r="J43" i="111" s="1"/>
  <c r="I43" i="111"/>
  <c r="M43" i="111" s="1"/>
  <c r="G43" i="111"/>
  <c r="O42" i="111"/>
  <c r="P42" i="111" s="1"/>
  <c r="K42" i="111"/>
  <c r="J42" i="111" s="1"/>
  <c r="I42" i="111"/>
  <c r="M42" i="111" s="1"/>
  <c r="G42" i="111"/>
  <c r="O41" i="111"/>
  <c r="P41" i="111" s="1"/>
  <c r="K41" i="111"/>
  <c r="J41" i="111" s="1"/>
  <c r="I41" i="111"/>
  <c r="M41" i="111" s="1"/>
  <c r="G41" i="111"/>
  <c r="O40" i="111"/>
  <c r="P40" i="111" s="1"/>
  <c r="M40" i="111"/>
  <c r="K40" i="111"/>
  <c r="J40" i="111" s="1"/>
  <c r="I40" i="111"/>
  <c r="G40" i="111"/>
  <c r="O39" i="111"/>
  <c r="P39" i="111" s="1"/>
  <c r="K39" i="111"/>
  <c r="J39" i="111" s="1"/>
  <c r="I39" i="111"/>
  <c r="M39" i="111" s="1"/>
  <c r="G39" i="111"/>
  <c r="O38" i="111"/>
  <c r="P38" i="111" s="1"/>
  <c r="K38" i="111"/>
  <c r="J38" i="111" s="1"/>
  <c r="I38" i="111"/>
  <c r="M38" i="111" s="1"/>
  <c r="G38" i="111"/>
  <c r="O37" i="111"/>
  <c r="P37" i="111" s="1"/>
  <c r="K37" i="111"/>
  <c r="J37" i="111" s="1"/>
  <c r="I37" i="111"/>
  <c r="M37" i="111" s="1"/>
  <c r="G37" i="111"/>
  <c r="O36" i="111"/>
  <c r="P36" i="111" s="1"/>
  <c r="K36" i="111"/>
  <c r="J36" i="111" s="1"/>
  <c r="I36" i="111"/>
  <c r="M36" i="111" s="1"/>
  <c r="G36" i="111"/>
  <c r="O35" i="111"/>
  <c r="P35" i="111" s="1"/>
  <c r="K35" i="111"/>
  <c r="J35" i="111" s="1"/>
  <c r="I35" i="111"/>
  <c r="M35" i="111" s="1"/>
  <c r="G35" i="111"/>
  <c r="O34" i="111"/>
  <c r="P34" i="111" s="1"/>
  <c r="K34" i="111"/>
  <c r="J34" i="111" s="1"/>
  <c r="I34" i="111"/>
  <c r="M34" i="111" s="1"/>
  <c r="G34" i="111"/>
  <c r="O33" i="111"/>
  <c r="P33" i="111" s="1"/>
  <c r="K33" i="111"/>
  <c r="J33" i="111" s="1"/>
  <c r="I33" i="111"/>
  <c r="M33" i="111" s="1"/>
  <c r="G33" i="111"/>
  <c r="O32" i="111"/>
  <c r="P32" i="111" s="1"/>
  <c r="K32" i="111"/>
  <c r="J32" i="111" s="1"/>
  <c r="I32" i="111"/>
  <c r="M32" i="111" s="1"/>
  <c r="G32" i="111"/>
  <c r="O31" i="111"/>
  <c r="P31" i="111" s="1"/>
  <c r="K31" i="111"/>
  <c r="J31" i="111" s="1"/>
  <c r="I31" i="111"/>
  <c r="M31" i="111" s="1"/>
  <c r="G31" i="111"/>
  <c r="O30" i="111"/>
  <c r="P30" i="111" s="1"/>
  <c r="K30" i="111"/>
  <c r="J30" i="111" s="1"/>
  <c r="I30" i="111"/>
  <c r="M30" i="111" s="1"/>
  <c r="G30" i="111"/>
  <c r="O29" i="111"/>
  <c r="P29" i="111" s="1"/>
  <c r="M29" i="111"/>
  <c r="K29" i="111"/>
  <c r="J29" i="111" s="1"/>
  <c r="I29" i="111"/>
  <c r="G29" i="111"/>
  <c r="O28" i="111"/>
  <c r="P28" i="111" s="1"/>
  <c r="K28" i="111"/>
  <c r="J28" i="111" s="1"/>
  <c r="I28" i="111"/>
  <c r="M28" i="111" s="1"/>
  <c r="G28" i="111"/>
  <c r="O27" i="111"/>
  <c r="P27" i="111" s="1"/>
  <c r="K27" i="111"/>
  <c r="J27" i="111" s="1"/>
  <c r="I27" i="111"/>
  <c r="M27" i="111" s="1"/>
  <c r="G27" i="111"/>
  <c r="O26" i="111"/>
  <c r="P26" i="111" s="1"/>
  <c r="K26" i="111"/>
  <c r="J26" i="111" s="1"/>
  <c r="I26" i="111"/>
  <c r="M26" i="111" s="1"/>
  <c r="G26" i="111"/>
  <c r="O25" i="111"/>
  <c r="P25" i="111" s="1"/>
  <c r="K25" i="111"/>
  <c r="J25" i="111" s="1"/>
  <c r="I25" i="111"/>
  <c r="M25" i="111" s="1"/>
  <c r="G25" i="111"/>
  <c r="O24" i="111"/>
  <c r="P24" i="111" s="1"/>
  <c r="K24" i="111"/>
  <c r="J24" i="111" s="1"/>
  <c r="I24" i="111"/>
  <c r="M24" i="111" s="1"/>
  <c r="G24" i="111"/>
  <c r="O23" i="111"/>
  <c r="P23" i="111" s="1"/>
  <c r="K23" i="111"/>
  <c r="J23" i="111" s="1"/>
  <c r="I23" i="111"/>
  <c r="M23" i="111" s="1"/>
  <c r="G23" i="111"/>
  <c r="O22" i="111"/>
  <c r="P22" i="111" s="1"/>
  <c r="K22" i="111"/>
  <c r="J22" i="111" s="1"/>
  <c r="I22" i="111"/>
  <c r="M22" i="111" s="1"/>
  <c r="G22" i="111"/>
  <c r="O21" i="111"/>
  <c r="P21" i="111" s="1"/>
  <c r="K21" i="111"/>
  <c r="J21" i="111" s="1"/>
  <c r="I21" i="111"/>
  <c r="M21" i="111" s="1"/>
  <c r="G21" i="111"/>
  <c r="O20" i="111"/>
  <c r="P20" i="111" s="1"/>
  <c r="K20" i="111"/>
  <c r="J20" i="111" s="1"/>
  <c r="I20" i="111"/>
  <c r="M20" i="111" s="1"/>
  <c r="G20" i="111"/>
  <c r="O19" i="111"/>
  <c r="P19" i="111" s="1"/>
  <c r="K19" i="111"/>
  <c r="J19" i="111" s="1"/>
  <c r="I19" i="111"/>
  <c r="M19" i="111" s="1"/>
  <c r="G19" i="111"/>
  <c r="O18" i="111"/>
  <c r="P18" i="111" s="1"/>
  <c r="K18" i="111"/>
  <c r="J18" i="111" s="1"/>
  <c r="I18" i="111"/>
  <c r="M18" i="111" s="1"/>
  <c r="G18" i="111"/>
  <c r="O17" i="111"/>
  <c r="P17" i="111" s="1"/>
  <c r="K17" i="111"/>
  <c r="J17" i="111" s="1"/>
  <c r="I17" i="111"/>
  <c r="M17" i="111" s="1"/>
  <c r="G17" i="111"/>
  <c r="O16" i="111"/>
  <c r="P16" i="111" s="1"/>
  <c r="K16" i="111"/>
  <c r="J16" i="111" s="1"/>
  <c r="I16" i="111"/>
  <c r="M16" i="111" s="1"/>
  <c r="G16" i="111"/>
  <c r="O15" i="111"/>
  <c r="P15" i="111" s="1"/>
  <c r="K15" i="111"/>
  <c r="J15" i="111" s="1"/>
  <c r="I15" i="111"/>
  <c r="M15" i="111" s="1"/>
  <c r="G15" i="111"/>
  <c r="O14" i="111"/>
  <c r="P14" i="111" s="1"/>
  <c r="K14" i="111"/>
  <c r="J14" i="111" s="1"/>
  <c r="I14" i="111"/>
  <c r="M14" i="111" s="1"/>
  <c r="G14" i="111"/>
  <c r="O13" i="111"/>
  <c r="P13" i="111" s="1"/>
  <c r="K13" i="111"/>
  <c r="J13" i="111" s="1"/>
  <c r="I13" i="111"/>
  <c r="M13" i="111" s="1"/>
  <c r="G13" i="111"/>
  <c r="O12" i="111"/>
  <c r="P12" i="111" s="1"/>
  <c r="K12" i="111"/>
  <c r="J12" i="111" s="1"/>
  <c r="I12" i="111"/>
  <c r="M12" i="111" s="1"/>
  <c r="G12" i="111"/>
  <c r="O11" i="111"/>
  <c r="P11" i="111" s="1"/>
  <c r="K11" i="111"/>
  <c r="J11" i="111" s="1"/>
  <c r="I11" i="111"/>
  <c r="M11" i="111" s="1"/>
  <c r="G11" i="111"/>
  <c r="O10" i="111"/>
  <c r="P10" i="111" s="1"/>
  <c r="K10" i="111"/>
  <c r="J10" i="111" s="1"/>
  <c r="I10" i="111"/>
  <c r="M10" i="111" s="1"/>
  <c r="G10" i="111"/>
  <c r="O9" i="111"/>
  <c r="P9" i="111" s="1"/>
  <c r="K9" i="111"/>
  <c r="J9" i="111" s="1"/>
  <c r="I9" i="111"/>
  <c r="M9" i="111" s="1"/>
  <c r="G9" i="111"/>
  <c r="O8" i="111"/>
  <c r="P8" i="111" s="1"/>
  <c r="M8" i="111"/>
  <c r="K8" i="111"/>
  <c r="J8" i="111" s="1"/>
  <c r="I8" i="111"/>
  <c r="G8" i="111"/>
  <c r="O7" i="111"/>
  <c r="P7" i="111" s="1"/>
  <c r="K7" i="111"/>
  <c r="J7" i="111" s="1"/>
  <c r="I7" i="111"/>
  <c r="M7" i="111" s="1"/>
  <c r="G7" i="111"/>
  <c r="O6" i="111"/>
  <c r="P6" i="111" s="1"/>
  <c r="K6" i="111"/>
  <c r="J6" i="111" s="1"/>
  <c r="I6" i="111"/>
  <c r="M6" i="111" s="1"/>
  <c r="G6" i="111"/>
  <c r="O5" i="111"/>
  <c r="P5" i="111" s="1"/>
  <c r="K5" i="111"/>
  <c r="J5" i="111" s="1"/>
  <c r="I5" i="111"/>
  <c r="M5" i="111" s="1"/>
  <c r="G5" i="111"/>
  <c r="O4" i="111"/>
  <c r="P4" i="111" s="1"/>
  <c r="K4" i="111"/>
  <c r="J4" i="111" s="1"/>
  <c r="I4" i="111"/>
  <c r="M4" i="111" s="1"/>
  <c r="G4" i="111"/>
  <c r="O3" i="111"/>
  <c r="K3" i="111"/>
  <c r="I3" i="111"/>
  <c r="G3" i="111"/>
  <c r="I19" i="105"/>
  <c r="I18" i="105"/>
  <c r="I17" i="105"/>
  <c r="I16" i="105"/>
  <c r="I15" i="105"/>
  <c r="I14" i="105"/>
  <c r="I9" i="105"/>
  <c r="I8" i="105"/>
  <c r="I7" i="105"/>
  <c r="I6" i="105"/>
  <c r="I5" i="105"/>
  <c r="I4" i="105"/>
  <c r="I3" i="105"/>
  <c r="H243" i="101"/>
  <c r="P243" i="101" s="1"/>
  <c r="G243" i="101"/>
  <c r="O243" i="101" s="1"/>
  <c r="F243" i="101"/>
  <c r="N243" i="101" s="1"/>
  <c r="E243" i="101"/>
  <c r="M243" i="101" s="1"/>
  <c r="H242" i="101"/>
  <c r="P242" i="101" s="1"/>
  <c r="G242" i="101"/>
  <c r="O242" i="101" s="1"/>
  <c r="F242" i="101"/>
  <c r="N242" i="101" s="1"/>
  <c r="E242" i="101"/>
  <c r="M242" i="101" s="1"/>
  <c r="H241" i="101"/>
  <c r="P241" i="101" s="1"/>
  <c r="G241" i="101"/>
  <c r="O241" i="101" s="1"/>
  <c r="F241" i="101"/>
  <c r="N241" i="101" s="1"/>
  <c r="E241" i="101"/>
  <c r="M241" i="101" s="1"/>
  <c r="H240" i="101"/>
  <c r="P240" i="101" s="1"/>
  <c r="G240" i="101"/>
  <c r="O240" i="101" s="1"/>
  <c r="F240" i="101"/>
  <c r="N240" i="101" s="1"/>
  <c r="E240" i="101"/>
  <c r="M240" i="101" s="1"/>
  <c r="H239" i="101"/>
  <c r="P239" i="101" s="1"/>
  <c r="G239" i="101"/>
  <c r="O239" i="101" s="1"/>
  <c r="F239" i="101"/>
  <c r="N239" i="101" s="1"/>
  <c r="E239" i="101"/>
  <c r="M239" i="101" s="1"/>
  <c r="H238" i="101"/>
  <c r="P238" i="101" s="1"/>
  <c r="G238" i="101"/>
  <c r="O238" i="101" s="1"/>
  <c r="F238" i="101"/>
  <c r="N238" i="101" s="1"/>
  <c r="E238" i="101"/>
  <c r="M238" i="101" s="1"/>
  <c r="H237" i="101"/>
  <c r="G237" i="101"/>
  <c r="F237" i="101"/>
  <c r="E237" i="101"/>
  <c r="H234" i="101"/>
  <c r="P234" i="101" s="1"/>
  <c r="G234" i="101"/>
  <c r="O234" i="101" s="1"/>
  <c r="F234" i="101"/>
  <c r="N234" i="101" s="1"/>
  <c r="E234" i="101"/>
  <c r="M234" i="101" s="1"/>
  <c r="H233" i="101"/>
  <c r="P233" i="101" s="1"/>
  <c r="G233" i="101"/>
  <c r="O233" i="101" s="1"/>
  <c r="F233" i="101"/>
  <c r="N233" i="101" s="1"/>
  <c r="E233" i="101"/>
  <c r="M233" i="101" s="1"/>
  <c r="H232" i="101"/>
  <c r="P232" i="101" s="1"/>
  <c r="G232" i="101"/>
  <c r="O232" i="101" s="1"/>
  <c r="F232" i="101"/>
  <c r="N232" i="101" s="1"/>
  <c r="E232" i="101"/>
  <c r="M232" i="101" s="1"/>
  <c r="H231" i="101"/>
  <c r="P231" i="101" s="1"/>
  <c r="G231" i="101"/>
  <c r="O231" i="101" s="1"/>
  <c r="F231" i="101"/>
  <c r="N231" i="101" s="1"/>
  <c r="E231" i="101"/>
  <c r="M231" i="101" s="1"/>
  <c r="H230" i="101"/>
  <c r="P230" i="101" s="1"/>
  <c r="G230" i="101"/>
  <c r="O230" i="101" s="1"/>
  <c r="F230" i="101"/>
  <c r="N230" i="101" s="1"/>
  <c r="E230" i="101"/>
  <c r="M230" i="101" s="1"/>
  <c r="H229" i="101"/>
  <c r="P229" i="101" s="1"/>
  <c r="G229" i="101"/>
  <c r="O229" i="101" s="1"/>
  <c r="F229" i="101"/>
  <c r="N229" i="101" s="1"/>
  <c r="E229" i="101"/>
  <c r="M229" i="101" s="1"/>
  <c r="H228" i="101"/>
  <c r="P228" i="101" s="1"/>
  <c r="G228" i="101"/>
  <c r="O228" i="101" s="1"/>
  <c r="F228" i="101"/>
  <c r="N228" i="101" s="1"/>
  <c r="E228" i="101"/>
  <c r="M228" i="101" s="1"/>
  <c r="H225" i="101"/>
  <c r="P225" i="101" s="1"/>
  <c r="G225" i="101"/>
  <c r="O225" i="101" s="1"/>
  <c r="F225" i="101"/>
  <c r="N225" i="101" s="1"/>
  <c r="E225" i="101"/>
  <c r="M225" i="101" s="1"/>
  <c r="H224" i="101"/>
  <c r="P224" i="101" s="1"/>
  <c r="G224" i="101"/>
  <c r="O224" i="101" s="1"/>
  <c r="F224" i="101"/>
  <c r="N224" i="101" s="1"/>
  <c r="E224" i="101"/>
  <c r="M224" i="101" s="1"/>
  <c r="H223" i="101"/>
  <c r="P223" i="101" s="1"/>
  <c r="G223" i="101"/>
  <c r="O223" i="101" s="1"/>
  <c r="F223" i="101"/>
  <c r="N223" i="101" s="1"/>
  <c r="E223" i="101"/>
  <c r="M223" i="101" s="1"/>
  <c r="H222" i="101"/>
  <c r="P222" i="101" s="1"/>
  <c r="G222" i="101"/>
  <c r="O222" i="101" s="1"/>
  <c r="F222" i="101"/>
  <c r="N222" i="101" s="1"/>
  <c r="E222" i="101"/>
  <c r="M222" i="101" s="1"/>
  <c r="H221" i="101"/>
  <c r="P221" i="101" s="1"/>
  <c r="G221" i="101"/>
  <c r="O221" i="101" s="1"/>
  <c r="F221" i="101"/>
  <c r="N221" i="101" s="1"/>
  <c r="E221" i="101"/>
  <c r="M221" i="101" s="1"/>
  <c r="H220" i="101"/>
  <c r="P220" i="101" s="1"/>
  <c r="G220" i="101"/>
  <c r="O220" i="101" s="1"/>
  <c r="F220" i="101"/>
  <c r="N220" i="101" s="1"/>
  <c r="E220" i="101"/>
  <c r="M220" i="101" s="1"/>
  <c r="H219" i="101"/>
  <c r="P219" i="101" s="1"/>
  <c r="G219" i="101"/>
  <c r="O219" i="101" s="1"/>
  <c r="F219" i="101"/>
  <c r="N219" i="101" s="1"/>
  <c r="E219" i="101"/>
  <c r="M219" i="101" s="1"/>
  <c r="H216" i="101"/>
  <c r="P216" i="101" s="1"/>
  <c r="G216" i="101"/>
  <c r="O216" i="101" s="1"/>
  <c r="F216" i="101"/>
  <c r="N216" i="101" s="1"/>
  <c r="E216" i="101"/>
  <c r="M216" i="101" s="1"/>
  <c r="H215" i="101"/>
  <c r="P215" i="101" s="1"/>
  <c r="G215" i="101"/>
  <c r="O215" i="101" s="1"/>
  <c r="F215" i="101"/>
  <c r="N215" i="101" s="1"/>
  <c r="E215" i="101"/>
  <c r="M215" i="101" s="1"/>
  <c r="H214" i="101"/>
  <c r="P214" i="101" s="1"/>
  <c r="G214" i="101"/>
  <c r="O214" i="101" s="1"/>
  <c r="F214" i="101"/>
  <c r="N214" i="101" s="1"/>
  <c r="E214" i="101"/>
  <c r="M214" i="101" s="1"/>
  <c r="H213" i="101"/>
  <c r="P213" i="101" s="1"/>
  <c r="G213" i="101"/>
  <c r="O213" i="101" s="1"/>
  <c r="F213" i="101"/>
  <c r="N213" i="101" s="1"/>
  <c r="E213" i="101"/>
  <c r="M213" i="101" s="1"/>
  <c r="H212" i="101"/>
  <c r="P212" i="101" s="1"/>
  <c r="G212" i="101"/>
  <c r="O212" i="101" s="1"/>
  <c r="F212" i="101"/>
  <c r="N212" i="101" s="1"/>
  <c r="E212" i="101"/>
  <c r="M212" i="101" s="1"/>
  <c r="H211" i="101"/>
  <c r="P211" i="101" s="1"/>
  <c r="G211" i="101"/>
  <c r="O211" i="101" s="1"/>
  <c r="F211" i="101"/>
  <c r="N211" i="101" s="1"/>
  <c r="E211" i="101"/>
  <c r="M211" i="101" s="1"/>
  <c r="H210" i="101"/>
  <c r="P210" i="101" s="1"/>
  <c r="G210" i="101"/>
  <c r="O210" i="101" s="1"/>
  <c r="F210" i="101"/>
  <c r="N210" i="101" s="1"/>
  <c r="E210" i="101"/>
  <c r="M210" i="101" s="1"/>
  <c r="H207" i="101"/>
  <c r="P207" i="101" s="1"/>
  <c r="G207" i="101"/>
  <c r="O207" i="101" s="1"/>
  <c r="F207" i="101"/>
  <c r="N207" i="101" s="1"/>
  <c r="E207" i="101"/>
  <c r="M207" i="101" s="1"/>
  <c r="H206" i="101"/>
  <c r="P206" i="101" s="1"/>
  <c r="G206" i="101"/>
  <c r="O206" i="101" s="1"/>
  <c r="F206" i="101"/>
  <c r="N206" i="101" s="1"/>
  <c r="E206" i="101"/>
  <c r="M206" i="101" s="1"/>
  <c r="H205" i="101"/>
  <c r="P205" i="101" s="1"/>
  <c r="G205" i="101"/>
  <c r="O205" i="101" s="1"/>
  <c r="F205" i="101"/>
  <c r="N205" i="101" s="1"/>
  <c r="E205" i="101"/>
  <c r="M205" i="101" s="1"/>
  <c r="H204" i="101"/>
  <c r="P204" i="101" s="1"/>
  <c r="G204" i="101"/>
  <c r="O204" i="101" s="1"/>
  <c r="F204" i="101"/>
  <c r="N204" i="101" s="1"/>
  <c r="E204" i="101"/>
  <c r="M204" i="101" s="1"/>
  <c r="H203" i="101"/>
  <c r="P203" i="101" s="1"/>
  <c r="G203" i="101"/>
  <c r="O203" i="101" s="1"/>
  <c r="F203" i="101"/>
  <c r="N203" i="101" s="1"/>
  <c r="E203" i="101"/>
  <c r="M203" i="101" s="1"/>
  <c r="H202" i="101"/>
  <c r="P202" i="101" s="1"/>
  <c r="G202" i="101"/>
  <c r="O202" i="101" s="1"/>
  <c r="F202" i="101"/>
  <c r="N202" i="101" s="1"/>
  <c r="E202" i="101"/>
  <c r="M202" i="101" s="1"/>
  <c r="H201" i="101"/>
  <c r="P201" i="101" s="1"/>
  <c r="G201" i="101"/>
  <c r="O201" i="101" s="1"/>
  <c r="F201" i="101"/>
  <c r="N201" i="101" s="1"/>
  <c r="E201" i="101"/>
  <c r="M201" i="101" s="1"/>
  <c r="H198" i="101"/>
  <c r="P198" i="101" s="1"/>
  <c r="G198" i="101"/>
  <c r="O198" i="101" s="1"/>
  <c r="F198" i="101"/>
  <c r="N198" i="101" s="1"/>
  <c r="E198" i="101"/>
  <c r="M198" i="101" s="1"/>
  <c r="H197" i="101"/>
  <c r="P197" i="101" s="1"/>
  <c r="G197" i="101"/>
  <c r="O197" i="101" s="1"/>
  <c r="F197" i="101"/>
  <c r="N197" i="101" s="1"/>
  <c r="E197" i="101"/>
  <c r="M197" i="101" s="1"/>
  <c r="H196" i="101"/>
  <c r="P196" i="101" s="1"/>
  <c r="G196" i="101"/>
  <c r="O196" i="101" s="1"/>
  <c r="F196" i="101"/>
  <c r="N196" i="101" s="1"/>
  <c r="E196" i="101"/>
  <c r="M196" i="101" s="1"/>
  <c r="H195" i="101"/>
  <c r="P195" i="101" s="1"/>
  <c r="G195" i="101"/>
  <c r="O195" i="101" s="1"/>
  <c r="F195" i="101"/>
  <c r="N195" i="101" s="1"/>
  <c r="E195" i="101"/>
  <c r="M195" i="101" s="1"/>
  <c r="H194" i="101"/>
  <c r="P194" i="101" s="1"/>
  <c r="G194" i="101"/>
  <c r="O194" i="101" s="1"/>
  <c r="F194" i="101"/>
  <c r="N194" i="101" s="1"/>
  <c r="E194" i="101"/>
  <c r="M194" i="101" s="1"/>
  <c r="H193" i="101"/>
  <c r="P193" i="101" s="1"/>
  <c r="G193" i="101"/>
  <c r="O193" i="101" s="1"/>
  <c r="F193" i="101"/>
  <c r="N193" i="101" s="1"/>
  <c r="E193" i="101"/>
  <c r="M193" i="101" s="1"/>
  <c r="H192" i="101"/>
  <c r="G192" i="101"/>
  <c r="O192" i="101" s="1"/>
  <c r="F192" i="101"/>
  <c r="N192" i="101" s="1"/>
  <c r="E192" i="101"/>
  <c r="H189" i="101"/>
  <c r="P189" i="101" s="1"/>
  <c r="G189" i="101"/>
  <c r="O189" i="101" s="1"/>
  <c r="F189" i="101"/>
  <c r="N189" i="101" s="1"/>
  <c r="E189" i="101"/>
  <c r="M189" i="101" s="1"/>
  <c r="H188" i="101"/>
  <c r="P188" i="101" s="1"/>
  <c r="G188" i="101"/>
  <c r="O188" i="101" s="1"/>
  <c r="F188" i="101"/>
  <c r="N188" i="101" s="1"/>
  <c r="E188" i="101"/>
  <c r="M188" i="101" s="1"/>
  <c r="H187" i="101"/>
  <c r="P187" i="101" s="1"/>
  <c r="G187" i="101"/>
  <c r="O187" i="101" s="1"/>
  <c r="F187" i="101"/>
  <c r="N187" i="101" s="1"/>
  <c r="E187" i="101"/>
  <c r="M187" i="101" s="1"/>
  <c r="H186" i="101"/>
  <c r="P186" i="101" s="1"/>
  <c r="G186" i="101"/>
  <c r="O186" i="101" s="1"/>
  <c r="F186" i="101"/>
  <c r="N186" i="101" s="1"/>
  <c r="E186" i="101"/>
  <c r="M186" i="101" s="1"/>
  <c r="H185" i="101"/>
  <c r="P185" i="101" s="1"/>
  <c r="G185" i="101"/>
  <c r="O185" i="101" s="1"/>
  <c r="F185" i="101"/>
  <c r="N185" i="101" s="1"/>
  <c r="E185" i="101"/>
  <c r="M185" i="101" s="1"/>
  <c r="H184" i="101"/>
  <c r="P184" i="101" s="1"/>
  <c r="G184" i="101"/>
  <c r="O184" i="101" s="1"/>
  <c r="F184" i="101"/>
  <c r="N184" i="101" s="1"/>
  <c r="E184" i="101"/>
  <c r="M184" i="101" s="1"/>
  <c r="H183" i="101"/>
  <c r="G183" i="101"/>
  <c r="O183" i="101" s="1"/>
  <c r="F183" i="101"/>
  <c r="N183" i="101" s="1"/>
  <c r="E183" i="101"/>
  <c r="M183" i="101" s="1"/>
  <c r="H180" i="101"/>
  <c r="P180" i="101" s="1"/>
  <c r="G180" i="101"/>
  <c r="O180" i="101" s="1"/>
  <c r="F180" i="101"/>
  <c r="N180" i="101" s="1"/>
  <c r="E180" i="101"/>
  <c r="M180" i="101" s="1"/>
  <c r="H179" i="101"/>
  <c r="P179" i="101" s="1"/>
  <c r="G179" i="101"/>
  <c r="O179" i="101" s="1"/>
  <c r="F179" i="101"/>
  <c r="N179" i="101" s="1"/>
  <c r="E179" i="101"/>
  <c r="M179" i="101" s="1"/>
  <c r="H178" i="101"/>
  <c r="P178" i="101" s="1"/>
  <c r="G178" i="101"/>
  <c r="O178" i="101" s="1"/>
  <c r="F178" i="101"/>
  <c r="N178" i="101" s="1"/>
  <c r="E178" i="101"/>
  <c r="M178" i="101" s="1"/>
  <c r="H177" i="101"/>
  <c r="P177" i="101" s="1"/>
  <c r="G177" i="101"/>
  <c r="O177" i="101" s="1"/>
  <c r="F177" i="101"/>
  <c r="N177" i="101" s="1"/>
  <c r="E177" i="101"/>
  <c r="M177" i="101" s="1"/>
  <c r="H176" i="101"/>
  <c r="P176" i="101" s="1"/>
  <c r="G176" i="101"/>
  <c r="O176" i="101" s="1"/>
  <c r="F176" i="101"/>
  <c r="N176" i="101" s="1"/>
  <c r="E176" i="101"/>
  <c r="M176" i="101" s="1"/>
  <c r="H175" i="101"/>
  <c r="P175" i="101" s="1"/>
  <c r="G175" i="101"/>
  <c r="O175" i="101" s="1"/>
  <c r="F175" i="101"/>
  <c r="N175" i="101" s="1"/>
  <c r="E175" i="101"/>
  <c r="M175" i="101" s="1"/>
  <c r="H174" i="101"/>
  <c r="G174" i="101"/>
  <c r="O174" i="101" s="1"/>
  <c r="F174" i="101"/>
  <c r="E174" i="101"/>
  <c r="M174" i="101" s="1"/>
  <c r="H171" i="101"/>
  <c r="P171" i="101" s="1"/>
  <c r="G171" i="101"/>
  <c r="O171" i="101" s="1"/>
  <c r="F171" i="101"/>
  <c r="N171" i="101" s="1"/>
  <c r="E171" i="101"/>
  <c r="M171" i="101" s="1"/>
  <c r="H170" i="101"/>
  <c r="P170" i="101" s="1"/>
  <c r="G170" i="101"/>
  <c r="O170" i="101" s="1"/>
  <c r="F170" i="101"/>
  <c r="N170" i="101" s="1"/>
  <c r="E170" i="101"/>
  <c r="M170" i="101" s="1"/>
  <c r="H169" i="101"/>
  <c r="P169" i="101" s="1"/>
  <c r="G169" i="101"/>
  <c r="O169" i="101" s="1"/>
  <c r="F169" i="101"/>
  <c r="N169" i="101" s="1"/>
  <c r="E169" i="101"/>
  <c r="M169" i="101" s="1"/>
  <c r="H168" i="101"/>
  <c r="P168" i="101" s="1"/>
  <c r="G168" i="101"/>
  <c r="O168" i="101" s="1"/>
  <c r="F168" i="101"/>
  <c r="N168" i="101" s="1"/>
  <c r="E168" i="101"/>
  <c r="M168" i="101" s="1"/>
  <c r="H167" i="101"/>
  <c r="P167" i="101" s="1"/>
  <c r="G167" i="101"/>
  <c r="O167" i="101" s="1"/>
  <c r="F167" i="101"/>
  <c r="N167" i="101" s="1"/>
  <c r="E167" i="101"/>
  <c r="M167" i="101" s="1"/>
  <c r="H166" i="101"/>
  <c r="P166" i="101" s="1"/>
  <c r="G166" i="101"/>
  <c r="O166" i="101" s="1"/>
  <c r="F166" i="101"/>
  <c r="N166" i="101" s="1"/>
  <c r="E166" i="101"/>
  <c r="M166" i="101" s="1"/>
  <c r="H165" i="101"/>
  <c r="G165" i="101"/>
  <c r="O165" i="101" s="1"/>
  <c r="F165" i="101"/>
  <c r="E165" i="101"/>
  <c r="M165" i="101" s="1"/>
  <c r="H162" i="101"/>
  <c r="P162" i="101" s="1"/>
  <c r="G162" i="101"/>
  <c r="O162" i="101" s="1"/>
  <c r="F162" i="101"/>
  <c r="N162" i="101" s="1"/>
  <c r="E162" i="101"/>
  <c r="M162" i="101" s="1"/>
  <c r="H161" i="101"/>
  <c r="P161" i="101" s="1"/>
  <c r="G161" i="101"/>
  <c r="O161" i="101" s="1"/>
  <c r="F161" i="101"/>
  <c r="N161" i="101" s="1"/>
  <c r="E161" i="101"/>
  <c r="M161" i="101" s="1"/>
  <c r="H160" i="101"/>
  <c r="P160" i="101" s="1"/>
  <c r="G160" i="101"/>
  <c r="O160" i="101" s="1"/>
  <c r="F160" i="101"/>
  <c r="N160" i="101" s="1"/>
  <c r="E160" i="101"/>
  <c r="M160" i="101" s="1"/>
  <c r="H159" i="101"/>
  <c r="P159" i="101" s="1"/>
  <c r="G159" i="101"/>
  <c r="O159" i="101" s="1"/>
  <c r="F159" i="101"/>
  <c r="N159" i="101" s="1"/>
  <c r="E159" i="101"/>
  <c r="M159" i="101" s="1"/>
  <c r="H158" i="101"/>
  <c r="P158" i="101" s="1"/>
  <c r="G158" i="101"/>
  <c r="O158" i="101" s="1"/>
  <c r="F158" i="101"/>
  <c r="N158" i="101" s="1"/>
  <c r="E158" i="101"/>
  <c r="M158" i="101" s="1"/>
  <c r="H157" i="101"/>
  <c r="P157" i="101" s="1"/>
  <c r="G157" i="101"/>
  <c r="O157" i="101" s="1"/>
  <c r="F157" i="101"/>
  <c r="N157" i="101" s="1"/>
  <c r="E157" i="101"/>
  <c r="M157" i="101" s="1"/>
  <c r="H156" i="101"/>
  <c r="G156" i="101"/>
  <c r="O156" i="101" s="1"/>
  <c r="F156" i="101"/>
  <c r="N156" i="101" s="1"/>
  <c r="E156" i="101"/>
  <c r="H153" i="101"/>
  <c r="P153" i="101" s="1"/>
  <c r="G153" i="101"/>
  <c r="O153" i="101" s="1"/>
  <c r="F153" i="101"/>
  <c r="N153" i="101" s="1"/>
  <c r="E153" i="101"/>
  <c r="M153" i="101" s="1"/>
  <c r="H152" i="101"/>
  <c r="P152" i="101" s="1"/>
  <c r="G152" i="101"/>
  <c r="O152" i="101" s="1"/>
  <c r="F152" i="101"/>
  <c r="N152" i="101" s="1"/>
  <c r="E152" i="101"/>
  <c r="M152" i="101" s="1"/>
  <c r="H151" i="101"/>
  <c r="P151" i="101" s="1"/>
  <c r="G151" i="101"/>
  <c r="O151" i="101" s="1"/>
  <c r="F151" i="101"/>
  <c r="N151" i="101" s="1"/>
  <c r="E151" i="101"/>
  <c r="M151" i="101" s="1"/>
  <c r="H150" i="101"/>
  <c r="P150" i="101" s="1"/>
  <c r="G150" i="101"/>
  <c r="O150" i="101" s="1"/>
  <c r="F150" i="101"/>
  <c r="N150" i="101" s="1"/>
  <c r="E150" i="101"/>
  <c r="M150" i="101" s="1"/>
  <c r="H149" i="101"/>
  <c r="P149" i="101" s="1"/>
  <c r="G149" i="101"/>
  <c r="O149" i="101" s="1"/>
  <c r="F149" i="101"/>
  <c r="N149" i="101" s="1"/>
  <c r="E149" i="101"/>
  <c r="M149" i="101" s="1"/>
  <c r="H148" i="101"/>
  <c r="P148" i="101" s="1"/>
  <c r="G148" i="101"/>
  <c r="O148" i="101" s="1"/>
  <c r="F148" i="101"/>
  <c r="N148" i="101" s="1"/>
  <c r="E148" i="101"/>
  <c r="M148" i="101" s="1"/>
  <c r="H147" i="101"/>
  <c r="P147" i="101" s="1"/>
  <c r="G147" i="101"/>
  <c r="O147" i="101" s="1"/>
  <c r="F147" i="101"/>
  <c r="N147" i="101" s="1"/>
  <c r="E147" i="101"/>
  <c r="M147" i="101" s="1"/>
  <c r="H144" i="101"/>
  <c r="P144" i="101" s="1"/>
  <c r="G144" i="101"/>
  <c r="O144" i="101" s="1"/>
  <c r="F144" i="101"/>
  <c r="N144" i="101" s="1"/>
  <c r="E144" i="101"/>
  <c r="M144" i="101" s="1"/>
  <c r="H143" i="101"/>
  <c r="P143" i="101" s="1"/>
  <c r="G143" i="101"/>
  <c r="O143" i="101" s="1"/>
  <c r="F143" i="101"/>
  <c r="N143" i="101" s="1"/>
  <c r="E143" i="101"/>
  <c r="M143" i="101" s="1"/>
  <c r="H142" i="101"/>
  <c r="P142" i="101" s="1"/>
  <c r="G142" i="101"/>
  <c r="O142" i="101" s="1"/>
  <c r="F142" i="101"/>
  <c r="N142" i="101" s="1"/>
  <c r="E142" i="101"/>
  <c r="M142" i="101" s="1"/>
  <c r="H141" i="101"/>
  <c r="P141" i="101" s="1"/>
  <c r="G141" i="101"/>
  <c r="O141" i="101" s="1"/>
  <c r="F141" i="101"/>
  <c r="N141" i="101" s="1"/>
  <c r="E141" i="101"/>
  <c r="M141" i="101" s="1"/>
  <c r="H140" i="101"/>
  <c r="P140" i="101" s="1"/>
  <c r="G140" i="101"/>
  <c r="O140" i="101" s="1"/>
  <c r="F140" i="101"/>
  <c r="N140" i="101" s="1"/>
  <c r="E140" i="101"/>
  <c r="M140" i="101" s="1"/>
  <c r="H139" i="101"/>
  <c r="P139" i="101" s="1"/>
  <c r="G139" i="101"/>
  <c r="O139" i="101" s="1"/>
  <c r="F139" i="101"/>
  <c r="N139" i="101" s="1"/>
  <c r="E139" i="101"/>
  <c r="M139" i="101" s="1"/>
  <c r="H138" i="101"/>
  <c r="P138" i="101" s="1"/>
  <c r="G138" i="101"/>
  <c r="O138" i="101" s="1"/>
  <c r="F138" i="101"/>
  <c r="N138" i="101" s="1"/>
  <c r="E138" i="101"/>
  <c r="M138" i="101" s="1"/>
  <c r="H135" i="101"/>
  <c r="P135" i="101" s="1"/>
  <c r="G135" i="101"/>
  <c r="O135" i="101" s="1"/>
  <c r="F135" i="101"/>
  <c r="N135" i="101" s="1"/>
  <c r="E135" i="101"/>
  <c r="M135" i="101" s="1"/>
  <c r="H134" i="101"/>
  <c r="P134" i="101" s="1"/>
  <c r="G134" i="101"/>
  <c r="O134" i="101" s="1"/>
  <c r="F134" i="101"/>
  <c r="N134" i="101" s="1"/>
  <c r="E134" i="101"/>
  <c r="M134" i="101" s="1"/>
  <c r="H133" i="101"/>
  <c r="P133" i="101" s="1"/>
  <c r="G133" i="101"/>
  <c r="O133" i="101" s="1"/>
  <c r="F133" i="101"/>
  <c r="N133" i="101" s="1"/>
  <c r="E133" i="101"/>
  <c r="M133" i="101" s="1"/>
  <c r="H132" i="101"/>
  <c r="P132" i="101" s="1"/>
  <c r="G132" i="101"/>
  <c r="O132" i="101" s="1"/>
  <c r="F132" i="101"/>
  <c r="N132" i="101" s="1"/>
  <c r="E132" i="101"/>
  <c r="M132" i="101" s="1"/>
  <c r="H131" i="101"/>
  <c r="P131" i="101" s="1"/>
  <c r="G131" i="101"/>
  <c r="O131" i="101" s="1"/>
  <c r="F131" i="101"/>
  <c r="N131" i="101" s="1"/>
  <c r="E131" i="101"/>
  <c r="M131" i="101" s="1"/>
  <c r="H130" i="101"/>
  <c r="P130" i="101" s="1"/>
  <c r="G130" i="101"/>
  <c r="O130" i="101" s="1"/>
  <c r="F130" i="101"/>
  <c r="N130" i="101" s="1"/>
  <c r="E130" i="101"/>
  <c r="M130" i="101" s="1"/>
  <c r="H129" i="101"/>
  <c r="P129" i="101" s="1"/>
  <c r="G129" i="101"/>
  <c r="O129" i="101" s="1"/>
  <c r="F129" i="101"/>
  <c r="N129" i="101" s="1"/>
  <c r="E129" i="101"/>
  <c r="M129" i="101" s="1"/>
  <c r="H126" i="101"/>
  <c r="P126" i="101" s="1"/>
  <c r="G126" i="101"/>
  <c r="O126" i="101" s="1"/>
  <c r="F126" i="101"/>
  <c r="N126" i="101" s="1"/>
  <c r="E126" i="101"/>
  <c r="M126" i="101" s="1"/>
  <c r="H125" i="101"/>
  <c r="P125" i="101" s="1"/>
  <c r="G125" i="101"/>
  <c r="O125" i="101" s="1"/>
  <c r="F125" i="101"/>
  <c r="N125" i="101" s="1"/>
  <c r="E125" i="101"/>
  <c r="M125" i="101" s="1"/>
  <c r="H124" i="101"/>
  <c r="P124" i="101" s="1"/>
  <c r="G124" i="101"/>
  <c r="O124" i="101" s="1"/>
  <c r="F124" i="101"/>
  <c r="N124" i="101" s="1"/>
  <c r="E124" i="101"/>
  <c r="M124" i="101" s="1"/>
  <c r="H123" i="101"/>
  <c r="P123" i="101" s="1"/>
  <c r="G123" i="101"/>
  <c r="O123" i="101" s="1"/>
  <c r="F123" i="101"/>
  <c r="N123" i="101" s="1"/>
  <c r="E123" i="101"/>
  <c r="M123" i="101" s="1"/>
  <c r="H122" i="101"/>
  <c r="P122" i="101" s="1"/>
  <c r="G122" i="101"/>
  <c r="O122" i="101" s="1"/>
  <c r="F122" i="101"/>
  <c r="N122" i="101" s="1"/>
  <c r="E122" i="101"/>
  <c r="M122" i="101" s="1"/>
  <c r="H121" i="101"/>
  <c r="P121" i="101" s="1"/>
  <c r="G121" i="101"/>
  <c r="O121" i="101" s="1"/>
  <c r="F121" i="101"/>
  <c r="N121" i="101" s="1"/>
  <c r="E121" i="101"/>
  <c r="M121" i="101" s="1"/>
  <c r="H120" i="101"/>
  <c r="P120" i="101" s="1"/>
  <c r="G120" i="101"/>
  <c r="O120" i="101" s="1"/>
  <c r="F120" i="101"/>
  <c r="N120" i="101" s="1"/>
  <c r="E120" i="101"/>
  <c r="H117" i="101"/>
  <c r="P117" i="101" s="1"/>
  <c r="G117" i="101"/>
  <c r="O117" i="101" s="1"/>
  <c r="F117" i="101"/>
  <c r="N117" i="101" s="1"/>
  <c r="E117" i="101"/>
  <c r="M117" i="101" s="1"/>
  <c r="H116" i="101"/>
  <c r="P116" i="101" s="1"/>
  <c r="G116" i="101"/>
  <c r="O116" i="101" s="1"/>
  <c r="F116" i="101"/>
  <c r="N116" i="101" s="1"/>
  <c r="E116" i="101"/>
  <c r="M116" i="101" s="1"/>
  <c r="H115" i="101"/>
  <c r="P115" i="101" s="1"/>
  <c r="G115" i="101"/>
  <c r="O115" i="101" s="1"/>
  <c r="F115" i="101"/>
  <c r="N115" i="101" s="1"/>
  <c r="E115" i="101"/>
  <c r="M115" i="101" s="1"/>
  <c r="H114" i="101"/>
  <c r="P114" i="101" s="1"/>
  <c r="G114" i="101"/>
  <c r="O114" i="101" s="1"/>
  <c r="F114" i="101"/>
  <c r="N114" i="101" s="1"/>
  <c r="E114" i="101"/>
  <c r="M114" i="101" s="1"/>
  <c r="H113" i="101"/>
  <c r="P113" i="101" s="1"/>
  <c r="G113" i="101"/>
  <c r="O113" i="101" s="1"/>
  <c r="F113" i="101"/>
  <c r="N113" i="101" s="1"/>
  <c r="E113" i="101"/>
  <c r="M113" i="101" s="1"/>
  <c r="H112" i="101"/>
  <c r="P112" i="101" s="1"/>
  <c r="G112" i="101"/>
  <c r="O112" i="101" s="1"/>
  <c r="F112" i="101"/>
  <c r="N112" i="101" s="1"/>
  <c r="E112" i="101"/>
  <c r="M112" i="101" s="1"/>
  <c r="H111" i="101"/>
  <c r="G111" i="101"/>
  <c r="O111" i="101" s="1"/>
  <c r="F111" i="101"/>
  <c r="E111" i="101"/>
  <c r="H108" i="101"/>
  <c r="P108" i="101" s="1"/>
  <c r="G108" i="101"/>
  <c r="O108" i="101" s="1"/>
  <c r="F108" i="101"/>
  <c r="N108" i="101" s="1"/>
  <c r="E108" i="101"/>
  <c r="M108" i="101" s="1"/>
  <c r="H107" i="101"/>
  <c r="P107" i="101" s="1"/>
  <c r="G107" i="101"/>
  <c r="O107" i="101" s="1"/>
  <c r="F107" i="101"/>
  <c r="N107" i="101" s="1"/>
  <c r="E107" i="101"/>
  <c r="M107" i="101" s="1"/>
  <c r="H106" i="101"/>
  <c r="P106" i="101" s="1"/>
  <c r="G106" i="101"/>
  <c r="O106" i="101" s="1"/>
  <c r="F106" i="101"/>
  <c r="N106" i="101" s="1"/>
  <c r="E106" i="101"/>
  <c r="M106" i="101" s="1"/>
  <c r="H105" i="101"/>
  <c r="P105" i="101" s="1"/>
  <c r="G105" i="101"/>
  <c r="O105" i="101" s="1"/>
  <c r="F105" i="101"/>
  <c r="N105" i="101" s="1"/>
  <c r="E105" i="101"/>
  <c r="M105" i="101" s="1"/>
  <c r="H104" i="101"/>
  <c r="P104" i="101" s="1"/>
  <c r="G104" i="101"/>
  <c r="O104" i="101" s="1"/>
  <c r="F104" i="101"/>
  <c r="N104" i="101" s="1"/>
  <c r="E104" i="101"/>
  <c r="M104" i="101" s="1"/>
  <c r="H103" i="101"/>
  <c r="P103" i="101" s="1"/>
  <c r="G103" i="101"/>
  <c r="O103" i="101" s="1"/>
  <c r="F103" i="101"/>
  <c r="N103" i="101" s="1"/>
  <c r="E103" i="101"/>
  <c r="M103" i="101" s="1"/>
  <c r="H102" i="101"/>
  <c r="G102" i="101"/>
  <c r="F102" i="101"/>
  <c r="N102" i="101" s="1"/>
  <c r="E102" i="101"/>
  <c r="H99" i="101"/>
  <c r="P99" i="101" s="1"/>
  <c r="G99" i="101"/>
  <c r="O99" i="101" s="1"/>
  <c r="F99" i="101"/>
  <c r="N99" i="101" s="1"/>
  <c r="E99" i="101"/>
  <c r="M99" i="101" s="1"/>
  <c r="H98" i="101"/>
  <c r="P98" i="101" s="1"/>
  <c r="G98" i="101"/>
  <c r="O98" i="101" s="1"/>
  <c r="F98" i="101"/>
  <c r="N98" i="101" s="1"/>
  <c r="E98" i="101"/>
  <c r="M98" i="101" s="1"/>
  <c r="H97" i="101"/>
  <c r="P97" i="101" s="1"/>
  <c r="G97" i="101"/>
  <c r="O97" i="101" s="1"/>
  <c r="F97" i="101"/>
  <c r="N97" i="101" s="1"/>
  <c r="E97" i="101"/>
  <c r="M97" i="101" s="1"/>
  <c r="H96" i="101"/>
  <c r="P96" i="101" s="1"/>
  <c r="G96" i="101"/>
  <c r="O96" i="101" s="1"/>
  <c r="F96" i="101"/>
  <c r="N96" i="101" s="1"/>
  <c r="E96" i="101"/>
  <c r="M96" i="101" s="1"/>
  <c r="H95" i="101"/>
  <c r="P95" i="101" s="1"/>
  <c r="G95" i="101"/>
  <c r="O95" i="101" s="1"/>
  <c r="F95" i="101"/>
  <c r="N95" i="101" s="1"/>
  <c r="E95" i="101"/>
  <c r="M95" i="101" s="1"/>
  <c r="H94" i="101"/>
  <c r="P94" i="101" s="1"/>
  <c r="G94" i="101"/>
  <c r="O94" i="101" s="1"/>
  <c r="F94" i="101"/>
  <c r="N94" i="101" s="1"/>
  <c r="E94" i="101"/>
  <c r="M94" i="101" s="1"/>
  <c r="H93" i="101"/>
  <c r="P93" i="101" s="1"/>
  <c r="G93" i="101"/>
  <c r="F93" i="101"/>
  <c r="E93" i="101"/>
  <c r="H90" i="101"/>
  <c r="P90" i="101" s="1"/>
  <c r="G90" i="101"/>
  <c r="O90" i="101" s="1"/>
  <c r="F90" i="101"/>
  <c r="N90" i="101" s="1"/>
  <c r="E90" i="101"/>
  <c r="M90" i="101" s="1"/>
  <c r="H89" i="101"/>
  <c r="P89" i="101" s="1"/>
  <c r="G89" i="101"/>
  <c r="O89" i="101" s="1"/>
  <c r="F89" i="101"/>
  <c r="N89" i="101" s="1"/>
  <c r="E89" i="101"/>
  <c r="M89" i="101" s="1"/>
  <c r="H88" i="101"/>
  <c r="P88" i="101" s="1"/>
  <c r="G88" i="101"/>
  <c r="O88" i="101" s="1"/>
  <c r="F88" i="101"/>
  <c r="N88" i="101" s="1"/>
  <c r="E88" i="101"/>
  <c r="M88" i="101" s="1"/>
  <c r="H87" i="101"/>
  <c r="P87" i="101" s="1"/>
  <c r="G87" i="101"/>
  <c r="O87" i="101" s="1"/>
  <c r="F87" i="101"/>
  <c r="N87" i="101" s="1"/>
  <c r="E87" i="101"/>
  <c r="M87" i="101" s="1"/>
  <c r="H86" i="101"/>
  <c r="P86" i="101" s="1"/>
  <c r="G86" i="101"/>
  <c r="O86" i="101" s="1"/>
  <c r="F86" i="101"/>
  <c r="N86" i="101" s="1"/>
  <c r="E86" i="101"/>
  <c r="M86" i="101" s="1"/>
  <c r="H85" i="101"/>
  <c r="P85" i="101" s="1"/>
  <c r="G85" i="101"/>
  <c r="O85" i="101" s="1"/>
  <c r="F85" i="101"/>
  <c r="N85" i="101" s="1"/>
  <c r="E85" i="101"/>
  <c r="M85" i="101" s="1"/>
  <c r="H84" i="101"/>
  <c r="P84" i="101" s="1"/>
  <c r="G84" i="101"/>
  <c r="O84" i="101" s="1"/>
  <c r="F84" i="101"/>
  <c r="E84" i="101"/>
  <c r="H81" i="101"/>
  <c r="P81" i="101" s="1"/>
  <c r="G81" i="101"/>
  <c r="O81" i="101" s="1"/>
  <c r="F81" i="101"/>
  <c r="N81" i="101" s="1"/>
  <c r="E81" i="101"/>
  <c r="M81" i="101" s="1"/>
  <c r="H80" i="101"/>
  <c r="P80" i="101" s="1"/>
  <c r="G80" i="101"/>
  <c r="O80" i="101" s="1"/>
  <c r="F80" i="101"/>
  <c r="N80" i="101" s="1"/>
  <c r="E80" i="101"/>
  <c r="M80" i="101" s="1"/>
  <c r="H79" i="101"/>
  <c r="P79" i="101" s="1"/>
  <c r="G79" i="101"/>
  <c r="O79" i="101" s="1"/>
  <c r="F79" i="101"/>
  <c r="N79" i="101" s="1"/>
  <c r="E79" i="101"/>
  <c r="M79" i="101" s="1"/>
  <c r="H78" i="101"/>
  <c r="P78" i="101" s="1"/>
  <c r="G78" i="101"/>
  <c r="O78" i="101" s="1"/>
  <c r="F78" i="101"/>
  <c r="N78" i="101" s="1"/>
  <c r="E78" i="101"/>
  <c r="M78" i="101" s="1"/>
  <c r="H77" i="101"/>
  <c r="P77" i="101" s="1"/>
  <c r="G77" i="101"/>
  <c r="O77" i="101" s="1"/>
  <c r="F77" i="101"/>
  <c r="N77" i="101" s="1"/>
  <c r="E77" i="101"/>
  <c r="M77" i="101" s="1"/>
  <c r="H76" i="101"/>
  <c r="P76" i="101" s="1"/>
  <c r="G76" i="101"/>
  <c r="O76" i="101" s="1"/>
  <c r="F76" i="101"/>
  <c r="N76" i="101" s="1"/>
  <c r="E76" i="101"/>
  <c r="M76" i="101" s="1"/>
  <c r="H75" i="101"/>
  <c r="P75" i="101" s="1"/>
  <c r="G75" i="101"/>
  <c r="O75" i="101" s="1"/>
  <c r="F75" i="101"/>
  <c r="E75" i="101"/>
  <c r="H72" i="101"/>
  <c r="P72" i="101" s="1"/>
  <c r="G72" i="101"/>
  <c r="O72" i="101" s="1"/>
  <c r="F72" i="101"/>
  <c r="N72" i="101" s="1"/>
  <c r="E72" i="101"/>
  <c r="M72" i="101" s="1"/>
  <c r="H71" i="101"/>
  <c r="P71" i="101" s="1"/>
  <c r="G71" i="101"/>
  <c r="O71" i="101" s="1"/>
  <c r="F71" i="101"/>
  <c r="N71" i="101" s="1"/>
  <c r="E71" i="101"/>
  <c r="M71" i="101" s="1"/>
  <c r="H70" i="101"/>
  <c r="P70" i="101" s="1"/>
  <c r="G70" i="101"/>
  <c r="O70" i="101" s="1"/>
  <c r="F70" i="101"/>
  <c r="N70" i="101" s="1"/>
  <c r="E70" i="101"/>
  <c r="M70" i="101" s="1"/>
  <c r="H69" i="101"/>
  <c r="P69" i="101" s="1"/>
  <c r="G69" i="101"/>
  <c r="O69" i="101" s="1"/>
  <c r="F69" i="101"/>
  <c r="N69" i="101" s="1"/>
  <c r="E69" i="101"/>
  <c r="M69" i="101" s="1"/>
  <c r="H68" i="101"/>
  <c r="P68" i="101" s="1"/>
  <c r="G68" i="101"/>
  <c r="O68" i="101" s="1"/>
  <c r="F68" i="101"/>
  <c r="N68" i="101" s="1"/>
  <c r="E68" i="101"/>
  <c r="M68" i="101" s="1"/>
  <c r="H67" i="101"/>
  <c r="P67" i="101" s="1"/>
  <c r="G67" i="101"/>
  <c r="O67" i="101" s="1"/>
  <c r="F67" i="101"/>
  <c r="N67" i="101" s="1"/>
  <c r="E67" i="101"/>
  <c r="M67" i="101" s="1"/>
  <c r="H66" i="101"/>
  <c r="P66" i="101" s="1"/>
  <c r="G66" i="101"/>
  <c r="O66" i="101" s="1"/>
  <c r="F66" i="101"/>
  <c r="E66" i="101"/>
  <c r="H63" i="101"/>
  <c r="P63" i="101" s="1"/>
  <c r="G63" i="101"/>
  <c r="O63" i="101" s="1"/>
  <c r="F63" i="101"/>
  <c r="N63" i="101" s="1"/>
  <c r="E63" i="101"/>
  <c r="M63" i="101" s="1"/>
  <c r="H62" i="101"/>
  <c r="P62" i="101" s="1"/>
  <c r="G62" i="101"/>
  <c r="O62" i="101" s="1"/>
  <c r="F62" i="101"/>
  <c r="N62" i="101" s="1"/>
  <c r="E62" i="101"/>
  <c r="M62" i="101" s="1"/>
  <c r="H61" i="101"/>
  <c r="P61" i="101" s="1"/>
  <c r="G61" i="101"/>
  <c r="O61" i="101" s="1"/>
  <c r="F61" i="101"/>
  <c r="N61" i="101" s="1"/>
  <c r="E61" i="101"/>
  <c r="M61" i="101" s="1"/>
  <c r="H60" i="101"/>
  <c r="P60" i="101" s="1"/>
  <c r="G60" i="101"/>
  <c r="O60" i="101" s="1"/>
  <c r="F60" i="101"/>
  <c r="N60" i="101" s="1"/>
  <c r="E60" i="101"/>
  <c r="M60" i="101" s="1"/>
  <c r="H59" i="101"/>
  <c r="P59" i="101" s="1"/>
  <c r="G59" i="101"/>
  <c r="O59" i="101" s="1"/>
  <c r="F59" i="101"/>
  <c r="N59" i="101" s="1"/>
  <c r="E59" i="101"/>
  <c r="M59" i="101" s="1"/>
  <c r="H58" i="101"/>
  <c r="P58" i="101" s="1"/>
  <c r="G58" i="101"/>
  <c r="O58" i="101" s="1"/>
  <c r="F58" i="101"/>
  <c r="N58" i="101" s="1"/>
  <c r="E58" i="101"/>
  <c r="M58" i="101" s="1"/>
  <c r="H57" i="101"/>
  <c r="G57" i="101"/>
  <c r="O57" i="101" s="1"/>
  <c r="F57" i="101"/>
  <c r="E57" i="101"/>
  <c r="M57" i="101" s="1"/>
  <c r="H54" i="101"/>
  <c r="P54" i="101" s="1"/>
  <c r="G54" i="101"/>
  <c r="O54" i="101" s="1"/>
  <c r="F54" i="101"/>
  <c r="N54" i="101" s="1"/>
  <c r="E54" i="101"/>
  <c r="M54" i="101" s="1"/>
  <c r="H53" i="101"/>
  <c r="P53" i="101" s="1"/>
  <c r="G53" i="101"/>
  <c r="O53" i="101" s="1"/>
  <c r="F53" i="101"/>
  <c r="N53" i="101" s="1"/>
  <c r="E53" i="101"/>
  <c r="M53" i="101" s="1"/>
  <c r="H52" i="101"/>
  <c r="P52" i="101" s="1"/>
  <c r="G52" i="101"/>
  <c r="O52" i="101" s="1"/>
  <c r="F52" i="101"/>
  <c r="N52" i="101" s="1"/>
  <c r="E52" i="101"/>
  <c r="M52" i="101" s="1"/>
  <c r="H51" i="101"/>
  <c r="P51" i="101" s="1"/>
  <c r="G51" i="101"/>
  <c r="O51" i="101" s="1"/>
  <c r="F51" i="101"/>
  <c r="N51" i="101" s="1"/>
  <c r="E51" i="101"/>
  <c r="M51" i="101" s="1"/>
  <c r="H50" i="101"/>
  <c r="P50" i="101" s="1"/>
  <c r="G50" i="101"/>
  <c r="O50" i="101" s="1"/>
  <c r="F50" i="101"/>
  <c r="N50" i="101" s="1"/>
  <c r="E50" i="101"/>
  <c r="M50" i="101" s="1"/>
  <c r="H49" i="101"/>
  <c r="P49" i="101" s="1"/>
  <c r="G49" i="101"/>
  <c r="O49" i="101" s="1"/>
  <c r="F49" i="101"/>
  <c r="N49" i="101" s="1"/>
  <c r="E49" i="101"/>
  <c r="M49" i="101" s="1"/>
  <c r="H48" i="101"/>
  <c r="G48" i="101"/>
  <c r="O48" i="101" s="1"/>
  <c r="F48" i="101"/>
  <c r="N48" i="101" s="1"/>
  <c r="E48" i="101"/>
  <c r="M48" i="101" s="1"/>
  <c r="H45" i="101"/>
  <c r="P45" i="101" s="1"/>
  <c r="G45" i="101"/>
  <c r="O45" i="101" s="1"/>
  <c r="F45" i="101"/>
  <c r="N45" i="101" s="1"/>
  <c r="E45" i="101"/>
  <c r="M45" i="101" s="1"/>
  <c r="H44" i="101"/>
  <c r="P44" i="101" s="1"/>
  <c r="G44" i="101"/>
  <c r="O44" i="101" s="1"/>
  <c r="F44" i="101"/>
  <c r="N44" i="101" s="1"/>
  <c r="E44" i="101"/>
  <c r="M44" i="101" s="1"/>
  <c r="H43" i="101"/>
  <c r="P43" i="101" s="1"/>
  <c r="G43" i="101"/>
  <c r="O43" i="101" s="1"/>
  <c r="F43" i="101"/>
  <c r="N43" i="101" s="1"/>
  <c r="E43" i="101"/>
  <c r="M43" i="101" s="1"/>
  <c r="H42" i="101"/>
  <c r="P42" i="101" s="1"/>
  <c r="G42" i="101"/>
  <c r="O42" i="101" s="1"/>
  <c r="F42" i="101"/>
  <c r="N42" i="101" s="1"/>
  <c r="E42" i="101"/>
  <c r="M42" i="101" s="1"/>
  <c r="H41" i="101"/>
  <c r="P41" i="101" s="1"/>
  <c r="G41" i="101"/>
  <c r="O41" i="101" s="1"/>
  <c r="F41" i="101"/>
  <c r="N41" i="101" s="1"/>
  <c r="E41" i="101"/>
  <c r="M41" i="101" s="1"/>
  <c r="H40" i="101"/>
  <c r="P40" i="101" s="1"/>
  <c r="G40" i="101"/>
  <c r="O40" i="101" s="1"/>
  <c r="F40" i="101"/>
  <c r="N40" i="101" s="1"/>
  <c r="E40" i="101"/>
  <c r="M40" i="101" s="1"/>
  <c r="H39" i="101"/>
  <c r="G39" i="101"/>
  <c r="O39" i="101" s="1"/>
  <c r="F39" i="101"/>
  <c r="N39" i="101" s="1"/>
  <c r="E39" i="101"/>
  <c r="M39" i="101" s="1"/>
  <c r="H36" i="101"/>
  <c r="P36" i="101" s="1"/>
  <c r="G36" i="101"/>
  <c r="O36" i="101" s="1"/>
  <c r="F36" i="101"/>
  <c r="N36" i="101" s="1"/>
  <c r="E36" i="101"/>
  <c r="M36" i="101" s="1"/>
  <c r="H35" i="101"/>
  <c r="P35" i="101" s="1"/>
  <c r="G35" i="101"/>
  <c r="O35" i="101" s="1"/>
  <c r="F35" i="101"/>
  <c r="N35" i="101" s="1"/>
  <c r="E35" i="101"/>
  <c r="M35" i="101" s="1"/>
  <c r="H34" i="101"/>
  <c r="P34" i="101" s="1"/>
  <c r="G34" i="101"/>
  <c r="O34" i="101" s="1"/>
  <c r="F34" i="101"/>
  <c r="N34" i="101" s="1"/>
  <c r="E34" i="101"/>
  <c r="M34" i="101" s="1"/>
  <c r="H33" i="101"/>
  <c r="P33" i="101" s="1"/>
  <c r="G33" i="101"/>
  <c r="O33" i="101" s="1"/>
  <c r="F33" i="101"/>
  <c r="N33" i="101" s="1"/>
  <c r="E33" i="101"/>
  <c r="M33" i="101" s="1"/>
  <c r="H32" i="101"/>
  <c r="P32" i="101" s="1"/>
  <c r="G32" i="101"/>
  <c r="O32" i="101" s="1"/>
  <c r="F32" i="101"/>
  <c r="N32" i="101" s="1"/>
  <c r="E32" i="101"/>
  <c r="M32" i="101" s="1"/>
  <c r="H31" i="101"/>
  <c r="P31" i="101" s="1"/>
  <c r="G31" i="101"/>
  <c r="O31" i="101" s="1"/>
  <c r="F31" i="101"/>
  <c r="N31" i="101" s="1"/>
  <c r="E31" i="101"/>
  <c r="M31" i="101" s="1"/>
  <c r="H30" i="101"/>
  <c r="G30" i="101"/>
  <c r="O30" i="101" s="1"/>
  <c r="F30" i="101"/>
  <c r="E30" i="101"/>
  <c r="M30" i="101" s="1"/>
  <c r="H27" i="101"/>
  <c r="P27" i="101" s="1"/>
  <c r="G27" i="101"/>
  <c r="O27" i="101" s="1"/>
  <c r="F27" i="101"/>
  <c r="N27" i="101" s="1"/>
  <c r="E27" i="101"/>
  <c r="M27" i="101" s="1"/>
  <c r="H26" i="101"/>
  <c r="P26" i="101" s="1"/>
  <c r="G26" i="101"/>
  <c r="O26" i="101" s="1"/>
  <c r="F26" i="101"/>
  <c r="N26" i="101" s="1"/>
  <c r="E26" i="101"/>
  <c r="M26" i="101" s="1"/>
  <c r="H25" i="101"/>
  <c r="P25" i="101" s="1"/>
  <c r="G25" i="101"/>
  <c r="O25" i="101" s="1"/>
  <c r="F25" i="101"/>
  <c r="N25" i="101" s="1"/>
  <c r="E25" i="101"/>
  <c r="M25" i="101" s="1"/>
  <c r="H24" i="101"/>
  <c r="P24" i="101" s="1"/>
  <c r="G24" i="101"/>
  <c r="O24" i="101" s="1"/>
  <c r="F24" i="101"/>
  <c r="N24" i="101" s="1"/>
  <c r="E24" i="101"/>
  <c r="M24" i="101" s="1"/>
  <c r="H23" i="101"/>
  <c r="P23" i="101" s="1"/>
  <c r="G23" i="101"/>
  <c r="O23" i="101" s="1"/>
  <c r="F23" i="101"/>
  <c r="N23" i="101" s="1"/>
  <c r="E23" i="101"/>
  <c r="M23" i="101" s="1"/>
  <c r="H22" i="101"/>
  <c r="P22" i="101" s="1"/>
  <c r="G22" i="101"/>
  <c r="O22" i="101" s="1"/>
  <c r="F22" i="101"/>
  <c r="N22" i="101" s="1"/>
  <c r="E22" i="101"/>
  <c r="M22" i="101" s="1"/>
  <c r="H21" i="101"/>
  <c r="G21" i="101"/>
  <c r="O21" i="101" s="1"/>
  <c r="F21" i="101"/>
  <c r="E21" i="101"/>
  <c r="H18" i="101"/>
  <c r="P18" i="101" s="1"/>
  <c r="G18" i="101"/>
  <c r="O18" i="101" s="1"/>
  <c r="F18" i="101"/>
  <c r="N18" i="101" s="1"/>
  <c r="E18" i="101"/>
  <c r="M18" i="101" s="1"/>
  <c r="H17" i="101"/>
  <c r="P17" i="101" s="1"/>
  <c r="G17" i="101"/>
  <c r="O17" i="101" s="1"/>
  <c r="F17" i="101"/>
  <c r="N17" i="101" s="1"/>
  <c r="E17" i="101"/>
  <c r="M17" i="101" s="1"/>
  <c r="H16" i="101"/>
  <c r="P16" i="101" s="1"/>
  <c r="G16" i="101"/>
  <c r="O16" i="101" s="1"/>
  <c r="F16" i="101"/>
  <c r="N16" i="101" s="1"/>
  <c r="E16" i="101"/>
  <c r="M16" i="101" s="1"/>
  <c r="H15" i="101"/>
  <c r="P15" i="101" s="1"/>
  <c r="G15" i="101"/>
  <c r="O15" i="101" s="1"/>
  <c r="F15" i="101"/>
  <c r="N15" i="101" s="1"/>
  <c r="E15" i="101"/>
  <c r="M15" i="101" s="1"/>
  <c r="H14" i="101"/>
  <c r="P14" i="101" s="1"/>
  <c r="G14" i="101"/>
  <c r="O14" i="101" s="1"/>
  <c r="F14" i="101"/>
  <c r="N14" i="101" s="1"/>
  <c r="E14" i="101"/>
  <c r="M14" i="101" s="1"/>
  <c r="H13" i="101"/>
  <c r="P13" i="101" s="1"/>
  <c r="G13" i="101"/>
  <c r="O13" i="101" s="1"/>
  <c r="F13" i="101"/>
  <c r="N13" i="101" s="1"/>
  <c r="E13" i="101"/>
  <c r="M13" i="101" s="1"/>
  <c r="H12" i="101"/>
  <c r="G12" i="101"/>
  <c r="F12" i="101"/>
  <c r="N12" i="101" s="1"/>
  <c r="E12" i="101"/>
  <c r="M12" i="101" s="1"/>
  <c r="H9" i="101"/>
  <c r="P9" i="101" s="1"/>
  <c r="G9" i="101"/>
  <c r="O9" i="101" s="1"/>
  <c r="F9" i="101"/>
  <c r="N9" i="101" s="1"/>
  <c r="E9" i="101"/>
  <c r="M9" i="101" s="1"/>
  <c r="H8" i="101"/>
  <c r="P8" i="101" s="1"/>
  <c r="G8" i="101"/>
  <c r="O8" i="101" s="1"/>
  <c r="F8" i="101"/>
  <c r="N8" i="101" s="1"/>
  <c r="E8" i="101"/>
  <c r="M8" i="101" s="1"/>
  <c r="H7" i="101"/>
  <c r="P7" i="101" s="1"/>
  <c r="G7" i="101"/>
  <c r="O7" i="101" s="1"/>
  <c r="F7" i="101"/>
  <c r="N7" i="101" s="1"/>
  <c r="E7" i="101"/>
  <c r="M7" i="101" s="1"/>
  <c r="H6" i="101"/>
  <c r="P6" i="101" s="1"/>
  <c r="G6" i="101"/>
  <c r="O6" i="101" s="1"/>
  <c r="F6" i="101"/>
  <c r="N6" i="101" s="1"/>
  <c r="E6" i="101"/>
  <c r="M6" i="101" s="1"/>
  <c r="H5" i="101"/>
  <c r="P5" i="101" s="1"/>
  <c r="G5" i="101"/>
  <c r="O5" i="101" s="1"/>
  <c r="F5" i="101"/>
  <c r="N5" i="101" s="1"/>
  <c r="E5" i="101"/>
  <c r="M5" i="101" s="1"/>
  <c r="H4" i="101"/>
  <c r="P4" i="101" s="1"/>
  <c r="G4" i="101"/>
  <c r="O4" i="101" s="1"/>
  <c r="F4" i="101"/>
  <c r="N4" i="101" s="1"/>
  <c r="E4" i="101"/>
  <c r="M4" i="101" s="1"/>
  <c r="H3" i="101"/>
  <c r="G3" i="101"/>
  <c r="F3" i="101"/>
  <c r="N3" i="101" s="1"/>
  <c r="E3" i="101"/>
  <c r="M3" i="101" s="1"/>
  <c r="J21" i="114"/>
  <c r="H21" i="114"/>
  <c r="J13" i="114"/>
  <c r="H13" i="114"/>
  <c r="J12" i="114"/>
  <c r="H12" i="114"/>
  <c r="J9" i="114"/>
  <c r="H9" i="114"/>
  <c r="J8" i="114"/>
  <c r="H8" i="114"/>
  <c r="S29" i="80"/>
  <c r="R29" i="80"/>
  <c r="Q29" i="80"/>
  <c r="P29" i="80"/>
  <c r="P42" i="80"/>
  <c r="P28" i="80"/>
  <c r="BC4" i="80"/>
  <c r="AS4" i="80"/>
  <c r="Y4" i="80"/>
  <c r="T4" i="80"/>
  <c r="P4" i="80"/>
  <c r="N4" i="80"/>
  <c r="O51" i="111" l="1"/>
  <c r="I10" i="105"/>
  <c r="I51" i="111"/>
  <c r="I21" i="105"/>
  <c r="K51" i="111"/>
  <c r="M3" i="111"/>
  <c r="M51" i="111" s="1"/>
  <c r="P19" i="80"/>
  <c r="P27" i="80"/>
  <c r="BH4" i="80"/>
  <c r="W4" i="80" s="1"/>
  <c r="O23" i="80"/>
  <c r="O21" i="80"/>
  <c r="O22" i="80"/>
  <c r="S21" i="80"/>
  <c r="R21" i="80"/>
  <c r="Q21" i="80"/>
  <c r="P21" i="80"/>
  <c r="N3" i="111"/>
  <c r="N4" i="111"/>
  <c r="N5" i="111"/>
  <c r="N6" i="111"/>
  <c r="N7" i="111"/>
  <c r="N8" i="111"/>
  <c r="N9" i="111"/>
  <c r="N10" i="111"/>
  <c r="N11" i="111"/>
  <c r="N12" i="111"/>
  <c r="N13" i="111"/>
  <c r="N14" i="111"/>
  <c r="N15" i="111"/>
  <c r="N16" i="111"/>
  <c r="N17" i="111"/>
  <c r="N18" i="111"/>
  <c r="N19" i="111"/>
  <c r="N20" i="111"/>
  <c r="N21" i="111"/>
  <c r="N22" i="111"/>
  <c r="N23" i="111"/>
  <c r="N24" i="111"/>
  <c r="N25" i="111"/>
  <c r="N26" i="111"/>
  <c r="N27" i="111"/>
  <c r="N28" i="111"/>
  <c r="N29" i="111"/>
  <c r="N30" i="111"/>
  <c r="N31" i="111"/>
  <c r="N32" i="111"/>
  <c r="N33" i="111"/>
  <c r="N34" i="111"/>
  <c r="N35" i="111"/>
  <c r="N36" i="111"/>
  <c r="N37" i="111"/>
  <c r="N38" i="111"/>
  <c r="N39" i="111"/>
  <c r="N40" i="111"/>
  <c r="N41" i="111"/>
  <c r="N42" i="111"/>
  <c r="N43" i="111"/>
  <c r="N44" i="111"/>
  <c r="N45" i="111"/>
  <c r="N46" i="111"/>
  <c r="N47" i="111"/>
  <c r="N48" i="111"/>
  <c r="N49" i="111"/>
  <c r="N50" i="111"/>
  <c r="P3" i="111"/>
  <c r="P51" i="111" s="1"/>
  <c r="P54" i="111" s="1"/>
  <c r="J3" i="111"/>
  <c r="J51" i="111" s="1"/>
  <c r="AL4" i="80"/>
  <c r="AI4" i="80"/>
  <c r="AM4" i="80"/>
  <c r="AP4" i="80"/>
  <c r="AU4" i="80"/>
  <c r="BI4" i="80"/>
  <c r="V4" i="80" s="1"/>
  <c r="R4" i="80"/>
  <c r="R19" i="80" s="1"/>
  <c r="AJ4" i="80"/>
  <c r="P33" i="80"/>
  <c r="AN4" i="80"/>
  <c r="AF4" i="80"/>
  <c r="AO4" i="80"/>
  <c r="P32" i="80"/>
  <c r="AH4" i="80"/>
  <c r="AQ4" i="80"/>
  <c r="P38" i="80"/>
  <c r="E244" i="101"/>
  <c r="H244" i="101"/>
  <c r="G100" i="101"/>
  <c r="Q28" i="80"/>
  <c r="F28" i="101"/>
  <c r="G37" i="101"/>
  <c r="E163" i="101"/>
  <c r="F172" i="101"/>
  <c r="P237" i="101"/>
  <c r="H172" i="101"/>
  <c r="R42" i="80"/>
  <c r="M21" i="101"/>
  <c r="M255" i="101" s="1"/>
  <c r="E28" i="101"/>
  <c r="N30" i="101"/>
  <c r="N254" i="101" s="1"/>
  <c r="F37" i="101"/>
  <c r="G109" i="101"/>
  <c r="O102" i="101"/>
  <c r="N253" i="101"/>
  <c r="G19" i="101"/>
  <c r="O93" i="101"/>
  <c r="E73" i="101"/>
  <c r="E82" i="101"/>
  <c r="E91" i="101"/>
  <c r="N165" i="101"/>
  <c r="F73" i="101"/>
  <c r="F82" i="101"/>
  <c r="F91" i="101"/>
  <c r="F181" i="101"/>
  <c r="E100" i="101"/>
  <c r="F100" i="101"/>
  <c r="F244" i="101"/>
  <c r="E109" i="101"/>
  <c r="P39" i="80"/>
  <c r="P22" i="80"/>
  <c r="P23" i="80"/>
  <c r="P40" i="80"/>
  <c r="P31" i="80"/>
  <c r="P41" i="80"/>
  <c r="P30" i="80"/>
  <c r="G10" i="101"/>
  <c r="O3" i="101"/>
  <c r="F10" i="101"/>
  <c r="O12" i="101"/>
  <c r="O253" i="101" s="1"/>
  <c r="E19" i="101"/>
  <c r="P21" i="101"/>
  <c r="P255" i="101" s="1"/>
  <c r="H28" i="101"/>
  <c r="O254" i="101"/>
  <c r="E37" i="101"/>
  <c r="O257" i="101"/>
  <c r="G55" i="101"/>
  <c r="F19" i="101"/>
  <c r="N21" i="101"/>
  <c r="N255" i="101" s="1"/>
  <c r="P30" i="101"/>
  <c r="P254" i="101" s="1"/>
  <c r="H37" i="101"/>
  <c r="P48" i="101"/>
  <c r="P257" i="101" s="1"/>
  <c r="H55" i="101"/>
  <c r="E64" i="101"/>
  <c r="P3" i="101"/>
  <c r="H10" i="101"/>
  <c r="F64" i="101"/>
  <c r="N57" i="101"/>
  <c r="N252" i="101"/>
  <c r="M253" i="101"/>
  <c r="G28" i="101"/>
  <c r="M256" i="101"/>
  <c r="E46" i="101"/>
  <c r="N256" i="101"/>
  <c r="F46" i="101"/>
  <c r="P57" i="101"/>
  <c r="H64" i="101"/>
  <c r="E10" i="101"/>
  <c r="O256" i="101"/>
  <c r="G46" i="101"/>
  <c r="P12" i="101"/>
  <c r="P253" i="101" s="1"/>
  <c r="H19" i="101"/>
  <c r="M254" i="101"/>
  <c r="P39" i="101"/>
  <c r="P256" i="101" s="1"/>
  <c r="H46" i="101"/>
  <c r="M257" i="101"/>
  <c r="E55" i="101"/>
  <c r="M252" i="101"/>
  <c r="O255" i="101"/>
  <c r="N257" i="101"/>
  <c r="F55" i="101"/>
  <c r="G64" i="101"/>
  <c r="G73" i="101"/>
  <c r="G82" i="101"/>
  <c r="G91" i="101"/>
  <c r="H109" i="101"/>
  <c r="P102" i="101"/>
  <c r="M66" i="101"/>
  <c r="H73" i="101"/>
  <c r="M75" i="101"/>
  <c r="H82" i="101"/>
  <c r="M84" i="101"/>
  <c r="H91" i="101"/>
  <c r="M93" i="101"/>
  <c r="H100" i="101"/>
  <c r="M102" i="101"/>
  <c r="M111" i="101"/>
  <c r="E118" i="101"/>
  <c r="N66" i="101"/>
  <c r="N75" i="101"/>
  <c r="N84" i="101"/>
  <c r="N93" i="101"/>
  <c r="N111" i="101"/>
  <c r="F118" i="101"/>
  <c r="G118" i="101"/>
  <c r="P111" i="101"/>
  <c r="H118" i="101"/>
  <c r="M120" i="101"/>
  <c r="E127" i="101"/>
  <c r="F109" i="101"/>
  <c r="E136" i="101"/>
  <c r="E145" i="101"/>
  <c r="E154" i="101"/>
  <c r="G163" i="101"/>
  <c r="F127" i="101"/>
  <c r="F136" i="101"/>
  <c r="F145" i="101"/>
  <c r="F154" i="101"/>
  <c r="P165" i="101"/>
  <c r="E190" i="101"/>
  <c r="G127" i="101"/>
  <c r="G136" i="101"/>
  <c r="G145" i="101"/>
  <c r="G154" i="101"/>
  <c r="H163" i="101"/>
  <c r="E172" i="101"/>
  <c r="P183" i="101"/>
  <c r="H190" i="101"/>
  <c r="F190" i="101"/>
  <c r="H127" i="101"/>
  <c r="H136" i="101"/>
  <c r="H145" i="101"/>
  <c r="H154" i="101"/>
  <c r="M156" i="101"/>
  <c r="H181" i="101"/>
  <c r="E181" i="101"/>
  <c r="G190" i="101"/>
  <c r="G199" i="101"/>
  <c r="G172" i="101"/>
  <c r="N174" i="101"/>
  <c r="M192" i="101"/>
  <c r="E199" i="101"/>
  <c r="P156" i="101"/>
  <c r="P174" i="101"/>
  <c r="G181" i="101"/>
  <c r="F163" i="101"/>
  <c r="P192" i="101"/>
  <c r="H199" i="101"/>
  <c r="E208" i="101"/>
  <c r="E217" i="101"/>
  <c r="E226" i="101"/>
  <c r="E235" i="101"/>
  <c r="F199" i="101"/>
  <c r="F208" i="101"/>
  <c r="F217" i="101"/>
  <c r="F226" i="101"/>
  <c r="F235" i="101"/>
  <c r="G244" i="101"/>
  <c r="O237" i="101"/>
  <c r="G208" i="101"/>
  <c r="G217" i="101"/>
  <c r="G226" i="101"/>
  <c r="G235" i="101"/>
  <c r="H208" i="101"/>
  <c r="H217" i="101"/>
  <c r="H226" i="101"/>
  <c r="H235" i="101"/>
  <c r="M237" i="101"/>
  <c r="N237" i="101"/>
  <c r="Q4" i="80" l="1"/>
  <c r="AA4" i="80"/>
  <c r="AA19" i="80" s="1"/>
  <c r="AK4" i="80"/>
  <c r="AR4" i="80"/>
  <c r="AR19" i="80" s="1"/>
  <c r="AG4" i="80"/>
  <c r="AG19" i="80" s="1"/>
  <c r="N51" i="111"/>
  <c r="Q32" i="80"/>
  <c r="R28" i="80"/>
  <c r="Q38" i="80"/>
  <c r="S28" i="80"/>
  <c r="R33" i="80"/>
  <c r="AM19" i="80"/>
  <c r="R38" i="80"/>
  <c r="R32" i="80"/>
  <c r="O261" i="101"/>
  <c r="AN19" i="80"/>
  <c r="N247" i="101"/>
  <c r="AP19" i="80"/>
  <c r="AO19" i="80"/>
  <c r="AF19" i="80"/>
  <c r="AQ19" i="80"/>
  <c r="AJ19" i="80"/>
  <c r="AS19" i="80"/>
  <c r="M247" i="101"/>
  <c r="H247" i="101"/>
  <c r="H11" i="101" s="1"/>
  <c r="P261" i="101"/>
  <c r="R41" i="80"/>
  <c r="E247" i="101"/>
  <c r="E20" i="101" s="1"/>
  <c r="N261" i="101"/>
  <c r="R30" i="80"/>
  <c r="N259" i="101"/>
  <c r="N260" i="101"/>
  <c r="P252" i="101"/>
  <c r="P247" i="101"/>
  <c r="F247" i="101"/>
  <c r="F128" i="101" s="1"/>
  <c r="Q42" i="80"/>
  <c r="O252" i="101"/>
  <c r="O247" i="101"/>
  <c r="M261" i="101"/>
  <c r="G247" i="101"/>
  <c r="G182" i="101" s="1"/>
  <c r="R39" i="80"/>
  <c r="R27" i="80"/>
  <c r="P34" i="80"/>
  <c r="R40" i="80"/>
  <c r="Q33" i="80"/>
  <c r="R31" i="80"/>
  <c r="R22" i="80"/>
  <c r="M260" i="101"/>
  <c r="M259" i="101"/>
  <c r="R23" i="80"/>
  <c r="AT4" i="80"/>
  <c r="Q19" i="80" l="1"/>
  <c r="V19" i="80" s="1"/>
  <c r="AC4" i="80"/>
  <c r="Q39" i="80"/>
  <c r="S4" i="80"/>
  <c r="S39" i="80" s="1"/>
  <c r="S38" i="80"/>
  <c r="S32" i="80"/>
  <c r="AH19" i="80"/>
  <c r="Q31" i="80"/>
  <c r="G83" i="101"/>
  <c r="E155" i="101"/>
  <c r="E119" i="101"/>
  <c r="E56" i="101"/>
  <c r="H146" i="101"/>
  <c r="H200" i="101"/>
  <c r="H236" i="101"/>
  <c r="E11" i="101"/>
  <c r="H65" i="101"/>
  <c r="H164" i="101"/>
  <c r="H47" i="101"/>
  <c r="E173" i="101"/>
  <c r="E209" i="101"/>
  <c r="F146" i="101"/>
  <c r="F209" i="101"/>
  <c r="G236" i="101"/>
  <c r="G227" i="101"/>
  <c r="Q23" i="80"/>
  <c r="F191" i="101"/>
  <c r="F65" i="101"/>
  <c r="Q22" i="80"/>
  <c r="H92" i="101"/>
  <c r="H74" i="101"/>
  <c r="H56" i="101"/>
  <c r="H20" i="101"/>
  <c r="H128" i="101"/>
  <c r="F137" i="101"/>
  <c r="F119" i="101"/>
  <c r="Q30" i="80"/>
  <c r="E47" i="101"/>
  <c r="H182" i="101"/>
  <c r="E191" i="101"/>
  <c r="H155" i="101"/>
  <c r="F164" i="101"/>
  <c r="F236" i="101"/>
  <c r="H218" i="101"/>
  <c r="H110" i="101"/>
  <c r="H191" i="101"/>
  <c r="E236" i="101"/>
  <c r="E38" i="101"/>
  <c r="G191" i="101"/>
  <c r="E182" i="101"/>
  <c r="F110" i="101"/>
  <c r="E227" i="101"/>
  <c r="H29" i="101"/>
  <c r="H38" i="101"/>
  <c r="H83" i="101"/>
  <c r="F200" i="101"/>
  <c r="F218" i="101"/>
  <c r="P259" i="101"/>
  <c r="Q259" i="101" s="1"/>
  <c r="P260" i="101"/>
  <c r="G200" i="101"/>
  <c r="O259" i="101"/>
  <c r="O260" i="101"/>
  <c r="AT19" i="80"/>
  <c r="S33" i="80"/>
  <c r="AU19" i="80"/>
  <c r="G11" i="101"/>
  <c r="S42" i="80"/>
  <c r="F227" i="101"/>
  <c r="Q41" i="80"/>
  <c r="G38" i="101"/>
  <c r="G101" i="101"/>
  <c r="G20" i="101"/>
  <c r="G110" i="101"/>
  <c r="G209" i="101"/>
  <c r="E101" i="101"/>
  <c r="E74" i="101"/>
  <c r="E83" i="101"/>
  <c r="E110" i="101"/>
  <c r="E92" i="101"/>
  <c r="E245" i="101"/>
  <c r="E29" i="101"/>
  <c r="E164" i="101"/>
  <c r="F155" i="101"/>
  <c r="F47" i="101"/>
  <c r="G119" i="101"/>
  <c r="G56" i="101"/>
  <c r="F20" i="101"/>
  <c r="Q27" i="80"/>
  <c r="E137" i="101"/>
  <c r="H173" i="101"/>
  <c r="H245" i="101"/>
  <c r="H209" i="101"/>
  <c r="G74" i="101"/>
  <c r="G29" i="101"/>
  <c r="R34" i="80"/>
  <c r="G47" i="101"/>
  <c r="G155" i="101"/>
  <c r="E65" i="101"/>
  <c r="H119" i="101"/>
  <c r="F11" i="101"/>
  <c r="E218" i="101"/>
  <c r="G65" i="101"/>
  <c r="E200" i="101"/>
  <c r="E128" i="101"/>
  <c r="G92" i="101"/>
  <c r="G164" i="101"/>
  <c r="F38" i="101"/>
  <c r="F101" i="101"/>
  <c r="F173" i="101"/>
  <c r="F29" i="101"/>
  <c r="F74" i="101"/>
  <c r="F182" i="101"/>
  <c r="F83" i="101"/>
  <c r="F92" i="101"/>
  <c r="F245" i="101"/>
  <c r="G245" i="101"/>
  <c r="H101" i="101"/>
  <c r="Q40" i="80"/>
  <c r="G146" i="101"/>
  <c r="H137" i="101"/>
  <c r="E248" i="101"/>
  <c r="M248" i="101"/>
  <c r="E146" i="101"/>
  <c r="G128" i="101"/>
  <c r="F56" i="101"/>
  <c r="H227" i="101"/>
  <c r="G137" i="101"/>
  <c r="G173" i="101"/>
  <c r="G218" i="101"/>
  <c r="S19" i="80" l="1"/>
  <c r="X19" i="80" s="1"/>
  <c r="S31" i="80"/>
  <c r="S23" i="80"/>
  <c r="S40" i="80"/>
  <c r="S30" i="80"/>
  <c r="S22" i="80"/>
  <c r="AL19" i="80"/>
  <c r="G248" i="101"/>
  <c r="O248" i="101"/>
  <c r="AI19" i="80"/>
  <c r="S27" i="80"/>
  <c r="AK19" i="80"/>
  <c r="S41" i="80"/>
  <c r="Q34" i="80"/>
  <c r="F248" i="101" l="1"/>
  <c r="N248" i="101"/>
  <c r="S34" i="80"/>
  <c r="H248" i="101" l="1"/>
  <c r="P248" i="101"/>
  <c r="D55" i="115"/>
</calcChain>
</file>

<file path=xl/sharedStrings.xml><?xml version="1.0" encoding="utf-8"?>
<sst xmlns="http://schemas.openxmlformats.org/spreadsheetml/2006/main" count="4597" uniqueCount="903">
  <si>
    <t>Painel (P)
CCM (D)
Tomada (T)</t>
  </si>
  <si>
    <t>N</t>
  </si>
  <si>
    <t>-</t>
  </si>
  <si>
    <t>P</t>
  </si>
  <si>
    <t>01</t>
  </si>
  <si>
    <t>Novo(N)
Futuro (F)
Existente (E)</t>
  </si>
  <si>
    <t>Vel.Variavel (S/N)</t>
  </si>
  <si>
    <t>NB  220 V</t>
  </si>
  <si>
    <t>GE 220 V</t>
  </si>
  <si>
    <t>220 V</t>
  </si>
  <si>
    <t>Concessionária (-)
Gerador (GE)
No Break (NB)</t>
  </si>
  <si>
    <t xml:space="preserve">Rendimento </t>
  </si>
  <si>
    <t>ALTO RENDIMENTO</t>
  </si>
  <si>
    <t>POTÊNCIA</t>
  </si>
  <si>
    <t>KOHLBACH-SIEMENS</t>
  </si>
  <si>
    <t>II Polos</t>
  </si>
  <si>
    <t>IV Polos</t>
  </si>
  <si>
    <t>VI Polos</t>
  </si>
  <si>
    <t>VIII Polos</t>
  </si>
  <si>
    <t>kW</t>
  </si>
  <si>
    <t>CV</t>
  </si>
  <si>
    <t>RENDIMENTO</t>
  </si>
  <si>
    <t>FATOR DE POTÊNCIA</t>
  </si>
  <si>
    <t>Motor (S/N)</t>
  </si>
  <si>
    <t>FP</t>
  </si>
  <si>
    <t>AUTOMATICO</t>
  </si>
  <si>
    <t>MANUAL</t>
  </si>
  <si>
    <t>Rev.</t>
  </si>
  <si>
    <t>A</t>
  </si>
  <si>
    <t>GE 380 V</t>
  </si>
  <si>
    <t>380 V</t>
  </si>
  <si>
    <t>NB  380 V</t>
  </si>
  <si>
    <t>Nominal Power (kW)</t>
  </si>
  <si>
    <t>Phase</t>
  </si>
  <si>
    <t>Voltage (V)</t>
  </si>
  <si>
    <t>Electrical Data</t>
  </si>
  <si>
    <t>HA</t>
  </si>
  <si>
    <t>BU</t>
  </si>
  <si>
    <t>CU</t>
  </si>
  <si>
    <t>Relé/Inversor</t>
  </si>
  <si>
    <t>FP CALC (A/M)</t>
  </si>
  <si>
    <t>EL</t>
  </si>
  <si>
    <t>AT</t>
  </si>
  <si>
    <t>NBL  220 V</t>
  </si>
  <si>
    <t>NBL  380 V</t>
  </si>
  <si>
    <t>Bomba Porte (S/N)</t>
  </si>
  <si>
    <t>Vem com controle de partida (S/N)</t>
  </si>
  <si>
    <t>TOTAL</t>
  </si>
  <si>
    <t>127 V</t>
  </si>
  <si>
    <t>GE 127 V</t>
  </si>
  <si>
    <t>NBL  127 V</t>
  </si>
  <si>
    <t>NB  127 V</t>
  </si>
  <si>
    <t>Data</t>
  </si>
  <si>
    <t>Elaborado</t>
  </si>
  <si>
    <t>Revisado</t>
  </si>
  <si>
    <t>Aprovado</t>
  </si>
  <si>
    <t>Propósito da Emissão</t>
  </si>
  <si>
    <t>Revisão</t>
  </si>
  <si>
    <t>Sistema</t>
  </si>
  <si>
    <t>Tensão (V)</t>
  </si>
  <si>
    <t>Potência Nominal
Instalada (kW)</t>
  </si>
  <si>
    <t>Potência Nominal
Instalada (kVA)</t>
  </si>
  <si>
    <t xml:space="preserve">Potência Demandada
em Operação (kW) </t>
  </si>
  <si>
    <t xml:space="preserve">Potência Demandada 
em Operação (kVA) </t>
  </si>
  <si>
    <t>Fases</t>
  </si>
  <si>
    <t>Eficiência</t>
  </si>
  <si>
    <t>Consumo de Energia
 (kWh)</t>
  </si>
  <si>
    <t>Normal (-)
Gerador e NoBreak(GE+NB)</t>
  </si>
  <si>
    <t>Corrente (A)</t>
  </si>
  <si>
    <t>D</t>
  </si>
  <si>
    <t>Função</t>
  </si>
  <si>
    <t>440 V</t>
  </si>
  <si>
    <t>GE 440 V</t>
  </si>
  <si>
    <t>NBL  440 V</t>
  </si>
  <si>
    <t>NB  440 V</t>
  </si>
  <si>
    <t>E</t>
  </si>
  <si>
    <t>PR</t>
  </si>
  <si>
    <t>CONF</t>
  </si>
  <si>
    <t>Descrição Bloco</t>
  </si>
  <si>
    <t>Hormonais</t>
  </si>
  <si>
    <t>Creche</t>
  </si>
  <si>
    <t>Portaria</t>
  </si>
  <si>
    <t>Descrição / Área</t>
  </si>
  <si>
    <t>SE-01</t>
  </si>
  <si>
    <t>SE-02</t>
  </si>
  <si>
    <t>SE-04</t>
  </si>
  <si>
    <t>SE-05</t>
  </si>
  <si>
    <t>SE-06</t>
  </si>
  <si>
    <t>SE-07</t>
  </si>
  <si>
    <t>SE-03</t>
  </si>
  <si>
    <t>TOTAL 220V</t>
  </si>
  <si>
    <t>TOTAL GERAL</t>
  </si>
  <si>
    <t>SE-01A</t>
  </si>
  <si>
    <t>DE</t>
  </si>
  <si>
    <t>PARA</t>
  </si>
  <si>
    <t>DISTÂNCIA</t>
  </si>
  <si>
    <t>CORRENTE</t>
  </si>
  <si>
    <t>CABO</t>
  </si>
  <si>
    <t>N FASES</t>
  </si>
  <si>
    <t>CC</t>
  </si>
  <si>
    <t>AMPACIDADE</t>
  </si>
  <si>
    <t>Medium Voltage (20KV)</t>
  </si>
  <si>
    <t>EPRO Compact 20kV 105</t>
  </si>
  <si>
    <t>SEÇÃO</t>
  </si>
  <si>
    <t>R$ / METRO</t>
  </si>
  <si>
    <t>16 mm²</t>
  </si>
  <si>
    <t>25 mm²</t>
  </si>
  <si>
    <t>35 mm²</t>
  </si>
  <si>
    <t>50 mm²</t>
  </si>
  <si>
    <t>70 mm²</t>
  </si>
  <si>
    <t>95 mm²</t>
  </si>
  <si>
    <t>120 mm²</t>
  </si>
  <si>
    <t>150 mm²</t>
  </si>
  <si>
    <t>185 mm²</t>
  </si>
  <si>
    <t>240 mm²</t>
  </si>
  <si>
    <t>CRITÉRIO</t>
  </si>
  <si>
    <t>CUSTO</t>
  </si>
  <si>
    <t>Fator de Demanda</t>
  </si>
  <si>
    <t>CI</t>
  </si>
  <si>
    <t>CENÁRIO 1 - SUBESTAÇÃO INTERMEDIÁRIA (-400 METROS PARA SECUNDÁRIAS)</t>
  </si>
  <si>
    <t>CENÁRIO 2 - SUBESTAÇÃO ENTRADA UNITÁRIA (ESCOLHIDO)</t>
  </si>
  <si>
    <t>Utilidades</t>
  </si>
  <si>
    <t>Lista de Cargas</t>
  </si>
  <si>
    <t>Sólidos II</t>
  </si>
  <si>
    <t>SE-09</t>
  </si>
  <si>
    <t>SE-10</t>
  </si>
  <si>
    <t>Unidade</t>
  </si>
  <si>
    <t>9a</t>
  </si>
  <si>
    <t>Espinha</t>
  </si>
  <si>
    <t>19a</t>
  </si>
  <si>
    <t>m²</t>
  </si>
  <si>
    <t>CD / Almoxarifado</t>
  </si>
  <si>
    <t>10a</t>
  </si>
  <si>
    <t>Subestação de Entrada</t>
  </si>
  <si>
    <t>11a</t>
  </si>
  <si>
    <t>Armazenagem de Inflamáveis</t>
  </si>
  <si>
    <t>12a</t>
  </si>
  <si>
    <t>ETE</t>
  </si>
  <si>
    <t>13a</t>
  </si>
  <si>
    <t>14a</t>
  </si>
  <si>
    <t>15a</t>
  </si>
  <si>
    <t>16a</t>
  </si>
  <si>
    <t>17a</t>
  </si>
  <si>
    <t>18a</t>
  </si>
  <si>
    <t>20a</t>
  </si>
  <si>
    <t>21a</t>
  </si>
  <si>
    <t>22a</t>
  </si>
  <si>
    <t>23a</t>
  </si>
  <si>
    <t>Resíduos</t>
  </si>
  <si>
    <t>Refeitório</t>
  </si>
  <si>
    <t>Estacionamento Visitantes</t>
  </si>
  <si>
    <t>Estacionamento Interno</t>
  </si>
  <si>
    <t>Arruamento Interno</t>
  </si>
  <si>
    <t>24a</t>
  </si>
  <si>
    <t>25a</t>
  </si>
  <si>
    <t>TOTAL 380V</t>
  </si>
  <si>
    <t>m</t>
  </si>
  <si>
    <t>Diversidade</t>
  </si>
  <si>
    <t>AR</t>
  </si>
  <si>
    <t>Painel</t>
  </si>
  <si>
    <t>Cabine</t>
  </si>
  <si>
    <t>TAG</t>
  </si>
  <si>
    <t>SALA ELÉTRICA</t>
  </si>
  <si>
    <t>ELETRICAL ROOM</t>
  </si>
  <si>
    <t>D-00-T-001</t>
  </si>
  <si>
    <t>VESTIÁRIO MASC.</t>
  </si>
  <si>
    <t>LOCKER MALE</t>
  </si>
  <si>
    <t>D-00-T-002</t>
  </si>
  <si>
    <t>VESTIÁRIO FEM.</t>
  </si>
  <si>
    <t>LOCKER FEMALE</t>
  </si>
  <si>
    <t>D-00-T-003</t>
  </si>
  <si>
    <t>A.C. MASC.</t>
  </si>
  <si>
    <t>PAL M</t>
  </si>
  <si>
    <t>D-00-T-004</t>
  </si>
  <si>
    <t>SANIT. PNE</t>
  </si>
  <si>
    <t>W.C PNE</t>
  </si>
  <si>
    <t>D-00-T-005</t>
  </si>
  <si>
    <t>A.C. FEM.</t>
  </si>
  <si>
    <t>PAL W</t>
  </si>
  <si>
    <t>D-10-T-001</t>
  </si>
  <si>
    <t>DOCUMENTAÇÃO</t>
  </si>
  <si>
    <t>DOCUMENTATION</t>
  </si>
  <si>
    <t>D-10-T-002</t>
  </si>
  <si>
    <t>ESCRITÓRIO</t>
  </si>
  <si>
    <t>OFFICE</t>
  </si>
  <si>
    <t>D-10-T-003</t>
  </si>
  <si>
    <t>REUNIÃO</t>
  </si>
  <si>
    <t>MEETING ROOM</t>
  </si>
  <si>
    <t>D-10-T-004</t>
  </si>
  <si>
    <t>D-10-T-005</t>
  </si>
  <si>
    <t>CAFÉ E RECEPÇÃO</t>
  </si>
  <si>
    <t>COFFEE AND RECEPTION</t>
  </si>
  <si>
    <t>D-10-T-006</t>
  </si>
  <si>
    <t>QUIET ROOM</t>
  </si>
  <si>
    <t>D-10-T-007</t>
  </si>
  <si>
    <t>D-20-T-001</t>
  </si>
  <si>
    <t>ANÁLISE FÍSICO QUÍMICO</t>
  </si>
  <si>
    <t>PHYSICAL CHEMICAL ANALYSIS</t>
  </si>
  <si>
    <t>D-20-T-002</t>
  </si>
  <si>
    <t>ESTOQUE DE REAGENTES</t>
  </si>
  <si>
    <t>REAGENT AND CONSUMABLE STORAGE</t>
  </si>
  <si>
    <t>D-20-T-003</t>
  </si>
  <si>
    <t>PESAGEM</t>
  </si>
  <si>
    <t>WEIGHING AREA</t>
  </si>
  <si>
    <t>D-20-T-004</t>
  </si>
  <si>
    <t>SALA DE LAVAGEM</t>
  </si>
  <si>
    <t>CLEANING ROOM</t>
  </si>
  <si>
    <t>D-20-T-005</t>
  </si>
  <si>
    <t>SALA DE CROMATOGRAFIA</t>
  </si>
  <si>
    <t>CROMATOGRAPHY ROOM</t>
  </si>
  <si>
    <t>D-20-T-006</t>
  </si>
  <si>
    <t>CORREDOR</t>
  </si>
  <si>
    <t>CORRIDOR</t>
  </si>
  <si>
    <t>D-20-T-007</t>
  </si>
  <si>
    <t>SALA QUENTE</t>
  </si>
  <si>
    <t>HOT ROOM</t>
  </si>
  <si>
    <t>D-20-T-008</t>
  </si>
  <si>
    <t>ANÁLISE BIOLÓGICA</t>
  </si>
  <si>
    <t>BIO ANALYTICAL ROOM</t>
  </si>
  <si>
    <t>D-20-T-009</t>
  </si>
  <si>
    <t>ANÁLISE MATERIAL DE EMB.</t>
  </si>
  <si>
    <t>PACKAGING MATERIAL ANALYSIS ROOM</t>
  </si>
  <si>
    <t>D-20-T-010</t>
  </si>
  <si>
    <t>A.C.</t>
  </si>
  <si>
    <t>AL</t>
  </si>
  <si>
    <t>D-20-T-011</t>
  </si>
  <si>
    <t>INALATÓRIOS</t>
  </si>
  <si>
    <t>INHALED ROOM</t>
  </si>
  <si>
    <t>D-20-T-012</t>
  </si>
  <si>
    <t>SALA BIOSEGURA</t>
  </si>
  <si>
    <t>BIOSAFETY ROOM</t>
  </si>
  <si>
    <t>D-20-T-013</t>
  </si>
  <si>
    <t>D-20-T-014</t>
  </si>
  <si>
    <t>SALA DE ESTABILIDADE</t>
  </si>
  <si>
    <t>STABILITY ROOM</t>
  </si>
  <si>
    <t>D-20-T-019</t>
  </si>
  <si>
    <t>CASA DE GASES</t>
  </si>
  <si>
    <t>GAS</t>
  </si>
  <si>
    <t>D-20-T-20</t>
  </si>
  <si>
    <t>D-20-T-21</t>
  </si>
  <si>
    <t>ACETONITRILE</t>
  </si>
  <si>
    <t>D-30-T-001</t>
  </si>
  <si>
    <t>RECEBIMENTO DE MATERIAL</t>
  </si>
  <si>
    <t>MATERIAL STORING MB</t>
  </si>
  <si>
    <t>D-30-T-002</t>
  </si>
  <si>
    <t>D-30-T-003</t>
  </si>
  <si>
    <t>PREPARAÇÃO DE MEDIA</t>
  </si>
  <si>
    <t>MEDIA PREPARATION ROOM</t>
  </si>
  <si>
    <t>D-30-T-004</t>
  </si>
  <si>
    <t>TESTE DE ESTERILIDADE</t>
  </si>
  <si>
    <t>STERILITY TEST-ROOM</t>
  </si>
  <si>
    <t>D-30-T-005</t>
  </si>
  <si>
    <t>ANÁLISE MICRO II</t>
  </si>
  <si>
    <t>MICRO ANALYTICAL ROOM II</t>
  </si>
  <si>
    <t>D-30-T-006</t>
  </si>
  <si>
    <t>PAL</t>
  </si>
  <si>
    <t>D-30-T-007</t>
  </si>
  <si>
    <t>ANÁLISE MICRO I</t>
  </si>
  <si>
    <t>MICRO ANALYTICAL ROOM I</t>
  </si>
  <si>
    <t>D-30-T-008</t>
  </si>
  <si>
    <t>D-30-T-009</t>
  </si>
  <si>
    <t>SALA DE INCUBAÇÃO</t>
  </si>
  <si>
    <t>INCUBATION ROOM</t>
  </si>
  <si>
    <t>D-30-T-010</t>
  </si>
  <si>
    <t>ÁREA DE LAVAGEM</t>
  </si>
  <si>
    <t>WASHING ROOM</t>
  </si>
  <si>
    <t>D-30-T-011</t>
  </si>
  <si>
    <t>D-30-T-012</t>
  </si>
  <si>
    <t>ÁREA MATERIAL LIMPO</t>
  </si>
  <si>
    <t>CLEANING AREA</t>
  </si>
  <si>
    <t>D-40-T-001</t>
  </si>
  <si>
    <t>D-40-T-002</t>
  </si>
  <si>
    <t>ENTRADA DE MATERIAL</t>
  </si>
  <si>
    <t>MATERIAL STAGING - AL</t>
  </si>
  <si>
    <t>D-40-T-003</t>
  </si>
  <si>
    <t>RECEPÇÃO DE AMOSTRAS</t>
  </si>
  <si>
    <t>SAMPLE RECEPTION</t>
  </si>
  <si>
    <t>D-40-T-004</t>
  </si>
  <si>
    <t>A.C. DE RESÍDUOS</t>
  </si>
  <si>
    <t>WASTE STAGING - AL</t>
  </si>
  <si>
    <t>D-40-T-005</t>
  </si>
  <si>
    <t>SAÍDA DE RESÍDUOS</t>
  </si>
  <si>
    <t>WASTE AREA</t>
  </si>
  <si>
    <t>TEMPORARY AREA</t>
  </si>
  <si>
    <t>Pé direito (m)</t>
  </si>
  <si>
    <t>perímetro</t>
  </si>
  <si>
    <t>W/m²</t>
  </si>
  <si>
    <t>Nome da sala</t>
  </si>
  <si>
    <t>estimado</t>
  </si>
  <si>
    <t>(W)</t>
  </si>
  <si>
    <t>(VA)</t>
  </si>
  <si>
    <t>real</t>
  </si>
  <si>
    <t>MÉTODO-W/m²
Pnom</t>
  </si>
  <si>
    <t>MÉTODO NBR-5410
Pnom</t>
  </si>
  <si>
    <t>W/ 
LUMINÁRIA</t>
  </si>
  <si>
    <t>W/m²
QTD
LUMINÁRIAS</t>
  </si>
  <si>
    <t>NBR 5410
QTD
LUMINÁRIAS</t>
  </si>
  <si>
    <t xml:space="preserve"> </t>
  </si>
  <si>
    <t>cômodos ou dependências com área &lt;=</t>
  </si>
  <si>
    <t>tomada</t>
  </si>
  <si>
    <t>cômodos ou dependências com área &gt;</t>
  </si>
  <si>
    <t>tomada a cada</t>
  </si>
  <si>
    <t>cozinha, copas, copas-cozinhas e áreas de serviço</t>
  </si>
  <si>
    <t>subsolos, varandas, garagens ou sótãos</t>
  </si>
  <si>
    <t>tomada pelo menos</t>
  </si>
  <si>
    <t>banheiros</t>
  </si>
  <si>
    <t>tomada pelo menos junto ao lavatório</t>
  </si>
  <si>
    <t>varandas</t>
  </si>
  <si>
    <t>no local ou próximo</t>
  </si>
  <si>
    <t>MÉTODO NBR-5410
QTD Tomadas</t>
  </si>
  <si>
    <t>(pç)</t>
  </si>
  <si>
    <t>MÉTODO NBR-5410
Pot Tomadas</t>
  </si>
  <si>
    <t>FD</t>
  </si>
  <si>
    <t>FS</t>
  </si>
  <si>
    <t>Geral</t>
  </si>
  <si>
    <t>Cabo</t>
  </si>
  <si>
    <t>circuito</t>
  </si>
  <si>
    <t>Tag No.</t>
  </si>
  <si>
    <t>Bloco de Produção</t>
  </si>
  <si>
    <t>Linha de Processo</t>
  </si>
  <si>
    <t>Sequencial</t>
  </si>
  <si>
    <t>B</t>
  </si>
  <si>
    <t>C</t>
  </si>
  <si>
    <t>A-3-G-QDF-001</t>
  </si>
  <si>
    <t>B-3-G-QDF-001</t>
  </si>
  <si>
    <t>A-2-U-QDF-001</t>
  </si>
  <si>
    <t>B-2-U-QDF-001</t>
  </si>
  <si>
    <t>A-3-U-QDF-001</t>
  </si>
  <si>
    <t>B-3-U-QDF-001</t>
  </si>
  <si>
    <t>Bloco</t>
  </si>
  <si>
    <t>TOTAL BLOCO A</t>
  </si>
  <si>
    <t>TOTAL BLOCO B</t>
  </si>
  <si>
    <t>Pavimento</t>
  </si>
  <si>
    <t>QDNO-301</t>
  </si>
  <si>
    <t>QDL-301</t>
  </si>
  <si>
    <t>QDF-396</t>
  </si>
  <si>
    <t>QDF-302</t>
  </si>
  <si>
    <t>QDF-407</t>
  </si>
  <si>
    <t>QDL-398</t>
  </si>
  <si>
    <t>QDL-399</t>
  </si>
  <si>
    <t>QTDE TOMADAS</t>
  </si>
  <si>
    <t>QDNO-397</t>
  </si>
  <si>
    <t>QDNO-398</t>
  </si>
  <si>
    <t>QDNO-399</t>
  </si>
  <si>
    <t>QDNO-400</t>
  </si>
  <si>
    <t>QDNO-405</t>
  </si>
  <si>
    <t>Sistema de Iluminação</t>
  </si>
  <si>
    <t>M</t>
  </si>
  <si>
    <t>Cabine de Pesagem</t>
  </si>
  <si>
    <t>001</t>
  </si>
  <si>
    <t>kg</t>
  </si>
  <si>
    <t>T</t>
  </si>
  <si>
    <t>002</t>
  </si>
  <si>
    <t>NB</t>
  </si>
  <si>
    <t>T1 - Balança de Bancada com Terminal de pesagem</t>
  </si>
  <si>
    <t>T2 - Balança de Bancada com Terminal de pesagem</t>
  </si>
  <si>
    <t>T5 - Disponível</t>
  </si>
  <si>
    <t>T6 - Disponível</t>
  </si>
  <si>
    <t>T3 - Impressora de Etiquetas 01</t>
  </si>
  <si>
    <t>T4 - Impressora de Etiquetas 02</t>
  </si>
  <si>
    <t xml:space="preserve">Tomadas de Uso Geral - 220V </t>
  </si>
  <si>
    <t>CB</t>
  </si>
  <si>
    <t>BB</t>
  </si>
  <si>
    <t>IPS</t>
  </si>
  <si>
    <t xml:space="preserve">Capacidade </t>
  </si>
  <si>
    <t>Potência Nominal
Aparente (kVA)</t>
  </si>
  <si>
    <t>Cos (φ)</t>
  </si>
  <si>
    <t>Descrição</t>
  </si>
  <si>
    <t xml:space="preserve">Potência Demandada em Operação (kW) </t>
  </si>
  <si>
    <t xml:space="preserve">Potência Demandada em Operação (kVA) </t>
  </si>
  <si>
    <t>Tipo de Equip.</t>
  </si>
  <si>
    <t>PNBT-02</t>
  </si>
  <si>
    <t>QDL-04</t>
  </si>
  <si>
    <t>Painel de Origem</t>
  </si>
  <si>
    <t>Potência Nominal do Equipamento (kW)</t>
  </si>
  <si>
    <t>Novo (N)
Futuro (F)
Existente (E)</t>
  </si>
  <si>
    <t>Operação 
(horas por dia)</t>
  </si>
  <si>
    <t>02</t>
  </si>
  <si>
    <t xml:space="preserve">Porta Rápida Interna com Visor - Folha Simples de Enrolar (150x210cm) </t>
  </si>
  <si>
    <t xml:space="preserve">Porta Rápida Interna com Visor - Folha Simples de Enrolar (180x210cm) </t>
  </si>
  <si>
    <t xml:space="preserve">Armadilha Luminosa para Insetos (57x19x15cm) </t>
  </si>
  <si>
    <t>Antecâmara de Materiais - 0165.4.05</t>
  </si>
  <si>
    <t>Sala de Pesagem - 0165.4.02</t>
  </si>
  <si>
    <t>QD-21012-0001</t>
  </si>
  <si>
    <t>PAINEL NORMAL</t>
  </si>
  <si>
    <t>S</t>
  </si>
  <si>
    <t>PAS</t>
  </si>
  <si>
    <t>Pass Through Porta Guilhotina</t>
  </si>
  <si>
    <t>03</t>
  </si>
  <si>
    <t>Antecâmara de Materiais - 0165.4.06</t>
  </si>
  <si>
    <t>Antecâmara de Materiais - 0165.4.03</t>
  </si>
  <si>
    <t>Sala de Entrada de Materiais - 0165.4.01</t>
  </si>
  <si>
    <t>PRI</t>
  </si>
  <si>
    <t>150</t>
  </si>
  <si>
    <t>180</t>
  </si>
  <si>
    <t>T1</t>
  </si>
  <si>
    <t>05</t>
  </si>
  <si>
    <t>06</t>
  </si>
  <si>
    <t>EQ</t>
  </si>
  <si>
    <t>IL</t>
  </si>
  <si>
    <t>1 - PARTIDA DIRETA COM RELÉ ELETRÔNICO DE SOBRE CARGA E3 PLUS.</t>
  </si>
  <si>
    <t>2 - PARTIDA COM CONTATOR</t>
  </si>
  <si>
    <t>3 - PARTIDA COM INVERSOR DE FREQUÊNCIA</t>
  </si>
  <si>
    <t>4 - PARTIDA COM SOFT STARTER</t>
  </si>
  <si>
    <t>5 - DISJUNTOR TERMOMAGNÉTICO (ALIMENTADOR)</t>
  </si>
  <si>
    <t>P&amp;ID</t>
  </si>
  <si>
    <t>TIPO DE PARTIDA</t>
  </si>
  <si>
    <t>POTÊNCIA APARENTE (kVA)</t>
  </si>
  <si>
    <t>FATOR DE DEMANDA</t>
  </si>
  <si>
    <t>POTÊNCIA APARENTE DEMANDADA (kVA)</t>
  </si>
  <si>
    <t>CARREGAMENTO (%)</t>
  </si>
  <si>
    <t>OBSERVAÇÕES</t>
  </si>
  <si>
    <t>Descrição / Função</t>
  </si>
  <si>
    <t>SS</t>
  </si>
  <si>
    <t>IF</t>
  </si>
  <si>
    <t>ALM</t>
  </si>
  <si>
    <t>PD</t>
  </si>
  <si>
    <t>E3</t>
  </si>
  <si>
    <t>Área</t>
  </si>
  <si>
    <t>Número da área</t>
  </si>
  <si>
    <t>Célula de processo</t>
  </si>
  <si>
    <t>Número da célula de processo</t>
  </si>
  <si>
    <t>Tipo de equipamento</t>
  </si>
  <si>
    <t>Unidade de processo</t>
  </si>
  <si>
    <t>Subunidade de processo</t>
  </si>
  <si>
    <t>WET</t>
  </si>
  <si>
    <t>PUMP</t>
  </si>
  <si>
    <t>X</t>
  </si>
  <si>
    <t>Hold</t>
  </si>
  <si>
    <t>XXX</t>
  </si>
  <si>
    <t>HOLD</t>
  </si>
  <si>
    <t>CHW</t>
  </si>
  <si>
    <t>Status</t>
  </si>
  <si>
    <t>005</t>
  </si>
  <si>
    <t>6 - PARTIDA COM INVERSOR DE FREQUÊNCIA / REVERSÃO</t>
  </si>
  <si>
    <t>7 - PARTIDA COM INVERSOR DE FREQUÊNCIA / REVERSÃO / FREIO</t>
  </si>
  <si>
    <t>IF/R</t>
  </si>
  <si>
    <t>IF/R/F</t>
  </si>
  <si>
    <t>NA</t>
  </si>
  <si>
    <t>7 -  PARTIDA COM INVERSOR DE FREQUÊNCIA / REVERSÃO / FREIO</t>
  </si>
  <si>
    <t>Capacidade 01</t>
  </si>
  <si>
    <t>Unidades 01</t>
  </si>
  <si>
    <t>Capacidade 02</t>
  </si>
  <si>
    <t>Unidades 02</t>
  </si>
  <si>
    <t>Capacidade 03</t>
  </si>
  <si>
    <t>Unidades 03</t>
  </si>
  <si>
    <t>Dimensão
AxLxP
(mm)</t>
  </si>
  <si>
    <t>Peso
(kg)</t>
  </si>
  <si>
    <t>Material</t>
  </si>
  <si>
    <t>Dados Elétricos</t>
  </si>
  <si>
    <t>Automação</t>
  </si>
  <si>
    <t>Referências</t>
  </si>
  <si>
    <t>CS</t>
  </si>
  <si>
    <t>PS</t>
  </si>
  <si>
    <t>WFI</t>
  </si>
  <si>
    <t>PW</t>
  </si>
  <si>
    <t>PTW</t>
  </si>
  <si>
    <t>DW</t>
  </si>
  <si>
    <t>PA</t>
  </si>
  <si>
    <t>CA</t>
  </si>
  <si>
    <t>O2</t>
  </si>
  <si>
    <t>N2</t>
  </si>
  <si>
    <t>GN</t>
  </si>
  <si>
    <t>RW</t>
  </si>
  <si>
    <t>PWW</t>
  </si>
  <si>
    <t>Dia 1</t>
  </si>
  <si>
    <t>Dia 2</t>
  </si>
  <si>
    <t>Dia 3</t>
  </si>
  <si>
    <t>Dia 4</t>
  </si>
  <si>
    <t>Dia 5</t>
  </si>
  <si>
    <t>Dia 6</t>
  </si>
  <si>
    <t>Dia 7</t>
  </si>
  <si>
    <t>SUBESTAÇÃO (WET / DAD)</t>
  </si>
  <si>
    <t>Linha 1 / Linha 2</t>
  </si>
  <si>
    <t>Sala</t>
  </si>
  <si>
    <t>Filtragem</t>
  </si>
  <si>
    <t>Especificação / Folha de Dados</t>
  </si>
  <si>
    <t>Pot.Nominal
(kW)</t>
  </si>
  <si>
    <t>N° de Fases</t>
  </si>
  <si>
    <t>Frequência (Hz)</t>
  </si>
  <si>
    <t>Alimentação Emergência (GE/NB)</t>
  </si>
  <si>
    <t>Controle (C)
Monitoramento (M)</t>
  </si>
  <si>
    <t>Sinal
Discreto (D)
Analógico (A)</t>
  </si>
  <si>
    <t xml:space="preserve">Fabricante </t>
  </si>
  <si>
    <t>Modelo</t>
  </si>
  <si>
    <t>Notas</t>
  </si>
  <si>
    <t>CS Vazão Pico
(kg/h)</t>
  </si>
  <si>
    <t>CS Duração
(min)</t>
  </si>
  <si>
    <t>CS Consumo 
(kg)</t>
  </si>
  <si>
    <t>PS Pressão
(barg)</t>
  </si>
  <si>
    <t>PS Vazão Pico
(kg/h)</t>
  </si>
  <si>
    <t>PS Duração
(min)</t>
  </si>
  <si>
    <t>PS Consumo
(kg)</t>
  </si>
  <si>
    <t>WFI Vazão Pico
(m³/h)</t>
  </si>
  <si>
    <t>WFI Duração
(min)</t>
  </si>
  <si>
    <t>WFI Consumo
(m³)</t>
  </si>
  <si>
    <t>WFI Quente (Q) / Frio (F)</t>
  </si>
  <si>
    <t>PW Vazão Pico
(m³/h)</t>
  </si>
  <si>
    <t>PW Duração
(min)</t>
  </si>
  <si>
    <t>PW Consumo
(m³)</t>
  </si>
  <si>
    <t>PTW Vazão Pico
(m³/h)</t>
  </si>
  <si>
    <t>PTW Duração
(min)</t>
  </si>
  <si>
    <t>PTW Consumo
(m³)</t>
  </si>
  <si>
    <t>DW Vazão Pico
(m³/h)</t>
  </si>
  <si>
    <t>DW Duração
(min)</t>
  </si>
  <si>
    <t>DW Consumo
(m³)</t>
  </si>
  <si>
    <t>CHW Vazão Pico
(m³/h)</t>
  </si>
  <si>
    <t>CHW Duração
(min)</t>
  </si>
  <si>
    <t>CHW Consumo
(m³)</t>
  </si>
  <si>
    <t>PA Pressão
(barg)</t>
  </si>
  <si>
    <t>PA Vazão Pico
(Nm³/h)</t>
  </si>
  <si>
    <t>PA Duração
(min)</t>
  </si>
  <si>
    <t>PA Consumo
(Nm³)</t>
  </si>
  <si>
    <t>CA Pressão
(barg)</t>
  </si>
  <si>
    <t>CA Vazão Pico
(Nm³/h)</t>
  </si>
  <si>
    <t>CA Duração
(min)</t>
  </si>
  <si>
    <t>CA Consumo
(Nm³)</t>
  </si>
  <si>
    <t>O2 Pressão
(barg)</t>
  </si>
  <si>
    <t>O2 Vazão Pico
(Nm³/h)</t>
  </si>
  <si>
    <t>O2 Duração
(min)</t>
  </si>
  <si>
    <t>O2 Consumo
(Nm³)</t>
  </si>
  <si>
    <t>N2 Pressão
(barg)</t>
  </si>
  <si>
    <t>N2 Vazão Pico
(Nm³/h)</t>
  </si>
  <si>
    <t>N2 Duração
(min)</t>
  </si>
  <si>
    <t>N2 Consumo
(Nm³)</t>
  </si>
  <si>
    <t>GN Pressão
(barg)</t>
  </si>
  <si>
    <t>GN Vazão Pico
(kg/h)</t>
  </si>
  <si>
    <t>GN Duração
(min)</t>
  </si>
  <si>
    <t>GN Consumo
(kg)</t>
  </si>
  <si>
    <t>RW Vazão Pico
(m³/h)</t>
  </si>
  <si>
    <t>RW Duração
(min)</t>
  </si>
  <si>
    <t>RW Consumo
(m³)</t>
  </si>
  <si>
    <t>PWW Vazão Pico
(m³/h)</t>
  </si>
  <si>
    <t>PWW Duração
(min)</t>
  </si>
  <si>
    <t>PWW Coleta
(m³)</t>
  </si>
  <si>
    <t>CEU</t>
  </si>
  <si>
    <t>Geração - Água de Processo</t>
  </si>
  <si>
    <t>Bomba</t>
  </si>
  <si>
    <t>m³/h</t>
  </si>
  <si>
    <t>mca</t>
  </si>
  <si>
    <t>9999-1002-67-502-001</t>
  </si>
  <si>
    <t>014</t>
  </si>
  <si>
    <t>Bomba de Cloro</t>
  </si>
  <si>
    <t>015</t>
  </si>
  <si>
    <t>016</t>
  </si>
  <si>
    <t xml:space="preserve">Bomba </t>
  </si>
  <si>
    <t>004</t>
  </si>
  <si>
    <t>FP Bomba</t>
  </si>
  <si>
    <t>Ring PRW Bomba</t>
  </si>
  <si>
    <t>003</t>
  </si>
  <si>
    <t>012</t>
  </si>
  <si>
    <t>Bomba de Distribuição</t>
  </si>
  <si>
    <t>013</t>
  </si>
  <si>
    <t>DAD</t>
  </si>
  <si>
    <t>008</t>
  </si>
  <si>
    <t>PWR DAD Bomba</t>
  </si>
  <si>
    <t>009</t>
  </si>
  <si>
    <t>006</t>
  </si>
  <si>
    <t>PWR WET Bomba</t>
  </si>
  <si>
    <t>007</t>
  </si>
  <si>
    <t>010</t>
  </si>
  <si>
    <t>Bomba de Limpeza Geral</t>
  </si>
  <si>
    <t>011</t>
  </si>
  <si>
    <t>HX</t>
  </si>
  <si>
    <t>Trocador de calor</t>
  </si>
  <si>
    <t>TANK</t>
  </si>
  <si>
    <t>Estação Elevatória</t>
  </si>
  <si>
    <t>m³</t>
  </si>
  <si>
    <t>Tanque de água potável</t>
  </si>
  <si>
    <t>WET -  Tanque de água quente de processo</t>
  </si>
  <si>
    <t>DAD - Tanque de água quente de processo</t>
  </si>
  <si>
    <t>Tanque de água quente de utilidade</t>
  </si>
  <si>
    <t>Emergency Tank</t>
  </si>
  <si>
    <t>UTI</t>
  </si>
  <si>
    <t>Sistema de Água Gelada</t>
  </si>
  <si>
    <t>Chiller 1</t>
  </si>
  <si>
    <t>TR</t>
  </si>
  <si>
    <t>9999-1002-DSH-50U-05</t>
  </si>
  <si>
    <t>9999-1002-67-502-004</t>
  </si>
  <si>
    <t>MAYEKAWA MYCOM</t>
  </si>
  <si>
    <t>A-4852-001</t>
  </si>
  <si>
    <t>Chiller 2</t>
  </si>
  <si>
    <t>Tanque de Água gelada</t>
  </si>
  <si>
    <t>Chiller 3</t>
  </si>
  <si>
    <t>Tanque de Água quente</t>
  </si>
  <si>
    <t>CPSR</t>
  </si>
  <si>
    <t>Geração de Ar Comprimido</t>
  </si>
  <si>
    <t>Compressor de ar</t>
  </si>
  <si>
    <t>Nm³/min</t>
  </si>
  <si>
    <t>9999-1002-DSH-50U-01</t>
  </si>
  <si>
    <t>9999-1002-67-502-005</t>
  </si>
  <si>
    <t>Atlas Copco</t>
  </si>
  <si>
    <t>ZR-250</t>
  </si>
  <si>
    <t xml:space="preserve"> ZR-250-VSD</t>
  </si>
  <si>
    <t>Tanque Pulmão</t>
  </si>
  <si>
    <t>bar</t>
  </si>
  <si>
    <t>FLTR</t>
  </si>
  <si>
    <t>Filtro</t>
  </si>
  <si>
    <t>CD 17+ ou similar</t>
  </si>
  <si>
    <t>Água Quente WET</t>
  </si>
  <si>
    <t>Tanque</t>
  </si>
  <si>
    <t>9999-1002-67-502-008</t>
  </si>
  <si>
    <t>Alpina</t>
  </si>
  <si>
    <t>AP-545/6-SGC-I</t>
  </si>
  <si>
    <t>Bomba de recirculação</t>
  </si>
  <si>
    <t>CAG</t>
  </si>
  <si>
    <t>CWT</t>
  </si>
  <si>
    <t>Água da Torre de Resfriamento</t>
  </si>
  <si>
    <t>Torre de Resfriamento</t>
  </si>
  <si>
    <t>9999-1002-DSH-50U-02</t>
  </si>
  <si>
    <t>9999-1002-67-502-010</t>
  </si>
  <si>
    <t>Skid de Tratamento de água</t>
  </si>
  <si>
    <t>Bomba de Resfriamento de processo</t>
  </si>
  <si>
    <t>Bomba de Resfriamento Munters</t>
  </si>
  <si>
    <t>Água Quente DAD</t>
  </si>
  <si>
    <t>9999-1002-28-502-002</t>
  </si>
  <si>
    <t>Caldeira</t>
  </si>
  <si>
    <t>Tanque Desaerador</t>
  </si>
  <si>
    <t>9999-1002-28-502-004</t>
  </si>
  <si>
    <t>Tanque de Condensado</t>
  </si>
  <si>
    <t>Bomba de Condensado</t>
  </si>
  <si>
    <t>Boiler Supply</t>
  </si>
  <si>
    <t xml:space="preserve">Boiler </t>
  </si>
  <si>
    <t>Nota 3</t>
  </si>
  <si>
    <t>0</t>
  </si>
  <si>
    <t>Para Comentários</t>
  </si>
  <si>
    <t>Carregamento do Trafo (%)</t>
  </si>
  <si>
    <t>POTÊNCIA ATIVA CORRIGIDA (kW)</t>
  </si>
  <si>
    <t>POTÊNCIA REATIVA (kVAr)</t>
  </si>
  <si>
    <t>POTÊNCIA ATIVA NOMINAL (kW)</t>
  </si>
  <si>
    <t>POTÊNCIA ATIVA NOMINAL INSTALADA (kW)</t>
  </si>
  <si>
    <t>POTÊNCIA ATIVA DEMANDADA (kW)</t>
  </si>
  <si>
    <t>SISTEMA</t>
  </si>
  <si>
    <t>POTÊNCIA (Hp)</t>
  </si>
  <si>
    <t>ITEM</t>
  </si>
  <si>
    <t>CLIENTE: FUNDAÇÃO HERMÍNIO OMETTO</t>
  </si>
  <si>
    <t>INFORMAÇÕES COMPLEMENTARES</t>
  </si>
  <si>
    <t>TIPOS DE PARTIDA</t>
  </si>
  <si>
    <t>2 - PARTIDA DIRETA COM CONTATOR</t>
  </si>
  <si>
    <t>TENSÃO CCM's E QUADROS: 380 V</t>
  </si>
  <si>
    <t>FATOR DE UTILIZAÇÃO</t>
  </si>
  <si>
    <t>EFICIÊNCIA</t>
  </si>
  <si>
    <t>TENSÃO</t>
  </si>
  <si>
    <t>Nº DE FASES</t>
  </si>
  <si>
    <t>Conforme Diagrama Unifilar</t>
  </si>
  <si>
    <t>TOTAL SEM RESERVA</t>
  </si>
  <si>
    <t>DESCRIÇÃO</t>
  </si>
  <si>
    <t>PAINEL</t>
  </si>
  <si>
    <t>CCM-001</t>
  </si>
  <si>
    <t>Preparação do Produto</t>
  </si>
  <si>
    <t>Inversor de palete</t>
  </si>
  <si>
    <t>INVP-00001</t>
  </si>
  <si>
    <t>Quebrador de palete</t>
  </si>
  <si>
    <t>QBPL-01001</t>
  </si>
  <si>
    <t>Motor pré-quebrador</t>
  </si>
  <si>
    <t>MPRQ-01002</t>
  </si>
  <si>
    <t>MPRQ-01003</t>
  </si>
  <si>
    <t>Motor rosca inclinada</t>
  </si>
  <si>
    <t>MRIQ-01004</t>
  </si>
  <si>
    <t>MRIQ-01005</t>
  </si>
  <si>
    <t>Transportador de correia</t>
  </si>
  <si>
    <t>TRCO-01006</t>
  </si>
  <si>
    <t>Motor transportador de correia</t>
  </si>
  <si>
    <t>MTCO-01007</t>
  </si>
  <si>
    <t>Detector de metais</t>
  </si>
  <si>
    <t>DTMT-01008</t>
  </si>
  <si>
    <t>TRCO-01009</t>
  </si>
  <si>
    <t>MTCO-01010</t>
  </si>
  <si>
    <t>Estação de Recebimento</t>
  </si>
  <si>
    <t>Bomba de rosca</t>
  </si>
  <si>
    <t>BMRS-10002</t>
  </si>
  <si>
    <t>Sistema de Transferência</t>
  </si>
  <si>
    <t>BMRS-13001</t>
  </si>
  <si>
    <t>CCM-002</t>
  </si>
  <si>
    <t>Emulsificador 1</t>
  </si>
  <si>
    <t>Motor misturador produto 1</t>
  </si>
  <si>
    <t>MMPR-02002</t>
  </si>
  <si>
    <t>MMPR-02003</t>
  </si>
  <si>
    <t>EMUL-02004</t>
  </si>
  <si>
    <t>Motor ventilador</t>
  </si>
  <si>
    <t>MVEN-02005</t>
  </si>
  <si>
    <t>Bomba dupla rosca</t>
  </si>
  <si>
    <t>BDRO-02006</t>
  </si>
  <si>
    <t>MMPR-03002</t>
  </si>
  <si>
    <t>MMPR-03003</t>
  </si>
  <si>
    <t>Emulsificador 2</t>
  </si>
  <si>
    <t>EMUL-03004</t>
  </si>
  <si>
    <t>MVEN-03005</t>
  </si>
  <si>
    <t>BDRO-03006</t>
  </si>
  <si>
    <t>Emulsificador</t>
  </si>
  <si>
    <t>CCM-003</t>
  </si>
  <si>
    <t>Sistema descarregamento</t>
  </si>
  <si>
    <t>Talha elétrica</t>
  </si>
  <si>
    <t>HSTE-46011</t>
  </si>
  <si>
    <t>Vibrador</t>
  </si>
  <si>
    <t>VBTR-46014</t>
  </si>
  <si>
    <t>Sistema sopradores/vácuo</t>
  </si>
  <si>
    <t>Aquecedor de ar</t>
  </si>
  <si>
    <t>AQAR-40012</t>
  </si>
  <si>
    <t>Soprador</t>
  </si>
  <si>
    <t>SOPR-40014</t>
  </si>
  <si>
    <t>Secadores adição reação</t>
  </si>
  <si>
    <t>Fundo vibratório</t>
  </si>
  <si>
    <t>FVIB-42003</t>
  </si>
  <si>
    <t>Rosca transportadora</t>
  </si>
  <si>
    <t>RSTR-42004</t>
  </si>
  <si>
    <t>FVIB-42013</t>
  </si>
  <si>
    <t>RSTR-42014</t>
  </si>
  <si>
    <t>Intrometedor</t>
  </si>
  <si>
    <t>INTR-43015</t>
  </si>
  <si>
    <t>Dosador</t>
  </si>
  <si>
    <t>DOSD-43016</t>
  </si>
  <si>
    <t>FVIB-43003</t>
  </si>
  <si>
    <t>Válvula rotativa</t>
  </si>
  <si>
    <t>VLRT-43007</t>
  </si>
  <si>
    <t>VLRT-44004</t>
  </si>
  <si>
    <t>VLRT-44014</t>
  </si>
  <si>
    <t>Exaustor micro ingredientes</t>
  </si>
  <si>
    <t>EXMI-43008</t>
  </si>
  <si>
    <t>EXMI-43013</t>
  </si>
  <si>
    <t>FVIB-44003</t>
  </si>
  <si>
    <t>FVIB-44013</t>
  </si>
  <si>
    <t>CCM-004</t>
  </si>
  <si>
    <t>Fabricação</t>
  </si>
  <si>
    <t>Agitador</t>
  </si>
  <si>
    <t>AGIT-20002</t>
  </si>
  <si>
    <t>AGIT-21002</t>
  </si>
  <si>
    <t>AGIT-22002</t>
  </si>
  <si>
    <t>AGIT-23002</t>
  </si>
  <si>
    <t>AGIT-24002</t>
  </si>
  <si>
    <t>AGIT-25002</t>
  </si>
  <si>
    <t>AGIT-26002</t>
  </si>
  <si>
    <t>Bomba de transferência</t>
  </si>
  <si>
    <t>BMTR-26003</t>
  </si>
  <si>
    <t>AGIT-27002</t>
  </si>
  <si>
    <t>BMTR-27003</t>
  </si>
  <si>
    <t>Peneira brown</t>
  </si>
  <si>
    <t>PNBR-30001</t>
  </si>
  <si>
    <t>BMTR-30003</t>
  </si>
  <si>
    <t>Bomba de aquecimento</t>
  </si>
  <si>
    <t>BMAQ-31004</t>
  </si>
  <si>
    <t>AGIT-31002</t>
  </si>
  <si>
    <t>Dosagem de líquidos funcionais</t>
  </si>
  <si>
    <t>BDRO-50002</t>
  </si>
  <si>
    <t>BDRO-51002</t>
  </si>
  <si>
    <t>BDRO-52002</t>
  </si>
  <si>
    <t>BDRO-53002</t>
  </si>
  <si>
    <t>CCM-005</t>
  </si>
  <si>
    <t>CCM-006</t>
  </si>
  <si>
    <t>Sistema de limpeza avançado</t>
  </si>
  <si>
    <t>Bomba recirculação</t>
  </si>
  <si>
    <t>BMRC-80012</t>
  </si>
  <si>
    <t>BMRC-80022</t>
  </si>
  <si>
    <t>Bomba CIP</t>
  </si>
  <si>
    <t>BCIP-80004</t>
  </si>
  <si>
    <t>BCIP-80014</t>
  </si>
  <si>
    <t>Sopradores mistura</t>
  </si>
  <si>
    <t>AQAR-60002</t>
  </si>
  <si>
    <t>SOPR-60004</t>
  </si>
  <si>
    <t>SOPR-60014</t>
  </si>
  <si>
    <t>Mistura big bag</t>
  </si>
  <si>
    <t>Peneira vibratória</t>
  </si>
  <si>
    <t>PNVT-66006</t>
  </si>
  <si>
    <t>VLRT-66010</t>
  </si>
  <si>
    <t>TAEL-66001</t>
  </si>
  <si>
    <t>VIBR-66004</t>
  </si>
  <si>
    <t>RSTR-66005</t>
  </si>
  <si>
    <t>PNVT-66026</t>
  </si>
  <si>
    <t>VLRT-66030</t>
  </si>
  <si>
    <t>TAEL-66021</t>
  </si>
  <si>
    <t>VIBR-66024</t>
  </si>
  <si>
    <t>RSTR-66025</t>
  </si>
  <si>
    <t>PNVT-67004</t>
  </si>
  <si>
    <t>VLRT-67008</t>
  </si>
  <si>
    <t>Painel fase densa</t>
  </si>
  <si>
    <t>PFDE-6X001</t>
  </si>
  <si>
    <t>Exaustor</t>
  </si>
  <si>
    <t>EXTR-66012</t>
  </si>
  <si>
    <t>EXTR-66032</t>
  </si>
  <si>
    <t>EXTR-67010</t>
  </si>
  <si>
    <t>EXTR-67003</t>
  </si>
  <si>
    <t>Torre mistura produto</t>
  </si>
  <si>
    <t>RSTR-62004</t>
  </si>
  <si>
    <t>FBVT-62003</t>
  </si>
  <si>
    <t>RSTR-62014</t>
  </si>
  <si>
    <t>FBVT-62013</t>
  </si>
  <si>
    <t>RSTR-62024</t>
  </si>
  <si>
    <t>FBVT-62023</t>
  </si>
  <si>
    <t>RSTR-62034</t>
  </si>
  <si>
    <t>FBVT-62033</t>
  </si>
  <si>
    <t>FBVT-62043</t>
  </si>
  <si>
    <t>RSTR-62044</t>
  </si>
  <si>
    <t>FBVT-62053</t>
  </si>
  <si>
    <t>FBVT-62063</t>
  </si>
  <si>
    <t>RSTR-62054</t>
  </si>
  <si>
    <t>FBVT-62073</t>
  </si>
  <si>
    <t>RSTR-62064</t>
  </si>
  <si>
    <t>FBVT-63003</t>
  </si>
  <si>
    <t>RSTR-62074</t>
  </si>
  <si>
    <t>FBVT-63013</t>
  </si>
  <si>
    <t>RSTR-53004</t>
  </si>
  <si>
    <t>FBVT-64005</t>
  </si>
  <si>
    <t>Misturador ribbon</t>
  </si>
  <si>
    <t>MTRB-64001</t>
  </si>
  <si>
    <t>FBVT-65005</t>
  </si>
  <si>
    <t>RSTR-64006</t>
  </si>
  <si>
    <t>RSTR-65006</t>
  </si>
  <si>
    <t>PNVT-65001</t>
  </si>
  <si>
    <t>RSTR-65011</t>
  </si>
  <si>
    <t>RSTR-65015</t>
  </si>
  <si>
    <t>FBVT-65014</t>
  </si>
  <si>
    <t>EXTR-64014</t>
  </si>
  <si>
    <t>Ventilador misturador</t>
  </si>
  <si>
    <t>VTMS-64007</t>
  </si>
  <si>
    <t>TRAFO (kVA)</t>
  </si>
  <si>
    <t>RESERVA</t>
  </si>
  <si>
    <t>POTÊNCIA (HP)</t>
  </si>
  <si>
    <t>POTENCIA REATIVA DEMANDADA (kVAr)</t>
  </si>
  <si>
    <t>CORRENTE NOMINAL DEMANDADA
(A)</t>
  </si>
  <si>
    <t>CORRENTE NOMINAL
(A)</t>
  </si>
  <si>
    <t>RENDIMENTO MÉDIO</t>
  </si>
  <si>
    <t>CORRENTE NOMINAL DEMANDADA (A)</t>
  </si>
  <si>
    <t>1</t>
  </si>
  <si>
    <t>08/04/2025</t>
  </si>
  <si>
    <t>10/05/2025</t>
  </si>
  <si>
    <t>EALB</t>
  </si>
  <si>
    <t>DFER</t>
  </si>
  <si>
    <t>REFERÊNCIAS:</t>
  </si>
  <si>
    <t>NOTAS:</t>
  </si>
  <si>
    <t>RESUMO DAS CARGAS:</t>
  </si>
  <si>
    <t xml:space="preserve"> 1 - NESSA LISTA OS EQUIPAMENTOS FUTUROS NÃO FORAM CONSIDERADOS;</t>
  </si>
  <si>
    <t>Projeto: Banco de Capacitor</t>
  </si>
  <si>
    <t>TRAFO-001</t>
  </si>
  <si>
    <t>QGBT-001</t>
  </si>
  <si>
    <t>Potência Ativa Demandada (kW)</t>
  </si>
  <si>
    <t>Potência Aparente Demandada (kVA)</t>
  </si>
  <si>
    <t xml:space="preserve">Potência Reativa Demandada (kVAr) </t>
  </si>
  <si>
    <t>Fator de Potência Atual</t>
  </si>
  <si>
    <t xml:space="preserve">Corrente Nominal Demandada (A) </t>
  </si>
  <si>
    <t>Projeto N°: PBC-001-25E-0001</t>
  </si>
  <si>
    <t>PBC-LC-25E-0001</t>
  </si>
  <si>
    <t>PROJETO: PBC-001-25E-001</t>
  </si>
  <si>
    <t>PROJETO: PBC-001-25E-0001</t>
  </si>
  <si>
    <t>PAINEL DE MÉDIA TENSÃO: SE01-PMT-001</t>
  </si>
  <si>
    <t>PAINEL DE BAIXA TENSÃO: QGBT-001</t>
  </si>
  <si>
    <t>REVISÃO: 1</t>
  </si>
  <si>
    <t>DATA: 10/05/2025</t>
  </si>
  <si>
    <t>1 - PARTIDA DIRETA COM RELÉ ELETRÔNICO DE SOBRECARGA.</t>
  </si>
  <si>
    <t>TOTAL
SEM RESERVA</t>
  </si>
  <si>
    <t xml:space="preserve">Sistema descarregamento/Sistema sopradores/vácuo </t>
  </si>
  <si>
    <t>CONDUTOR</t>
  </si>
  <si>
    <t>1x(4x70mm²)+1x(1x50mm²)</t>
  </si>
  <si>
    <t>2x(4x240mm²)+1x(1x240mm²)</t>
  </si>
  <si>
    <t>1x(4x16mm²)+1x(1x16mm²)</t>
  </si>
  <si>
    <t>1x(4x95mm²)+1x(1x70mm²)</t>
  </si>
  <si>
    <t>1x(4x25mm²)+1x(1x25mm²)</t>
  </si>
  <si>
    <t>1x(4x120mm²)+1x(1x95mm²)</t>
  </si>
  <si>
    <t>1x(5x2.5mm²)</t>
  </si>
  <si>
    <t>1x(5x4mm²)</t>
  </si>
  <si>
    <t>1x(4x10mm²)+1x(1x10mm²)</t>
  </si>
  <si>
    <t>200, Reg.:180</t>
  </si>
  <si>
    <t>800, Reg.:720</t>
  </si>
  <si>
    <t>63, Reg.:54</t>
  </si>
  <si>
    <t>250, Reg.:225</t>
  </si>
  <si>
    <t>125, Reg.:108</t>
  </si>
  <si>
    <t>320, Reg.:260</t>
  </si>
  <si>
    <t>DISPOSITIVO DE
PROTEÇÃO (A)</t>
  </si>
  <si>
    <t>6.3, Reg.:4.9</t>
  </si>
  <si>
    <t>10, Reg.:9.2</t>
  </si>
  <si>
    <t>63, Reg.:63</t>
  </si>
  <si>
    <t>3.2, Reg.:3</t>
  </si>
  <si>
    <t>2.5, Reg.:1.5</t>
  </si>
  <si>
    <t>8, Reg.:7.2</t>
  </si>
  <si>
    <t>6.3, Reg.:6.3</t>
  </si>
  <si>
    <t>6.3, Reg.:5.4</t>
  </si>
  <si>
    <t>40, Reg.:35</t>
  </si>
  <si>
    <t>320, Reg.:312</t>
  </si>
  <si>
    <t>2.5, Reg.:1.8</t>
  </si>
  <si>
    <t>8, Reg.:6.8</t>
  </si>
  <si>
    <t>25, Reg.:25</t>
  </si>
  <si>
    <t>2.5, Reg.:2.5</t>
  </si>
  <si>
    <t>16, Reg.:14.6</t>
  </si>
  <si>
    <t>20, Reg.:17.4</t>
  </si>
  <si>
    <t>12.5, Reg.:11.4</t>
  </si>
  <si>
    <t>50, Reg.:42</t>
  </si>
  <si>
    <t>16, Reg.:12.8</t>
  </si>
  <si>
    <t>1x(3x2.5mm²)</t>
  </si>
  <si>
    <t>1x(4x6mm²)+1x(1x6mm²)</t>
  </si>
  <si>
    <t xml:space="preserve"> 2 - FATOR DE DEMANDA APLICADO PARA TODOS OS EQUIPAMENTOS DE PROCESSOS: 60%;</t>
  </si>
  <si>
    <t xml:space="preserve"> 3 - OS QUADROS DE DISTRIBUIÇÃO DE FORÇA (QDF) INDICADOS NESSA LISTA, ALIMENTAM ALÉM DA CARGAS TERMINAIS, OUTROS QUADROS COMO OS DE DISTRIBUIÇÃO DE FORÇA E ILUMINAÇÃO (QDFL), PARA DETALHES DE CARGAS, DEVERÁ SE CONSULTADOS OS DIAGRAMAS UNIFILARES CORRESPONDENTE A CADA QUADRO;</t>
  </si>
  <si>
    <t xml:space="preserve"> 4 - O PAINEL DE MÉDIA TENSÃO DEVE ESTAR EM CONFORMIDADE COM A NORMA ABNT NBR IEC 62271-200 E A ABNT NBR 14039;
</t>
  </si>
  <si>
    <t xml:space="preserve"> 5 - OS PAINÉIS DE BAIXA TENSÃO DEVERÃO ESTAR EM CONFORMIDADE COM A NORMA ABNT NBR IEC 61439:2016, BEM COMO NR-10 E NR-12;</t>
  </si>
  <si>
    <t xml:space="preserve"> 7 - PARA DIAGRAMA UNIFILAR VER DOCUMENTO: UN-PBC-25E-0001.</t>
  </si>
  <si>
    <t xml:space="preserve"> 6 - DEVERÁ SER PREVISTO UM BANCO DE CAPACITOR PARA CORRIGIR O FATOR DE POTÊNCIA DA INSTALAÇÃO E LIBERAR POTÊNCIA DO TRANSFORMADOR;</t>
  </si>
  <si>
    <t>LISTA DE CARGAS</t>
  </si>
  <si>
    <t>LISTA RESUMIDA DE CARGAS</t>
  </si>
  <si>
    <t>RESERVA (10%)</t>
  </si>
  <si>
    <t>DISJUNTOR GERAL</t>
  </si>
  <si>
    <t>CABO DE ALIMENTAÇÃO DO QGBT</t>
  </si>
  <si>
    <t>4x(4x185mm²)+4x(1x95mm²)</t>
  </si>
  <si>
    <t>POTÊNCIA DO TRANSFORMADOR: 1000 kVA</t>
  </si>
  <si>
    <t>NÍVEL DE CURTO-CIRCUITO: 23.3 kA</t>
  </si>
  <si>
    <t>1 - ABNT – Associação Brasileira De Normas Técnicas. NBR 5410: Instalações Elétricas de Baixa Tensão. Rio de Janeiro: ABNT, 2004. 209 p.
2 - ABNT – Associação Brasileira de Normas Técnicas. NBR 5419: Proteção contra descargas atmosféricas. Rio de Janeiro: ABNT, 2015.
3 - ABNT – Associação Brasileira De Normas Técnicas. NBR IEC 61439-1: Conjuntos de manobra e controle de baixa tensão - Parte 1: Regras gerais. Rio de Janeiro: ABNT, 2016. 147 p.
4 - ABNT – Associação Brasileira De Normas Técnicas. NBR IEC 61439-2: Conjuntos de manobra e controle de baixa tensão - Parte 2: Requisitos para conjuntos de manobra e controle de baixa tensão. Rio de Janeiro: ABNT, 2016. 22 p.
5 - ABNT. Associação Brasileira de Normas Técnicas. ABNT NBR IEC 60947-2: Aparelhos de manobra e comando de baixa tensão – Parte 2: Disjuntores. Rio de Janeiro, 2011.
6 - ANEEL – Agência Nacional de Energia Elétrica. Resolução Normativa ANEEL nº 1000. Brasília, ANEEL, 2021.
7 - Ministério do Trabalho e Emprego. NR 10: Segurança em Instalações e Serviços em Eletricidade. Brasília: Ministério do Trabalho e Emprego, 2019.
8 - Ministério do Trabalho e Emprego. NR 12: Segurança no Trabalho em Máquinas e Equipamentos. Brasília: Ministério do Trabalho e Emprego, 2019.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</si>
</sst>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_-&quot;R$&quot;\ * #,##0.00_-;\-&quot;R$&quot;\ * #,##0.00_-;_-&quot;R$&quot;\ * &quot;-&quot;??_-;_-@_-"/>
    <numFmt numFmtId="165" formatCode="0.0"/>
    <numFmt numFmtId="166" formatCode="_(&quot;R$&quot;* #,##0.00_);_(&quot;R$&quot;* \(#,##0.00\);_(&quot;R$&quot;* &quot;-&quot;??_);_(@_)"/>
    <numFmt numFmtId="167" formatCode="_-&quot;R$&quot;* #,##0.000_-;\-&quot;R$&quot;* #,##0.000_-;_-&quot;R$&quot;* &quot;-&quot;??_-;_-@_-"/>
    <numFmt numFmtId="168" formatCode="&quot;R$&quot;\ #,##0.00"/>
    <numFmt numFmtId="169" formatCode="000"/>
    <numFmt numFmtId="170" formatCode="0.00000000"/>
    <numFmt numFmtId="171" formatCode="0.0000000"/>
    <numFmt numFmtId="172" formatCode="0.00000"/>
  </numFmts>
  <fonts count="5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name val="Arial"/>
      <family val="2"/>
    </font>
    <font>
      <sz val="9"/>
      <name val="Verdana"/>
      <family val="2"/>
    </font>
    <font>
      <b/>
      <sz val="9"/>
      <name val="Arial"/>
      <family val="2"/>
    </font>
    <font>
      <sz val="9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8"/>
      <name val="Arial Narrow"/>
      <family val="2"/>
    </font>
    <font>
      <b/>
      <sz val="7.5"/>
      <color rgb="FF4A4A4A"/>
      <name val="Verdana"/>
      <family val="2"/>
    </font>
    <font>
      <b/>
      <sz val="7.5"/>
      <color rgb="FF333333"/>
      <name val="Verdana"/>
      <family val="2"/>
    </font>
    <font>
      <sz val="7.5"/>
      <color rgb="FF333333"/>
      <name val="Verdana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3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name val="Verdana"/>
      <family val="2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b/>
      <sz val="8"/>
      <name val="Arial Narrow"/>
      <family val="2"/>
    </font>
    <font>
      <sz val="8"/>
      <name val="Arial"/>
      <family val="2"/>
    </font>
    <font>
      <b/>
      <sz val="18"/>
      <name val="Arial"/>
      <family val="2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b/>
      <sz val="16"/>
      <color theme="1"/>
      <name val="Calibri"/>
      <family val="2"/>
      <scheme val="minor"/>
    </font>
    <font>
      <sz val="16"/>
      <color theme="0"/>
      <name val="Verdana"/>
      <family val="2"/>
    </font>
    <font>
      <b/>
      <sz val="11"/>
      <color theme="1"/>
      <name val="Calibri"/>
      <family val="2"/>
      <scheme val="minor"/>
    </font>
    <font>
      <sz val="7"/>
      <name val="Arial"/>
      <family val="2"/>
    </font>
    <font>
      <b/>
      <sz val="11"/>
      <name val="Arial"/>
      <family val="2"/>
    </font>
    <font>
      <sz val="11"/>
      <name val="Calibri"/>
      <family val="2"/>
      <scheme val="minor"/>
    </font>
    <font>
      <sz val="9"/>
      <color rgb="FFFF0000"/>
      <name val="Arial"/>
      <family val="2"/>
    </font>
    <font>
      <sz val="10"/>
      <color rgb="FFFF0000"/>
      <name val="Arial"/>
      <family val="2"/>
    </font>
    <font>
      <sz val="9"/>
      <color rgb="FF000000"/>
      <name val="Verdana"/>
      <family val="2"/>
    </font>
    <font>
      <b/>
      <sz val="22"/>
      <name val="Arial"/>
      <family val="2"/>
    </font>
    <font>
      <b/>
      <sz val="14"/>
      <color theme="1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0"/>
      <name val="Arial"/>
    </font>
    <font>
      <sz val="8"/>
      <name val="Arial"/>
    </font>
    <font>
      <b/>
      <sz val="10"/>
      <color theme="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EE4F3"/>
        <bgColor indexed="64"/>
      </patternFill>
    </fill>
    <fill>
      <patternFill patternType="solid">
        <fgColor rgb="FFBDDCE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0000"/>
        <bgColor indexed="64"/>
      </patternFill>
    </fill>
  </fills>
  <borders count="7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9">
    <xf numFmtId="0" fontId="0" fillId="0" borderId="0"/>
    <xf numFmtId="0" fontId="14" fillId="0" borderId="0">
      <alignment horizontal="centerContinuous" vertical="justify"/>
    </xf>
    <xf numFmtId="0" fontId="14" fillId="0" borderId="0"/>
    <xf numFmtId="0" fontId="14" fillId="0" borderId="0"/>
    <xf numFmtId="0" fontId="15" fillId="0" borderId="0"/>
    <xf numFmtId="0" fontId="15" fillId="0" borderId="0"/>
    <xf numFmtId="0" fontId="14" fillId="0" borderId="0"/>
    <xf numFmtId="0" fontId="18" fillId="0" borderId="0"/>
    <xf numFmtId="0" fontId="13" fillId="0" borderId="0"/>
    <xf numFmtId="0" fontId="12" fillId="0" borderId="0"/>
    <xf numFmtId="0" fontId="11" fillId="0" borderId="0"/>
    <xf numFmtId="43" fontId="15" fillId="0" borderId="0" applyFont="0" applyFill="0" applyBorder="0" applyAlignment="0" applyProtection="0"/>
    <xf numFmtId="0" fontId="10" fillId="0" borderId="0"/>
    <xf numFmtId="166" fontId="10" fillId="0" borderId="0" applyFont="0" applyFill="0" applyBorder="0" applyAlignment="0" applyProtection="0"/>
    <xf numFmtId="0" fontId="9" fillId="0" borderId="0"/>
    <xf numFmtId="0" fontId="14" fillId="0" borderId="0"/>
    <xf numFmtId="0" fontId="8" fillId="0" borderId="0"/>
    <xf numFmtId="0" fontId="7" fillId="0" borderId="0"/>
    <xf numFmtId="0" fontId="6" fillId="0" borderId="0"/>
    <xf numFmtId="9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  <xf numFmtId="0" fontId="46" fillId="0" borderId="0"/>
    <xf numFmtId="43" fontId="52" fillId="0" borderId="0" applyFont="0" applyFill="0" applyBorder="0" applyAlignment="0" applyProtection="0"/>
    <xf numFmtId="9" fontId="52" fillId="0" borderId="0" applyFont="0" applyFill="0" applyBorder="0" applyAlignment="0" applyProtection="0"/>
  </cellStyleXfs>
  <cellXfs count="562">
    <xf numFmtId="0" fontId="0" fillId="0" borderId="0" xfId="0"/>
    <xf numFmtId="0" fontId="20" fillId="2" borderId="6" xfId="5" applyFont="1" applyFill="1" applyBorder="1" applyAlignment="1">
      <alignment horizontal="center" textRotation="90" wrapText="1"/>
    </xf>
    <xf numFmtId="0" fontId="17" fillId="0" borderId="6" xfId="5" applyFont="1" applyBorder="1" applyAlignment="1">
      <alignment horizontal="center"/>
    </xf>
    <xf numFmtId="0" fontId="17" fillId="0" borderId="0" xfId="5" applyFont="1"/>
    <xf numFmtId="0" fontId="14" fillId="0" borderId="0" xfId="5" applyFont="1"/>
    <xf numFmtId="0" fontId="29" fillId="0" borderId="0" xfId="5" applyFont="1"/>
    <xf numFmtId="0" fontId="32" fillId="2" borderId="6" xfId="5" applyFont="1" applyFill="1" applyBorder="1" applyAlignment="1">
      <alignment horizontal="center" textRotation="90" wrapText="1"/>
    </xf>
    <xf numFmtId="0" fontId="33" fillId="2" borderId="6" xfId="5" applyFont="1" applyFill="1" applyBorder="1" applyAlignment="1">
      <alignment horizontal="center" textRotation="90" wrapText="1"/>
    </xf>
    <xf numFmtId="0" fontId="33" fillId="3" borderId="6" xfId="5" applyFont="1" applyFill="1" applyBorder="1" applyAlignment="1">
      <alignment horizontal="center" textRotation="90" wrapText="1"/>
    </xf>
    <xf numFmtId="0" fontId="33" fillId="2" borderId="6" xfId="5" applyFont="1" applyFill="1" applyBorder="1" applyAlignment="1">
      <alignment textRotation="90" wrapText="1"/>
    </xf>
    <xf numFmtId="0" fontId="31" fillId="0" borderId="6" xfId="5" applyFont="1" applyBorder="1" applyAlignment="1">
      <alignment horizontal="center"/>
    </xf>
    <xf numFmtId="0" fontId="31" fillId="0" borderId="0" xfId="5" applyFont="1"/>
    <xf numFmtId="2" fontId="30" fillId="0" borderId="6" xfId="5" applyNumberFormat="1" applyFont="1" applyBorder="1" applyAlignment="1">
      <alignment horizontal="center"/>
    </xf>
    <xf numFmtId="0" fontId="30" fillId="0" borderId="0" xfId="6" applyFont="1" applyAlignment="1" applyProtection="1">
      <alignment horizontal="center" vertical="center" wrapText="1"/>
      <protection locked="0"/>
    </xf>
    <xf numFmtId="2" fontId="30" fillId="0" borderId="0" xfId="5" applyNumberFormat="1" applyFont="1" applyAlignment="1">
      <alignment horizontal="center"/>
    </xf>
    <xf numFmtId="0" fontId="31" fillId="0" borderId="0" xfId="5" applyFont="1" applyAlignment="1">
      <alignment horizontal="center"/>
    </xf>
    <xf numFmtId="0" fontId="17" fillId="0" borderId="0" xfId="5" applyFont="1" applyAlignment="1">
      <alignment horizontal="center"/>
    </xf>
    <xf numFmtId="0" fontId="29" fillId="3" borderId="6" xfId="5" applyFont="1" applyFill="1" applyBorder="1" applyAlignment="1">
      <alignment horizontal="center"/>
    </xf>
    <xf numFmtId="1" fontId="31" fillId="0" borderId="0" xfId="5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0" fontId="14" fillId="0" borderId="6" xfId="0" applyFont="1" applyBorder="1" applyAlignment="1">
      <alignment horizontal="center"/>
    </xf>
    <xf numFmtId="1" fontId="31" fillId="0" borderId="6" xfId="5" applyNumberFormat="1" applyFont="1" applyBorder="1" applyAlignment="1">
      <alignment horizontal="center"/>
    </xf>
    <xf numFmtId="0" fontId="24" fillId="0" borderId="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16" fillId="0" borderId="0" xfId="5" applyFont="1" applyAlignment="1">
      <alignment horizontal="center"/>
    </xf>
    <xf numFmtId="0" fontId="14" fillId="0" borderId="6" xfId="0" applyFont="1" applyBorder="1"/>
    <xf numFmtId="0" fontId="0" fillId="0" borderId="6" xfId="0" applyBorder="1"/>
    <xf numFmtId="10" fontId="17" fillId="0" borderId="0" xfId="5" applyNumberFormat="1" applyFont="1" applyAlignment="1">
      <alignment horizontal="center"/>
    </xf>
    <xf numFmtId="0" fontId="14" fillId="0" borderId="0" xfId="0" applyFont="1"/>
    <xf numFmtId="2" fontId="0" fillId="0" borderId="0" xfId="0" applyNumberFormat="1" applyAlignment="1">
      <alignment horizontal="center"/>
    </xf>
    <xf numFmtId="1" fontId="27" fillId="0" borderId="0" xfId="5" applyNumberFormat="1" applyFont="1" applyAlignment="1">
      <alignment horizontal="center"/>
    </xf>
    <xf numFmtId="0" fontId="30" fillId="0" borderId="0" xfId="6" applyFont="1" applyAlignment="1">
      <alignment horizontal="center" vertical="center" wrapText="1"/>
    </xf>
    <xf numFmtId="0" fontId="30" fillId="0" borderId="0" xfId="6" applyFont="1" applyAlignment="1">
      <alignment horizontal="center" vertical="center"/>
    </xf>
    <xf numFmtId="1" fontId="30" fillId="0" borderId="0" xfId="5" applyNumberFormat="1" applyFont="1" applyAlignment="1">
      <alignment horizontal="center"/>
    </xf>
    <xf numFmtId="0" fontId="30" fillId="0" borderId="0" xfId="5" applyFont="1" applyAlignment="1">
      <alignment horizontal="center" vertical="center"/>
    </xf>
    <xf numFmtId="0" fontId="0" fillId="0" borderId="6" xfId="0" applyBorder="1" applyAlignment="1">
      <alignment horizontal="center"/>
    </xf>
    <xf numFmtId="0" fontId="14" fillId="3" borderId="6" xfId="0" applyFont="1" applyFill="1" applyBorder="1"/>
    <xf numFmtId="0" fontId="24" fillId="3" borderId="6" xfId="0" applyFont="1" applyFill="1" applyBorder="1" applyAlignment="1">
      <alignment horizontal="center"/>
    </xf>
    <xf numFmtId="1" fontId="24" fillId="3" borderId="6" xfId="0" applyNumberFormat="1" applyFont="1" applyFill="1" applyBorder="1" applyAlignment="1">
      <alignment horizontal="center"/>
    </xf>
    <xf numFmtId="0" fontId="16" fillId="3" borderId="6" xfId="5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/>
    <xf numFmtId="1" fontId="31" fillId="3" borderId="6" xfId="5" applyNumberFormat="1" applyFont="1" applyFill="1" applyBorder="1" applyAlignment="1">
      <alignment horizontal="center"/>
    </xf>
    <xf numFmtId="0" fontId="14" fillId="3" borderId="6" xfId="0" applyFont="1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17" fillId="3" borderId="6" xfId="5" applyFont="1" applyFill="1" applyBorder="1" applyAlignment="1">
      <alignment horizontal="center"/>
    </xf>
    <xf numFmtId="10" fontId="17" fillId="3" borderId="6" xfId="5" applyNumberFormat="1" applyFont="1" applyFill="1" applyBorder="1" applyAlignment="1">
      <alignment horizontal="center"/>
    </xf>
    <xf numFmtId="0" fontId="24" fillId="3" borderId="0" xfId="0" applyFont="1" applyFill="1" applyAlignment="1">
      <alignment horizontal="center"/>
    </xf>
    <xf numFmtId="0" fontId="24" fillId="3" borderId="0" xfId="0" applyFont="1" applyFill="1"/>
    <xf numFmtId="0" fontId="0" fillId="3" borderId="6" xfId="0" applyFill="1" applyBorder="1"/>
    <xf numFmtId="2" fontId="0" fillId="0" borderId="6" xfId="0" applyNumberFormat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2" fontId="14" fillId="0" borderId="6" xfId="0" applyNumberFormat="1" applyFont="1" applyBorder="1" applyAlignment="1">
      <alignment horizontal="center"/>
    </xf>
    <xf numFmtId="168" fontId="0" fillId="0" borderId="0" xfId="0" applyNumberFormat="1" applyAlignment="1">
      <alignment horizontal="center"/>
    </xf>
    <xf numFmtId="0" fontId="17" fillId="0" borderId="1" xfId="5" applyFont="1" applyBorder="1" applyAlignment="1">
      <alignment horizontal="left"/>
    </xf>
    <xf numFmtId="0" fontId="17" fillId="0" borderId="1" xfId="5" applyFont="1" applyBorder="1" applyAlignment="1">
      <alignment horizontal="right"/>
    </xf>
    <xf numFmtId="0" fontId="17" fillId="0" borderId="2" xfId="5" applyFont="1" applyBorder="1" applyAlignment="1">
      <alignment horizontal="left"/>
    </xf>
    <xf numFmtId="0" fontId="17" fillId="0" borderId="6" xfId="5" applyFont="1" applyBorder="1" applyAlignment="1">
      <alignment horizontal="left"/>
    </xf>
    <xf numFmtId="0" fontId="16" fillId="3" borderId="6" xfId="5" applyFont="1" applyFill="1" applyBorder="1" applyAlignment="1">
      <alignment horizontal="center" vertical="center" wrapText="1"/>
    </xf>
    <xf numFmtId="0" fontId="16" fillId="0" borderId="6" xfId="6" applyFont="1" applyBorder="1" applyAlignment="1" applyProtection="1">
      <alignment horizontal="center" vertical="center" wrapText="1"/>
      <protection locked="0"/>
    </xf>
    <xf numFmtId="0" fontId="16" fillId="3" borderId="6" xfId="5" applyFont="1" applyFill="1" applyBorder="1" applyAlignment="1">
      <alignment textRotation="90" wrapText="1"/>
    </xf>
    <xf numFmtId="0" fontId="16" fillId="0" borderId="0" xfId="5" applyFont="1"/>
    <xf numFmtId="0" fontId="35" fillId="2" borderId="0" xfId="5" applyFont="1" applyFill="1" applyAlignment="1">
      <alignment horizontal="center" textRotation="90" wrapText="1"/>
    </xf>
    <xf numFmtId="0" fontId="42" fillId="3" borderId="6" xfId="16" applyFont="1" applyFill="1" applyBorder="1" applyAlignment="1">
      <alignment horizontal="center" vertical="center"/>
    </xf>
    <xf numFmtId="0" fontId="42" fillId="3" borderId="7" xfId="16" applyFont="1" applyFill="1" applyBorder="1" applyAlignment="1">
      <alignment horizontal="center" vertical="center" wrapText="1"/>
    </xf>
    <xf numFmtId="0" fontId="42" fillId="3" borderId="6" xfId="16" applyFont="1" applyFill="1" applyBorder="1" applyAlignment="1">
      <alignment horizontal="center" vertical="center" wrapText="1"/>
    </xf>
    <xf numFmtId="0" fontId="8" fillId="0" borderId="0" xfId="16"/>
    <xf numFmtId="2" fontId="42" fillId="3" borderId="6" xfId="16" applyNumberFormat="1" applyFont="1" applyFill="1" applyBorder="1" applyAlignment="1">
      <alignment horizontal="center" vertical="center"/>
    </xf>
    <xf numFmtId="49" fontId="14" fillId="0" borderId="6" xfId="16" applyNumberFormat="1" applyFont="1" applyBorder="1" applyAlignment="1">
      <alignment horizontal="center" vertical="center" wrapText="1"/>
    </xf>
    <xf numFmtId="0" fontId="18" fillId="0" borderId="6" xfId="16" applyFont="1" applyBorder="1" applyAlignment="1">
      <alignment horizontal="left" vertical="center"/>
    </xf>
    <xf numFmtId="2" fontId="18" fillId="0" borderId="6" xfId="16" applyNumberFormat="1" applyFont="1" applyBorder="1" applyAlignment="1">
      <alignment horizontal="center" vertical="center"/>
    </xf>
    <xf numFmtId="2" fontId="43" fillId="11" borderId="6" xfId="16" applyNumberFormat="1" applyFont="1" applyFill="1" applyBorder="1" applyAlignment="1">
      <alignment horizontal="center" vertical="center"/>
    </xf>
    <xf numFmtId="0" fontId="8" fillId="10" borderId="6" xfId="16" applyFill="1" applyBorder="1" applyAlignment="1">
      <alignment horizontal="center"/>
    </xf>
    <xf numFmtId="0" fontId="8" fillId="11" borderId="6" xfId="16" applyFill="1" applyBorder="1" applyAlignment="1">
      <alignment horizontal="center"/>
    </xf>
    <xf numFmtId="2" fontId="8" fillId="11" borderId="6" xfId="16" applyNumberFormat="1" applyFill="1" applyBorder="1" applyAlignment="1">
      <alignment horizontal="center" vertical="center"/>
    </xf>
    <xf numFmtId="0" fontId="18" fillId="0" borderId="6" xfId="16" applyFont="1" applyBorder="1" applyAlignment="1">
      <alignment horizontal="center" vertical="center"/>
    </xf>
    <xf numFmtId="0" fontId="8" fillId="0" borderId="0" xfId="16" applyAlignment="1">
      <alignment horizontal="center"/>
    </xf>
    <xf numFmtId="2" fontId="8" fillId="0" borderId="0" xfId="16" applyNumberFormat="1" applyAlignment="1">
      <alignment horizontal="center"/>
    </xf>
    <xf numFmtId="0" fontId="40" fillId="11" borderId="6" xfId="16" applyFont="1" applyFill="1" applyBorder="1" applyAlignment="1">
      <alignment horizontal="center"/>
    </xf>
    <xf numFmtId="2" fontId="40" fillId="11" borderId="6" xfId="16" applyNumberFormat="1" applyFont="1" applyFill="1" applyBorder="1" applyAlignment="1">
      <alignment horizontal="center"/>
    </xf>
    <xf numFmtId="0" fontId="40" fillId="3" borderId="6" xfId="16" applyFont="1" applyFill="1" applyBorder="1" applyAlignment="1">
      <alignment horizontal="center"/>
    </xf>
    <xf numFmtId="0" fontId="40" fillId="0" borderId="0" xfId="16" applyFont="1" applyAlignment="1">
      <alignment horizontal="center"/>
    </xf>
    <xf numFmtId="2" fontId="40" fillId="3" borderId="6" xfId="16" applyNumberFormat="1" applyFont="1" applyFill="1" applyBorder="1" applyAlignment="1">
      <alignment horizontal="center"/>
    </xf>
    <xf numFmtId="0" fontId="16" fillId="3" borderId="0" xfId="5" applyFont="1" applyFill="1" applyAlignment="1">
      <alignment horizontal="center" textRotation="90" wrapText="1"/>
    </xf>
    <xf numFmtId="0" fontId="16" fillId="3" borderId="4" xfId="5" applyFont="1" applyFill="1" applyBorder="1" applyAlignment="1">
      <alignment horizontal="center" vertical="center" wrapText="1"/>
    </xf>
    <xf numFmtId="0" fontId="14" fillId="0" borderId="4" xfId="0" applyFont="1" applyBorder="1" applyAlignment="1">
      <alignment horizontal="center"/>
    </xf>
    <xf numFmtId="0" fontId="0" fillId="0" borderId="11" xfId="0" applyBorder="1" applyAlignment="1">
      <alignment horizontal="center"/>
    </xf>
    <xf numFmtId="1" fontId="16" fillId="0" borderId="0" xfId="5" applyNumberFormat="1" applyFont="1" applyAlignment="1">
      <alignment horizontal="center"/>
    </xf>
    <xf numFmtId="0" fontId="17" fillId="0" borderId="2" xfId="5" applyFont="1" applyBorder="1"/>
    <xf numFmtId="0" fontId="17" fillId="0" borderId="2" xfId="5" applyFont="1" applyBorder="1" applyAlignment="1">
      <alignment horizontal="center"/>
    </xf>
    <xf numFmtId="49" fontId="17" fillId="9" borderId="6" xfId="5" quotePrefix="1" applyNumberFormat="1" applyFont="1" applyFill="1" applyBorder="1" applyAlignment="1">
      <alignment horizontal="center" vertical="center" wrapText="1"/>
    </xf>
    <xf numFmtId="0" fontId="17" fillId="9" borderId="6" xfId="5" applyFont="1" applyFill="1" applyBorder="1" applyAlignment="1">
      <alignment horizontal="center"/>
    </xf>
    <xf numFmtId="0" fontId="17" fillId="9" borderId="6" xfId="5" applyFont="1" applyFill="1" applyBorder="1" applyAlignment="1">
      <alignment horizontal="left"/>
    </xf>
    <xf numFmtId="1" fontId="31" fillId="9" borderId="6" xfId="5" applyNumberFormat="1" applyFont="1" applyFill="1" applyBorder="1" applyAlignment="1">
      <alignment horizontal="center" vertical="center" wrapText="1"/>
    </xf>
    <xf numFmtId="2" fontId="31" fillId="9" borderId="6" xfId="5" applyNumberFormat="1" applyFont="1" applyFill="1" applyBorder="1" applyAlignment="1">
      <alignment horizontal="center" vertical="center" wrapText="1"/>
    </xf>
    <xf numFmtId="2" fontId="31" fillId="9" borderId="6" xfId="6" applyNumberFormat="1" applyFont="1" applyFill="1" applyBorder="1" applyAlignment="1">
      <alignment horizontal="center" vertical="center" wrapText="1"/>
    </xf>
    <xf numFmtId="0" fontId="31" fillId="9" borderId="6" xfId="6" applyFont="1" applyFill="1" applyBorder="1" applyAlignment="1" applyProtection="1">
      <alignment horizontal="center" vertical="center" wrapText="1"/>
      <protection locked="0"/>
    </xf>
    <xf numFmtId="2" fontId="31" fillId="9" borderId="6" xfId="6" applyNumberFormat="1" applyFont="1" applyFill="1" applyBorder="1" applyAlignment="1" applyProtection="1">
      <alignment horizontal="center" vertical="center" wrapText="1"/>
      <protection locked="0"/>
    </xf>
    <xf numFmtId="3" fontId="31" fillId="9" borderId="6" xfId="6" applyNumberFormat="1" applyFont="1" applyFill="1" applyBorder="1" applyAlignment="1">
      <alignment horizontal="center" vertical="center" wrapText="1"/>
    </xf>
    <xf numFmtId="165" fontId="31" fillId="9" borderId="6" xfId="5" applyNumberFormat="1" applyFont="1" applyFill="1" applyBorder="1" applyAlignment="1">
      <alignment horizontal="center"/>
    </xf>
    <xf numFmtId="2" fontId="31" fillId="9" borderId="6" xfId="5" applyNumberFormat="1" applyFont="1" applyFill="1" applyBorder="1" applyAlignment="1">
      <alignment horizontal="center"/>
    </xf>
    <xf numFmtId="2" fontId="31" fillId="9" borderId="0" xfId="5" applyNumberFormat="1" applyFont="1" applyFill="1" applyAlignment="1">
      <alignment horizontal="center"/>
    </xf>
    <xf numFmtId="2" fontId="17" fillId="9" borderId="0" xfId="5" applyNumberFormat="1" applyFont="1" applyFill="1"/>
    <xf numFmtId="165" fontId="34" fillId="9" borderId="6" xfId="6" applyNumberFormat="1" applyFont="1" applyFill="1" applyBorder="1" applyAlignment="1">
      <alignment horizontal="center" vertical="center"/>
    </xf>
    <xf numFmtId="1" fontId="34" fillId="9" borderId="6" xfId="6" applyNumberFormat="1" applyFont="1" applyFill="1" applyBorder="1" applyAlignment="1">
      <alignment horizontal="center" vertical="center"/>
    </xf>
    <xf numFmtId="165" fontId="19" fillId="9" borderId="6" xfId="6" applyNumberFormat="1" applyFont="1" applyFill="1" applyBorder="1" applyAlignment="1">
      <alignment horizontal="center" vertical="center"/>
    </xf>
    <xf numFmtId="0" fontId="17" fillId="9" borderId="6" xfId="5" applyFont="1" applyFill="1" applyBorder="1" applyAlignment="1">
      <alignment horizontal="center" vertical="center" wrapText="1"/>
    </xf>
    <xf numFmtId="0" fontId="17" fillId="9" borderId="5" xfId="4" applyFont="1" applyFill="1" applyBorder="1" applyAlignment="1">
      <alignment horizontal="center" vertical="center" wrapText="1"/>
    </xf>
    <xf numFmtId="0" fontId="28" fillId="9" borderId="5" xfId="4" applyFont="1" applyFill="1" applyBorder="1" applyAlignment="1">
      <alignment horizontal="center" vertical="center" wrapText="1"/>
    </xf>
    <xf numFmtId="0" fontId="31" fillId="9" borderId="6" xfId="4" applyFont="1" applyFill="1" applyBorder="1" applyAlignment="1">
      <alignment horizontal="center" vertical="center" wrapText="1"/>
    </xf>
    <xf numFmtId="0" fontId="31" fillId="9" borderId="6" xfId="5" applyFont="1" applyFill="1" applyBorder="1" applyAlignment="1">
      <alignment horizontal="center"/>
    </xf>
    <xf numFmtId="1" fontId="31" fillId="9" borderId="6" xfId="6" applyNumberFormat="1" applyFont="1" applyFill="1" applyBorder="1" applyAlignment="1">
      <alignment horizontal="center" vertical="center" wrapText="1"/>
    </xf>
    <xf numFmtId="0" fontId="31" fillId="9" borderId="6" xfId="6" applyFont="1" applyFill="1" applyBorder="1" applyAlignment="1">
      <alignment horizontal="center" vertical="center"/>
    </xf>
    <xf numFmtId="0" fontId="31" fillId="9" borderId="0" xfId="5" applyFont="1" applyFill="1"/>
    <xf numFmtId="49" fontId="17" fillId="9" borderId="6" xfId="5" applyNumberFormat="1" applyFont="1" applyFill="1" applyBorder="1" applyAlignment="1">
      <alignment vertical="center" wrapText="1"/>
    </xf>
    <xf numFmtId="0" fontId="17" fillId="0" borderId="1" xfId="5" applyFont="1" applyBorder="1" applyAlignment="1">
      <alignment horizontal="center"/>
    </xf>
    <xf numFmtId="9" fontId="17" fillId="0" borderId="0" xfId="19" applyFont="1"/>
    <xf numFmtId="0" fontId="17" fillId="0" borderId="0" xfId="5" applyFont="1" applyAlignment="1">
      <alignment wrapText="1"/>
    </xf>
    <xf numFmtId="0" fontId="17" fillId="0" borderId="1" xfId="5" applyFont="1" applyBorder="1" applyAlignment="1">
      <alignment wrapText="1"/>
    </xf>
    <xf numFmtId="49" fontId="17" fillId="10" borderId="6" xfId="5" quotePrefix="1" applyNumberFormat="1" applyFont="1" applyFill="1" applyBorder="1" applyAlignment="1">
      <alignment horizontal="center" vertical="center" wrapText="1"/>
    </xf>
    <xf numFmtId="0" fontId="17" fillId="10" borderId="6" xfId="5" applyFont="1" applyFill="1" applyBorder="1" applyAlignment="1">
      <alignment horizontal="center"/>
    </xf>
    <xf numFmtId="0" fontId="17" fillId="10" borderId="6" xfId="5" applyFont="1" applyFill="1" applyBorder="1" applyAlignment="1">
      <alignment horizontal="left"/>
    </xf>
    <xf numFmtId="49" fontId="17" fillId="10" borderId="6" xfId="5" applyNumberFormat="1" applyFont="1" applyFill="1" applyBorder="1" applyAlignment="1">
      <alignment vertical="center" wrapText="1"/>
    </xf>
    <xf numFmtId="1" fontId="31" fillId="10" borderId="6" xfId="5" applyNumberFormat="1" applyFont="1" applyFill="1" applyBorder="1" applyAlignment="1">
      <alignment horizontal="center" vertical="center" wrapText="1"/>
    </xf>
    <xf numFmtId="2" fontId="31" fillId="10" borderId="6" xfId="5" applyNumberFormat="1" applyFont="1" applyFill="1" applyBorder="1" applyAlignment="1">
      <alignment horizontal="center" vertical="center" wrapText="1"/>
    </xf>
    <xf numFmtId="2" fontId="31" fillId="10" borderId="6" xfId="6" applyNumberFormat="1" applyFont="1" applyFill="1" applyBorder="1" applyAlignment="1">
      <alignment horizontal="center" vertical="center" wrapText="1"/>
    </xf>
    <xf numFmtId="1" fontId="31" fillId="10" borderId="6" xfId="6" applyNumberFormat="1" applyFont="1" applyFill="1" applyBorder="1" applyAlignment="1">
      <alignment horizontal="center" vertical="center" wrapText="1"/>
    </xf>
    <xf numFmtId="0" fontId="31" fillId="10" borderId="6" xfId="6" applyFont="1" applyFill="1" applyBorder="1" applyAlignment="1" applyProtection="1">
      <alignment horizontal="center" vertical="center" wrapText="1"/>
      <protection locked="0"/>
    </xf>
    <xf numFmtId="2" fontId="31" fillId="10" borderId="6" xfId="6" applyNumberFormat="1" applyFont="1" applyFill="1" applyBorder="1" applyAlignment="1" applyProtection="1">
      <alignment horizontal="center" vertical="center" wrapText="1"/>
      <protection locked="0"/>
    </xf>
    <xf numFmtId="0" fontId="31" fillId="10" borderId="6" xfId="6" applyFont="1" applyFill="1" applyBorder="1" applyAlignment="1">
      <alignment horizontal="center" vertical="center"/>
    </xf>
    <xf numFmtId="3" fontId="31" fillId="10" borderId="6" xfId="6" applyNumberFormat="1" applyFont="1" applyFill="1" applyBorder="1" applyAlignment="1">
      <alignment horizontal="center" vertical="center" wrapText="1"/>
    </xf>
    <xf numFmtId="165" fontId="31" fillId="10" borderId="6" xfId="5" applyNumberFormat="1" applyFont="1" applyFill="1" applyBorder="1" applyAlignment="1">
      <alignment horizontal="center"/>
    </xf>
    <xf numFmtId="2" fontId="31" fillId="10" borderId="6" xfId="5" applyNumberFormat="1" applyFont="1" applyFill="1" applyBorder="1" applyAlignment="1">
      <alignment horizontal="center"/>
    </xf>
    <xf numFmtId="2" fontId="31" fillId="10" borderId="0" xfId="5" applyNumberFormat="1" applyFont="1" applyFill="1" applyAlignment="1">
      <alignment horizontal="center"/>
    </xf>
    <xf numFmtId="2" fontId="17" fillId="10" borderId="0" xfId="5" applyNumberFormat="1" applyFont="1" applyFill="1"/>
    <xf numFmtId="165" fontId="34" fillId="10" borderId="6" xfId="6" applyNumberFormat="1" applyFont="1" applyFill="1" applyBorder="1" applyAlignment="1">
      <alignment horizontal="center" vertical="center"/>
    </xf>
    <xf numFmtId="1" fontId="34" fillId="10" borderId="6" xfId="6" applyNumberFormat="1" applyFont="1" applyFill="1" applyBorder="1" applyAlignment="1">
      <alignment horizontal="center" vertical="center"/>
    </xf>
    <xf numFmtId="165" fontId="19" fillId="10" borderId="6" xfId="6" applyNumberFormat="1" applyFont="1" applyFill="1" applyBorder="1" applyAlignment="1">
      <alignment horizontal="center" vertical="center"/>
    </xf>
    <xf numFmtId="0" fontId="17" fillId="10" borderId="6" xfId="5" applyFont="1" applyFill="1" applyBorder="1" applyAlignment="1">
      <alignment horizontal="center" vertical="center" wrapText="1"/>
    </xf>
    <xf numFmtId="0" fontId="17" fillId="10" borderId="5" xfId="4" applyFont="1" applyFill="1" applyBorder="1" applyAlignment="1">
      <alignment horizontal="center" vertical="center" wrapText="1"/>
    </xf>
    <xf numFmtId="0" fontId="31" fillId="10" borderId="6" xfId="4" applyFont="1" applyFill="1" applyBorder="1" applyAlignment="1">
      <alignment horizontal="center" vertical="center" wrapText="1"/>
    </xf>
    <xf numFmtId="0" fontId="31" fillId="10" borderId="6" xfId="5" applyFont="1" applyFill="1" applyBorder="1" applyAlignment="1">
      <alignment horizontal="center"/>
    </xf>
    <xf numFmtId="0" fontId="31" fillId="10" borderId="0" xfId="5" applyFont="1" applyFill="1"/>
    <xf numFmtId="0" fontId="28" fillId="10" borderId="5" xfId="4" applyFont="1" applyFill="1" applyBorder="1" applyAlignment="1">
      <alignment horizontal="center" vertical="center" wrapText="1"/>
    </xf>
    <xf numFmtId="0" fontId="17" fillId="10" borderId="6" xfId="5" applyFont="1" applyFill="1" applyBorder="1" applyAlignment="1">
      <alignment horizontal="left" wrapText="1"/>
    </xf>
    <xf numFmtId="165" fontId="31" fillId="0" borderId="6" xfId="5" applyNumberFormat="1" applyFont="1" applyBorder="1" applyAlignment="1">
      <alignment horizontal="center"/>
    </xf>
    <xf numFmtId="165" fontId="17" fillId="10" borderId="6" xfId="5" applyNumberFormat="1" applyFont="1" applyFill="1" applyBorder="1" applyAlignment="1">
      <alignment horizontal="center"/>
    </xf>
    <xf numFmtId="49" fontId="16" fillId="3" borderId="6" xfId="5" applyNumberFormat="1" applyFont="1" applyFill="1" applyBorder="1" applyAlignment="1">
      <alignment horizontal="center" textRotation="90" wrapText="1"/>
    </xf>
    <xf numFmtId="2" fontId="17" fillId="10" borderId="6" xfId="5" applyNumberFormat="1" applyFont="1" applyFill="1" applyBorder="1" applyAlignment="1">
      <alignment horizontal="center" vertical="center" wrapText="1"/>
    </xf>
    <xf numFmtId="49" fontId="16" fillId="2" borderId="6" xfId="14" applyNumberFormat="1" applyFont="1" applyFill="1" applyBorder="1" applyAlignment="1">
      <alignment horizontal="center" textRotation="90" wrapText="1"/>
    </xf>
    <xf numFmtId="0" fontId="16" fillId="3" borderId="6" xfId="14" applyFont="1" applyFill="1" applyBorder="1" applyAlignment="1">
      <alignment horizontal="center" textRotation="90" wrapText="1"/>
    </xf>
    <xf numFmtId="0" fontId="31" fillId="0" borderId="6" xfId="5" applyFont="1" applyBorder="1"/>
    <xf numFmtId="1" fontId="27" fillId="0" borderId="6" xfId="5" applyNumberFormat="1" applyFont="1" applyBorder="1" applyAlignment="1">
      <alignment horizontal="center"/>
    </xf>
    <xf numFmtId="0" fontId="30" fillId="0" borderId="6" xfId="6" applyFont="1" applyBorder="1" applyAlignment="1">
      <alignment horizontal="center" vertical="center" wrapText="1"/>
    </xf>
    <xf numFmtId="1" fontId="30" fillId="0" borderId="6" xfId="5" applyNumberFormat="1" applyFont="1" applyBorder="1" applyAlignment="1">
      <alignment horizontal="center"/>
    </xf>
    <xf numFmtId="0" fontId="30" fillId="0" borderId="6" xfId="5" applyFont="1" applyBorder="1" applyAlignment="1">
      <alignment horizontal="center" vertical="center"/>
    </xf>
    <xf numFmtId="2" fontId="16" fillId="0" borderId="6" xfId="5" quotePrefix="1" applyNumberFormat="1" applyFont="1" applyBorder="1" applyAlignment="1">
      <alignment horizontal="center"/>
    </xf>
    <xf numFmtId="0" fontId="16" fillId="0" borderId="6" xfId="6" quotePrefix="1" applyFont="1" applyBorder="1" applyAlignment="1" applyProtection="1">
      <alignment horizontal="center" vertical="center" wrapText="1"/>
      <protection locked="0"/>
    </xf>
    <xf numFmtId="0" fontId="16" fillId="0" borderId="6" xfId="6" quotePrefix="1" applyFont="1" applyBorder="1" applyAlignment="1">
      <alignment horizontal="center" vertical="center"/>
    </xf>
    <xf numFmtId="0" fontId="16" fillId="0" borderId="1" xfId="5" applyFont="1" applyBorder="1" applyAlignment="1">
      <alignment horizontal="right"/>
    </xf>
    <xf numFmtId="0" fontId="15" fillId="0" borderId="1" xfId="5" applyBorder="1" applyAlignment="1">
      <alignment horizontal="right"/>
    </xf>
    <xf numFmtId="0" fontId="17" fillId="0" borderId="1" xfId="5" applyFont="1" applyBorder="1"/>
    <xf numFmtId="0" fontId="17" fillId="0" borderId="2" xfId="5" quotePrefix="1" applyFont="1" applyBorder="1"/>
    <xf numFmtId="0" fontId="17" fillId="0" borderId="2" xfId="5" applyFont="1" applyBorder="1" applyAlignment="1">
      <alignment horizontal="right"/>
    </xf>
    <xf numFmtId="0" fontId="3" fillId="0" borderId="0" xfId="23"/>
    <xf numFmtId="2" fontId="3" fillId="4" borderId="0" xfId="23" applyNumberFormat="1" applyFill="1"/>
    <xf numFmtId="2" fontId="23" fillId="4" borderId="0" xfId="23" applyNumberFormat="1" applyFont="1" applyFill="1" applyAlignment="1">
      <alignment horizontal="center" vertical="center" wrapText="1"/>
    </xf>
    <xf numFmtId="2" fontId="22" fillId="4" borderId="0" xfId="23" applyNumberFormat="1" applyFont="1" applyFill="1" applyAlignment="1">
      <alignment horizontal="center" vertical="center" wrapText="1"/>
    </xf>
    <xf numFmtId="2" fontId="22" fillId="7" borderId="0" xfId="23" applyNumberFormat="1" applyFont="1" applyFill="1" applyAlignment="1">
      <alignment horizontal="center" vertical="center" wrapText="1"/>
    </xf>
    <xf numFmtId="0" fontId="3" fillId="4" borderId="0" xfId="23" applyFill="1"/>
    <xf numFmtId="0" fontId="13" fillId="0" borderId="13" xfId="22" applyFont="1" applyBorder="1" applyAlignment="1">
      <alignment vertical="center"/>
    </xf>
    <xf numFmtId="0" fontId="13" fillId="0" borderId="14" xfId="22" applyFont="1" applyBorder="1" applyAlignment="1">
      <alignment vertical="center"/>
    </xf>
    <xf numFmtId="0" fontId="13" fillId="0" borderId="16" xfId="22" applyFont="1" applyBorder="1" applyAlignment="1">
      <alignment vertical="center"/>
    </xf>
    <xf numFmtId="0" fontId="13" fillId="0" borderId="0" xfId="22" applyFont="1" applyAlignment="1">
      <alignment vertical="center"/>
    </xf>
    <xf numFmtId="10" fontId="14" fillId="0" borderId="6" xfId="19" applyNumberFormat="1" applyFont="1" applyFill="1" applyBorder="1" applyAlignment="1">
      <alignment horizontal="center" vertical="center" wrapText="1"/>
    </xf>
    <xf numFmtId="0" fontId="16" fillId="10" borderId="24" xfId="5" applyFont="1" applyFill="1" applyBorder="1" applyAlignment="1">
      <alignment horizontal="center" textRotation="90" wrapText="1"/>
    </xf>
    <xf numFmtId="0" fontId="16" fillId="2" borderId="27" xfId="5" applyFont="1" applyFill="1" applyBorder="1" applyAlignment="1">
      <alignment horizontal="center" vertical="center" wrapText="1"/>
    </xf>
    <xf numFmtId="0" fontId="16" fillId="2" borderId="27" xfId="5" applyFont="1" applyFill="1" applyBorder="1" applyAlignment="1">
      <alignment vertical="center" wrapText="1"/>
    </xf>
    <xf numFmtId="3" fontId="32" fillId="3" borderId="27" xfId="5" applyNumberFormat="1" applyFont="1" applyFill="1" applyBorder="1" applyAlignment="1">
      <alignment horizontal="center" vertical="center" textRotation="90" wrapText="1"/>
    </xf>
    <xf numFmtId="0" fontId="16" fillId="2" borderId="29" xfId="5" applyFont="1" applyFill="1" applyBorder="1" applyAlignment="1">
      <alignment vertical="center" wrapText="1"/>
    </xf>
    <xf numFmtId="0" fontId="24" fillId="10" borderId="8" xfId="5" applyFont="1" applyFill="1" applyBorder="1" applyAlignment="1">
      <alignment horizontal="center" vertical="center"/>
    </xf>
    <xf numFmtId="0" fontId="24" fillId="10" borderId="30" xfId="5" applyFont="1" applyFill="1" applyBorder="1" applyAlignment="1">
      <alignment horizontal="center" vertical="center"/>
    </xf>
    <xf numFmtId="0" fontId="16" fillId="10" borderId="0" xfId="5" applyFont="1" applyFill="1" applyAlignment="1">
      <alignment horizontal="center" vertical="center" textRotation="90" wrapText="1"/>
    </xf>
    <xf numFmtId="0" fontId="16" fillId="3" borderId="34" xfId="5" applyFont="1" applyFill="1" applyBorder="1" applyAlignment="1">
      <alignment horizontal="center" textRotation="90" wrapText="1"/>
    </xf>
    <xf numFmtId="0" fontId="16" fillId="2" borderId="35" xfId="5" applyFont="1" applyFill="1" applyBorder="1" applyAlignment="1">
      <alignment horizontal="center" textRotation="90" wrapText="1"/>
    </xf>
    <xf numFmtId="49" fontId="16" fillId="2" borderId="35" xfId="5" applyNumberFormat="1" applyFont="1" applyFill="1" applyBorder="1" applyAlignment="1">
      <alignment horizontal="center" textRotation="90" wrapText="1"/>
    </xf>
    <xf numFmtId="49" fontId="16" fillId="3" borderId="35" xfId="5" applyNumberFormat="1" applyFont="1" applyFill="1" applyBorder="1" applyAlignment="1">
      <alignment horizontal="center" textRotation="90" wrapText="1"/>
    </xf>
    <xf numFmtId="0" fontId="16" fillId="2" borderId="36" xfId="5" applyFont="1" applyFill="1" applyBorder="1" applyAlignment="1">
      <alignment horizontal="center" vertical="center" wrapText="1"/>
    </xf>
    <xf numFmtId="3" fontId="32" fillId="3" borderId="37" xfId="5" applyNumberFormat="1" applyFont="1" applyFill="1" applyBorder="1" applyAlignment="1">
      <alignment horizontal="center" vertical="center" wrapText="1"/>
    </xf>
    <xf numFmtId="0" fontId="16" fillId="2" borderId="35" xfId="5" applyFont="1" applyFill="1" applyBorder="1" applyAlignment="1">
      <alignment horizontal="center" vertical="center" wrapText="1"/>
    </xf>
    <xf numFmtId="0" fontId="16" fillId="2" borderId="38" xfId="5" applyFont="1" applyFill="1" applyBorder="1" applyAlignment="1">
      <alignment horizontal="center" vertical="center" wrapText="1"/>
    </xf>
    <xf numFmtId="0" fontId="24" fillId="10" borderId="8" xfId="5" applyFont="1" applyFill="1" applyBorder="1" applyAlignment="1">
      <alignment horizontal="center" textRotation="90" wrapText="1"/>
    </xf>
    <xf numFmtId="0" fontId="14" fillId="0" borderId="39" xfId="5" quotePrefix="1" applyFont="1" applyBorder="1" applyAlignment="1">
      <alignment horizontal="center" vertical="center" wrapText="1"/>
    </xf>
    <xf numFmtId="0" fontId="14" fillId="0" borderId="32" xfId="5" quotePrefix="1" applyFont="1" applyBorder="1" applyAlignment="1">
      <alignment horizontal="center" vertical="center" wrapText="1"/>
    </xf>
    <xf numFmtId="0" fontId="14" fillId="0" borderId="8" xfId="5" applyFont="1" applyBorder="1" applyAlignment="1">
      <alignment horizontal="center" vertical="center" wrapText="1"/>
    </xf>
    <xf numFmtId="0" fontId="14" fillId="0" borderId="8" xfId="5" quotePrefix="1" applyFont="1" applyBorder="1" applyAlignment="1">
      <alignment horizontal="center" vertical="center" wrapText="1"/>
    </xf>
    <xf numFmtId="169" fontId="18" fillId="0" borderId="40" xfId="5" quotePrefix="1" applyNumberFormat="1" applyFont="1" applyBorder="1" applyAlignment="1">
      <alignment horizontal="center" vertical="center"/>
    </xf>
    <xf numFmtId="0" fontId="14" fillId="0" borderId="8" xfId="5" applyFont="1" applyBorder="1" applyAlignment="1">
      <alignment horizontal="left" vertical="center" wrapText="1"/>
    </xf>
    <xf numFmtId="0" fontId="18" fillId="0" borderId="40" xfId="5" applyFont="1" applyBorder="1" applyAlignment="1">
      <alignment horizontal="left" vertical="center"/>
    </xf>
    <xf numFmtId="0" fontId="14" fillId="0" borderId="41" xfId="5" applyFont="1" applyBorder="1" applyAlignment="1">
      <alignment horizontal="left" vertical="center" wrapText="1"/>
    </xf>
    <xf numFmtId="0" fontId="14" fillId="10" borderId="32" xfId="5" applyFont="1" applyFill="1" applyBorder="1" applyAlignment="1">
      <alignment horizontal="center" vertical="center" wrapText="1"/>
    </xf>
    <xf numFmtId="0" fontId="14" fillId="10" borderId="8" xfId="5" applyFont="1" applyFill="1" applyBorder="1" applyAlignment="1">
      <alignment horizontal="center" vertical="center" wrapText="1"/>
    </xf>
    <xf numFmtId="0" fontId="17" fillId="10" borderId="8" xfId="5" applyFont="1" applyFill="1" applyBorder="1" applyAlignment="1">
      <alignment horizontal="center" vertical="center"/>
    </xf>
    <xf numFmtId="0" fontId="17" fillId="10" borderId="0" xfId="5" applyFont="1" applyFill="1"/>
    <xf numFmtId="0" fontId="14" fillId="0" borderId="32" xfId="5" applyFont="1" applyBorder="1" applyAlignment="1">
      <alignment horizontal="center" vertical="center" wrapText="1"/>
    </xf>
    <xf numFmtId="0" fontId="17" fillId="0" borderId="8" xfId="5" applyFont="1" applyBorder="1" applyAlignment="1">
      <alignment horizontal="center" vertical="center"/>
    </xf>
    <xf numFmtId="169" fontId="14" fillId="0" borderId="40" xfId="5" quotePrefix="1" applyNumberFormat="1" applyFont="1" applyBorder="1" applyAlignment="1">
      <alignment horizontal="center" vertical="center"/>
    </xf>
    <xf numFmtId="0" fontId="14" fillId="0" borderId="40" xfId="5" applyFont="1" applyBorder="1" applyAlignment="1">
      <alignment horizontal="left" vertical="center"/>
    </xf>
    <xf numFmtId="0" fontId="14" fillId="10" borderId="8" xfId="5" applyFont="1" applyFill="1" applyBorder="1" applyAlignment="1">
      <alignment horizontal="left" vertical="center" wrapText="1"/>
    </xf>
    <xf numFmtId="0" fontId="44" fillId="0" borderId="0" xfId="5" applyFont="1"/>
    <xf numFmtId="0" fontId="45" fillId="0" borderId="32" xfId="5" applyFont="1" applyBorder="1" applyAlignment="1">
      <alignment horizontal="center" vertical="center" wrapText="1"/>
    </xf>
    <xf numFmtId="0" fontId="45" fillId="0" borderId="8" xfId="5" applyFont="1" applyBorder="1" applyAlignment="1">
      <alignment horizontal="center" vertical="center" wrapText="1"/>
    </xf>
    <xf numFmtId="0" fontId="44" fillId="0" borderId="8" xfId="5" applyFont="1" applyBorder="1" applyAlignment="1">
      <alignment horizontal="center" vertical="center"/>
    </xf>
    <xf numFmtId="0" fontId="14" fillId="0" borderId="41" xfId="5" applyFont="1" applyBorder="1" applyAlignment="1">
      <alignment horizontal="center" vertical="center" wrapText="1"/>
    </xf>
    <xf numFmtId="0" fontId="16" fillId="2" borderId="42" xfId="5" applyFont="1" applyFill="1" applyBorder="1" applyAlignment="1">
      <alignment horizontal="center" vertical="center" wrapText="1"/>
    </xf>
    <xf numFmtId="49" fontId="16" fillId="2" borderId="36" xfId="5" applyNumberFormat="1" applyFont="1" applyFill="1" applyBorder="1" applyAlignment="1">
      <alignment horizontal="center" textRotation="90" wrapText="1"/>
    </xf>
    <xf numFmtId="0" fontId="32" fillId="0" borderId="0" xfId="2" quotePrefix="1" applyFont="1" applyAlignment="1">
      <alignment horizontal="right"/>
    </xf>
    <xf numFmtId="1" fontId="32" fillId="0" borderId="0" xfId="2" quotePrefix="1" applyNumberFormat="1" applyFont="1" applyAlignment="1">
      <alignment horizontal="center"/>
    </xf>
    <xf numFmtId="0" fontId="19" fillId="0" borderId="6" xfId="2" quotePrefix="1" applyFont="1" applyBorder="1" applyAlignment="1">
      <alignment wrapText="1"/>
    </xf>
    <xf numFmtId="1" fontId="19" fillId="0" borderId="6" xfId="2" quotePrefix="1" applyNumberFormat="1" applyFont="1" applyBorder="1" applyAlignment="1">
      <alignment horizontal="center"/>
    </xf>
    <xf numFmtId="9" fontId="19" fillId="0" borderId="6" xfId="19" quotePrefix="1" applyFont="1" applyFill="1" applyBorder="1" applyAlignment="1">
      <alignment horizontal="center"/>
    </xf>
    <xf numFmtId="0" fontId="19" fillId="0" borderId="6" xfId="2" quotePrefix="1" applyFont="1" applyBorder="1"/>
    <xf numFmtId="1" fontId="32" fillId="0" borderId="6" xfId="2" quotePrefix="1" applyNumberFormat="1" applyFont="1" applyBorder="1" applyAlignment="1">
      <alignment horizontal="center"/>
    </xf>
    <xf numFmtId="10" fontId="14" fillId="0" borderId="46" xfId="19" applyNumberFormat="1" applyFont="1" applyFill="1" applyBorder="1" applyAlignment="1">
      <alignment horizontal="center" vertical="center" wrapText="1"/>
    </xf>
    <xf numFmtId="2" fontId="14" fillId="0" borderId="46" xfId="27" applyNumberFormat="1" applyFont="1" applyFill="1" applyBorder="1" applyAlignment="1">
      <alignment horizontal="center" vertical="center" wrapText="1"/>
    </xf>
    <xf numFmtId="0" fontId="14" fillId="0" borderId="0" xfId="2" applyAlignment="1">
      <alignment wrapText="1"/>
    </xf>
    <xf numFmtId="2" fontId="47" fillId="0" borderId="22" xfId="27" applyNumberFormat="1" applyFont="1" applyFill="1" applyBorder="1" applyAlignment="1">
      <alignment horizontal="center" vertical="center" wrapText="1"/>
    </xf>
    <xf numFmtId="2" fontId="48" fillId="0" borderId="22" xfId="27" applyNumberFormat="1" applyFont="1" applyFill="1" applyBorder="1" applyAlignment="1">
      <alignment horizontal="center" vertical="center" wrapText="1"/>
    </xf>
    <xf numFmtId="0" fontId="50" fillId="0" borderId="13" xfId="25" applyFont="1" applyBorder="1" applyAlignment="1">
      <alignment vertical="top"/>
    </xf>
    <xf numFmtId="0" fontId="51" fillId="0" borderId="14" xfId="25" applyFont="1" applyBorder="1" applyAlignment="1">
      <alignment vertical="top"/>
    </xf>
    <xf numFmtId="2" fontId="51" fillId="0" borderId="15" xfId="27" applyNumberFormat="1" applyFont="1" applyFill="1" applyBorder="1" applyAlignment="1">
      <alignment horizontal="center" vertical="center"/>
    </xf>
    <xf numFmtId="2" fontId="49" fillId="0" borderId="14" xfId="27" applyNumberFormat="1" applyFont="1" applyFill="1" applyBorder="1" applyAlignment="1">
      <alignment horizontal="left" vertical="center"/>
    </xf>
    <xf numFmtId="0" fontId="50" fillId="0" borderId="16" xfId="25" applyFont="1" applyBorder="1" applyAlignment="1">
      <alignment vertical="top"/>
    </xf>
    <xf numFmtId="2" fontId="51" fillId="0" borderId="17" xfId="27" applyNumberFormat="1" applyFont="1" applyFill="1" applyBorder="1" applyAlignment="1">
      <alignment horizontal="center" vertical="center" wrapText="1"/>
    </xf>
    <xf numFmtId="2" fontId="49" fillId="0" borderId="0" xfId="27" applyNumberFormat="1" applyFont="1" applyFill="1" applyAlignment="1">
      <alignment horizontal="left" vertical="center"/>
    </xf>
    <xf numFmtId="2" fontId="50" fillId="0" borderId="0" xfId="27" applyNumberFormat="1" applyFont="1" applyFill="1" applyAlignment="1">
      <alignment horizontal="left" vertical="center"/>
    </xf>
    <xf numFmtId="0" fontId="51" fillId="0" borderId="16" xfId="25" applyFont="1" applyBorder="1" applyAlignment="1">
      <alignment vertical="top"/>
    </xf>
    <xf numFmtId="0" fontId="51" fillId="0" borderId="21" xfId="25" applyFont="1" applyBorder="1" applyAlignment="1">
      <alignment vertical="top"/>
    </xf>
    <xf numFmtId="0" fontId="51" fillId="0" borderId="22" xfId="25" applyFont="1" applyBorder="1" applyAlignment="1">
      <alignment vertical="top"/>
    </xf>
    <xf numFmtId="2" fontId="51" fillId="0" borderId="44" xfId="27" applyNumberFormat="1" applyFont="1" applyFill="1" applyBorder="1" applyAlignment="1">
      <alignment horizontal="center" vertical="center" wrapText="1"/>
    </xf>
    <xf numFmtId="2" fontId="50" fillId="0" borderId="19" xfId="27" applyNumberFormat="1" applyFont="1" applyFill="1" applyBorder="1" applyAlignment="1">
      <alignment horizontal="left" vertical="center"/>
    </xf>
    <xf numFmtId="2" fontId="24" fillId="0" borderId="43" xfId="27" applyNumberFormat="1" applyFont="1" applyFill="1" applyBorder="1" applyAlignment="1">
      <alignment horizontal="center" vertical="center" wrapText="1"/>
    </xf>
    <xf numFmtId="2" fontId="24" fillId="0" borderId="51" xfId="2" applyNumberFormat="1" applyFont="1" applyBorder="1" applyAlignment="1">
      <alignment horizontal="center" vertical="center" wrapText="1"/>
    </xf>
    <xf numFmtId="2" fontId="14" fillId="0" borderId="46" xfId="2" applyNumberFormat="1" applyBorder="1" applyAlignment="1">
      <alignment horizontal="center" vertical="center" wrapText="1"/>
    </xf>
    <xf numFmtId="2" fontId="14" fillId="0" borderId="47" xfId="2" applyNumberFormat="1" applyBorder="1" applyAlignment="1">
      <alignment horizontal="center" vertical="center" wrapText="1"/>
    </xf>
    <xf numFmtId="2" fontId="14" fillId="0" borderId="6" xfId="2" applyNumberFormat="1" applyBorder="1" applyAlignment="1">
      <alignment horizontal="center" vertical="center" wrapText="1"/>
    </xf>
    <xf numFmtId="2" fontId="14" fillId="0" borderId="6" xfId="27" applyNumberFormat="1" applyFont="1" applyFill="1" applyBorder="1" applyAlignment="1">
      <alignment horizontal="center" vertical="center" wrapText="1"/>
    </xf>
    <xf numFmtId="2" fontId="14" fillId="0" borderId="53" xfId="2" applyNumberFormat="1" applyBorder="1" applyAlignment="1">
      <alignment horizontal="center" vertical="center" wrapText="1"/>
    </xf>
    <xf numFmtId="2" fontId="14" fillId="0" borderId="0" xfId="27" applyNumberFormat="1" applyFont="1" applyFill="1" applyAlignment="1">
      <alignment horizontal="center" vertical="center" wrapText="1"/>
    </xf>
    <xf numFmtId="2" fontId="24" fillId="0" borderId="56" xfId="27" applyNumberFormat="1" applyFont="1" applyFill="1" applyBorder="1" applyAlignment="1">
      <alignment horizontal="center" vertical="center" wrapText="1"/>
    </xf>
    <xf numFmtId="2" fontId="24" fillId="0" borderId="57" xfId="27" applyNumberFormat="1" applyFont="1" applyFill="1" applyBorder="1" applyAlignment="1">
      <alignment horizontal="center" vertical="center" wrapText="1"/>
    </xf>
    <xf numFmtId="0" fontId="47" fillId="0" borderId="21" xfId="2" applyFont="1" applyBorder="1" applyAlignment="1">
      <alignment horizontal="center" vertical="center"/>
    </xf>
    <xf numFmtId="0" fontId="47" fillId="0" borderId="22" xfId="2" applyFont="1" applyBorder="1" applyAlignment="1">
      <alignment horizontal="center" vertical="center"/>
    </xf>
    <xf numFmtId="2" fontId="47" fillId="0" borderId="22" xfId="27" applyNumberFormat="1" applyFont="1" applyFill="1" applyBorder="1" applyAlignment="1">
      <alignment horizontal="center" vertical="center"/>
    </xf>
    <xf numFmtId="2" fontId="47" fillId="0" borderId="22" xfId="2" applyNumberFormat="1" applyFont="1" applyBorder="1" applyAlignment="1">
      <alignment horizontal="center" vertical="center"/>
    </xf>
    <xf numFmtId="0" fontId="48" fillId="0" borderId="21" xfId="22" applyFont="1" applyBorder="1" applyAlignment="1">
      <alignment horizontal="left" vertical="center"/>
    </xf>
    <xf numFmtId="0" fontId="48" fillId="0" borderId="22" xfId="22" applyFont="1" applyBorder="1" applyAlignment="1">
      <alignment horizontal="left" vertical="center"/>
    </xf>
    <xf numFmtId="2" fontId="48" fillId="0" borderId="22" xfId="27" applyNumberFormat="1" applyFont="1" applyFill="1" applyBorder="1" applyAlignment="1">
      <alignment horizontal="center" vertical="center"/>
    </xf>
    <xf numFmtId="2" fontId="48" fillId="0" borderId="22" xfId="22" applyNumberFormat="1" applyFont="1" applyBorder="1" applyAlignment="1">
      <alignment horizontal="left" vertical="center"/>
    </xf>
    <xf numFmtId="2" fontId="13" fillId="0" borderId="14" xfId="22" applyNumberFormat="1" applyFont="1" applyBorder="1" applyAlignment="1">
      <alignment vertical="center"/>
    </xf>
    <xf numFmtId="2" fontId="13" fillId="0" borderId="19" xfId="22" applyNumberFormat="1" applyFont="1" applyBorder="1" applyAlignment="1">
      <alignment vertical="center"/>
    </xf>
    <xf numFmtId="0" fontId="0" fillId="0" borderId="0" xfId="0" applyAlignment="1">
      <alignment wrapText="1"/>
    </xf>
    <xf numFmtId="0" fontId="47" fillId="0" borderId="44" xfId="2" applyFont="1" applyBorder="1" applyAlignment="1">
      <alignment horizontal="center" vertical="center"/>
    </xf>
    <xf numFmtId="0" fontId="48" fillId="0" borderId="44" xfId="22" applyFont="1" applyBorder="1" applyAlignment="1">
      <alignment horizontal="left" vertical="top"/>
    </xf>
    <xf numFmtId="0" fontId="13" fillId="0" borderId="15" xfId="22" applyFont="1" applyBorder="1" applyAlignment="1">
      <alignment vertical="center"/>
    </xf>
    <xf numFmtId="0" fontId="51" fillId="0" borderId="0" xfId="25" applyFont="1" applyAlignment="1">
      <alignment vertical="top"/>
    </xf>
    <xf numFmtId="2" fontId="13" fillId="0" borderId="0" xfId="22" applyNumberFormat="1" applyFont="1" applyAlignment="1">
      <alignment vertical="center"/>
    </xf>
    <xf numFmtId="2" fontId="13" fillId="0" borderId="0" xfId="25" applyNumberFormat="1" applyFont="1" applyAlignment="1">
      <alignment vertical="center"/>
    </xf>
    <xf numFmtId="0" fontId="13" fillId="0" borderId="17" xfId="22" applyFont="1" applyBorder="1" applyAlignment="1">
      <alignment vertical="center"/>
    </xf>
    <xf numFmtId="0" fontId="13" fillId="0" borderId="20" xfId="22" applyFont="1" applyBorder="1" applyAlignment="1">
      <alignment vertical="center"/>
    </xf>
    <xf numFmtId="2" fontId="49" fillId="0" borderId="13" xfId="27" applyNumberFormat="1" applyFont="1" applyFill="1" applyBorder="1" applyAlignment="1">
      <alignment horizontal="left" vertical="center"/>
    </xf>
    <xf numFmtId="2" fontId="49" fillId="0" borderId="16" xfId="27" applyNumberFormat="1" applyFont="1" applyFill="1" applyBorder="1" applyAlignment="1">
      <alignment horizontal="left" vertical="center"/>
    </xf>
    <xf numFmtId="2" fontId="50" fillId="0" borderId="16" xfId="27" applyNumberFormat="1" applyFont="1" applyFill="1" applyBorder="1" applyAlignment="1">
      <alignment horizontal="left" vertical="center"/>
    </xf>
    <xf numFmtId="2" fontId="50" fillId="0" borderId="18" xfId="27" applyNumberFormat="1" applyFont="1" applyFill="1" applyBorder="1" applyAlignment="1">
      <alignment horizontal="left" vertical="center"/>
    </xf>
    <xf numFmtId="2" fontId="0" fillId="0" borderId="0" xfId="0" applyNumberFormat="1"/>
    <xf numFmtId="0" fontId="24" fillId="0" borderId="51" xfId="2" applyFont="1" applyBorder="1" applyAlignment="1">
      <alignment horizontal="center" vertical="center" wrapText="1"/>
    </xf>
    <xf numFmtId="2" fontId="24" fillId="0" borderId="51" xfId="27" applyNumberFormat="1" applyFont="1" applyFill="1" applyBorder="1" applyAlignment="1">
      <alignment horizontal="center" vertical="center" wrapText="1"/>
    </xf>
    <xf numFmtId="2" fontId="14" fillId="0" borderId="45" xfId="2" applyNumberFormat="1" applyBorder="1" applyAlignment="1">
      <alignment horizontal="center" vertical="center" wrapText="1"/>
    </xf>
    <xf numFmtId="2" fontId="14" fillId="0" borderId="52" xfId="2" applyNumberFormat="1" applyBorder="1" applyAlignment="1">
      <alignment horizontal="center" vertical="center" wrapText="1"/>
    </xf>
    <xf numFmtId="1" fontId="0" fillId="0" borderId="0" xfId="0" applyNumberFormat="1"/>
    <xf numFmtId="10" fontId="14" fillId="0" borderId="46" xfId="28" applyNumberFormat="1" applyFont="1" applyBorder="1" applyAlignment="1">
      <alignment horizontal="center" vertical="center" wrapText="1"/>
    </xf>
    <xf numFmtId="2" fontId="0" fillId="0" borderId="6" xfId="0" applyNumberFormat="1" applyBorder="1" applyAlignment="1">
      <alignment horizontal="center" vertical="center"/>
    </xf>
    <xf numFmtId="10" fontId="47" fillId="0" borderId="22" xfId="28" applyNumberFormat="1" applyFont="1" applyBorder="1" applyAlignment="1">
      <alignment horizontal="center" vertical="center"/>
    </xf>
    <xf numFmtId="10" fontId="48" fillId="0" borderId="22" xfId="28" applyNumberFormat="1" applyFont="1" applyBorder="1" applyAlignment="1">
      <alignment horizontal="left" vertical="top"/>
    </xf>
    <xf numFmtId="10" fontId="13" fillId="0" borderId="14" xfId="28" applyNumberFormat="1" applyFont="1" applyBorder="1" applyAlignment="1">
      <alignment vertical="center"/>
    </xf>
    <xf numFmtId="10" fontId="13" fillId="0" borderId="0" xfId="28" applyNumberFormat="1" applyFont="1" applyBorder="1" applyAlignment="1">
      <alignment vertical="center"/>
    </xf>
    <xf numFmtId="10" fontId="13" fillId="0" borderId="19" xfId="28" applyNumberFormat="1" applyFont="1" applyBorder="1" applyAlignment="1">
      <alignment vertical="center"/>
    </xf>
    <xf numFmtId="10" fontId="24" fillId="0" borderId="51" xfId="28" applyNumberFormat="1" applyFont="1" applyBorder="1" applyAlignment="1">
      <alignment horizontal="center" vertical="center" wrapText="1"/>
    </xf>
    <xf numFmtId="10" fontId="0" fillId="0" borderId="6" xfId="28" applyNumberFormat="1" applyFont="1" applyBorder="1" applyAlignment="1">
      <alignment horizontal="center" vertical="center"/>
    </xf>
    <xf numFmtId="10" fontId="0" fillId="0" borderId="0" xfId="28" applyNumberFormat="1" applyFont="1" applyAlignment="1"/>
    <xf numFmtId="1" fontId="24" fillId="0" borderId="63" xfId="2" applyNumberFormat="1" applyFont="1" applyBorder="1" applyAlignment="1">
      <alignment horizontal="center" vertical="center" wrapText="1"/>
    </xf>
    <xf numFmtId="2" fontId="24" fillId="0" borderId="64" xfId="2" applyNumberFormat="1" applyFont="1" applyBorder="1" applyAlignment="1">
      <alignment horizontal="center" vertical="center" wrapText="1"/>
    </xf>
    <xf numFmtId="10" fontId="24" fillId="0" borderId="64" xfId="2" applyNumberFormat="1" applyFont="1" applyBorder="1" applyAlignment="1">
      <alignment horizontal="center" vertical="center" wrapText="1"/>
    </xf>
    <xf numFmtId="2" fontId="24" fillId="0" borderId="64" xfId="2" quotePrefix="1" applyNumberFormat="1" applyFont="1" applyBorder="1" applyAlignment="1">
      <alignment horizontal="center" vertical="center" wrapText="1"/>
    </xf>
    <xf numFmtId="171" fontId="0" fillId="0" borderId="0" xfId="0" applyNumberFormat="1"/>
    <xf numFmtId="170" fontId="0" fillId="0" borderId="0" xfId="0" applyNumberFormat="1"/>
    <xf numFmtId="172" fontId="0" fillId="0" borderId="0" xfId="0" applyNumberFormat="1"/>
    <xf numFmtId="0" fontId="17" fillId="0" borderId="66" xfId="5" applyFont="1" applyBorder="1"/>
    <xf numFmtId="0" fontId="17" fillId="0" borderId="67" xfId="5" applyFont="1" applyBorder="1"/>
    <xf numFmtId="0" fontId="24" fillId="0" borderId="66" xfId="5" applyFont="1" applyBorder="1" applyAlignment="1">
      <alignment horizontal="left"/>
    </xf>
    <xf numFmtId="0" fontId="24" fillId="0" borderId="67" xfId="5" applyFont="1" applyBorder="1" applyAlignment="1">
      <alignment horizontal="right" vertical="center"/>
    </xf>
    <xf numFmtId="0" fontId="24" fillId="0" borderId="10" xfId="21" applyFont="1" applyBorder="1" applyAlignment="1">
      <alignment horizontal="left" vertical="center"/>
    </xf>
    <xf numFmtId="0" fontId="17" fillId="0" borderId="0" xfId="5" applyFont="1" applyAlignment="1">
      <alignment horizontal="left"/>
    </xf>
    <xf numFmtId="49" fontId="17" fillId="0" borderId="0" xfId="5" applyNumberFormat="1" applyFont="1" applyAlignment="1">
      <alignment horizontal="right"/>
    </xf>
    <xf numFmtId="0" fontId="17" fillId="0" borderId="0" xfId="5" applyFont="1" applyAlignment="1">
      <alignment horizontal="right"/>
    </xf>
    <xf numFmtId="0" fontId="17" fillId="0" borderId="11" xfId="5" applyFont="1" applyBorder="1" applyAlignment="1">
      <alignment horizontal="right"/>
    </xf>
    <xf numFmtId="0" fontId="24" fillId="0" borderId="68" xfId="5" applyFont="1" applyBorder="1" applyAlignment="1">
      <alignment horizontal="left" vertical="center"/>
    </xf>
    <xf numFmtId="0" fontId="24" fillId="0" borderId="12" xfId="5" applyFont="1" applyBorder="1" applyAlignment="1">
      <alignment horizontal="right" vertical="center"/>
    </xf>
    <xf numFmtId="0" fontId="16" fillId="0" borderId="66" xfId="5" applyFont="1" applyBorder="1" applyAlignment="1">
      <alignment horizontal="left"/>
    </xf>
    <xf numFmtId="0" fontId="15" fillId="0" borderId="67" xfId="5" applyBorder="1" applyAlignment="1">
      <alignment horizontal="right"/>
    </xf>
    <xf numFmtId="0" fontId="17" fillId="0" borderId="10" xfId="5" applyFont="1" applyBorder="1"/>
    <xf numFmtId="0" fontId="17" fillId="0" borderId="11" xfId="5" applyFont="1" applyBorder="1"/>
    <xf numFmtId="0" fontId="25" fillId="0" borderId="0" xfId="5" applyFont="1" applyAlignment="1">
      <alignment horizontal="center" vertical="center" wrapText="1"/>
    </xf>
    <xf numFmtId="0" fontId="26" fillId="0" borderId="0" xfId="5" applyFont="1" applyAlignment="1">
      <alignment horizontal="center" vertical="center" wrapText="1"/>
    </xf>
    <xf numFmtId="0" fontId="15" fillId="0" borderId="0" xfId="5" applyAlignment="1">
      <alignment wrapText="1"/>
    </xf>
    <xf numFmtId="0" fontId="15" fillId="0" borderId="0" xfId="5"/>
    <xf numFmtId="0" fontId="24" fillId="9" borderId="1" xfId="18" applyFont="1" applyFill="1" applyBorder="1" applyAlignment="1">
      <alignment vertical="center"/>
    </xf>
    <xf numFmtId="0" fontId="24" fillId="9" borderId="2" xfId="18" applyFont="1" applyFill="1" applyBorder="1" applyAlignment="1">
      <alignment vertical="center"/>
    </xf>
    <xf numFmtId="0" fontId="17" fillId="0" borderId="5" xfId="5" applyFont="1" applyBorder="1"/>
    <xf numFmtId="0" fontId="17" fillId="0" borderId="3" xfId="5" applyFont="1" applyBorder="1"/>
    <xf numFmtId="0" fontId="17" fillId="0" borderId="3" xfId="5" applyFont="1" applyBorder="1" applyAlignment="1">
      <alignment horizontal="center"/>
    </xf>
    <xf numFmtId="0" fontId="17" fillId="0" borderId="4" xfId="5" applyFont="1" applyBorder="1"/>
    <xf numFmtId="0" fontId="14" fillId="0" borderId="10" xfId="2" quotePrefix="1" applyBorder="1" applyAlignment="1">
      <alignment horizontal="center" vertical="center"/>
    </xf>
    <xf numFmtId="0" fontId="24" fillId="0" borderId="11" xfId="2" quotePrefix="1" applyFont="1" applyBorder="1"/>
    <xf numFmtId="0" fontId="24" fillId="0" borderId="10" xfId="2" quotePrefix="1" applyFont="1" applyBorder="1"/>
    <xf numFmtId="0" fontId="41" fillId="9" borderId="10" xfId="2" quotePrefix="1" applyFont="1" applyFill="1" applyBorder="1" applyAlignment="1">
      <alignment vertical="top" wrapText="1"/>
    </xf>
    <xf numFmtId="0" fontId="41" fillId="9" borderId="11" xfId="2" quotePrefix="1" applyFont="1" applyFill="1" applyBorder="1" applyAlignment="1">
      <alignment vertical="top" wrapText="1"/>
    </xf>
    <xf numFmtId="10" fontId="19" fillId="0" borderId="6" xfId="19" quotePrefix="1" applyNumberFormat="1" applyFont="1" applyFill="1" applyBorder="1" applyAlignment="1">
      <alignment horizontal="center"/>
    </xf>
    <xf numFmtId="0" fontId="24" fillId="9" borderId="0" xfId="18" applyFont="1" applyFill="1" applyAlignment="1">
      <alignment vertical="center"/>
    </xf>
    <xf numFmtId="0" fontId="24" fillId="0" borderId="0" xfId="2" quotePrefix="1" applyFont="1"/>
    <xf numFmtId="0" fontId="41" fillId="9" borderId="0" xfId="2" quotePrefix="1" applyFont="1" applyFill="1" applyAlignment="1">
      <alignment vertical="top" wrapText="1"/>
    </xf>
    <xf numFmtId="2" fontId="24" fillId="0" borderId="58" xfId="27" applyNumberFormat="1" applyFont="1" applyFill="1" applyBorder="1" applyAlignment="1">
      <alignment horizontal="center" vertical="center" wrapText="1"/>
    </xf>
    <xf numFmtId="2" fontId="24" fillId="0" borderId="49" xfId="27" applyNumberFormat="1" applyFont="1" applyFill="1" applyBorder="1" applyAlignment="1">
      <alignment horizontal="center" vertical="center" wrapText="1"/>
    </xf>
    <xf numFmtId="1" fontId="24" fillId="0" borderId="65" xfId="2" quotePrefix="1" applyNumberFormat="1" applyFont="1" applyBorder="1" applyAlignment="1">
      <alignment horizontal="center" vertical="center" wrapText="1"/>
    </xf>
    <xf numFmtId="10" fontId="32" fillId="13" borderId="6" xfId="2" quotePrefix="1" applyNumberFormat="1" applyFont="1" applyFill="1" applyBorder="1" applyAlignment="1">
      <alignment horizontal="center"/>
    </xf>
    <xf numFmtId="0" fontId="48" fillId="0" borderId="60" xfId="22" applyFont="1" applyBorder="1" applyAlignment="1">
      <alignment horizontal="left" vertical="center"/>
    </xf>
    <xf numFmtId="0" fontId="48" fillId="0" borderId="58" xfId="22" applyFont="1" applyBorder="1" applyAlignment="1">
      <alignment horizontal="left" vertical="center"/>
    </xf>
    <xf numFmtId="0" fontId="18" fillId="0" borderId="6" xfId="0" applyFont="1" applyBorder="1" applyAlignment="1">
      <alignment horizontal="center" vertical="center"/>
    </xf>
    <xf numFmtId="1" fontId="24" fillId="0" borderId="64" xfId="2" quotePrefix="1" applyNumberFormat="1" applyFont="1" applyBorder="1" applyAlignment="1">
      <alignment horizontal="center" vertical="center" wrapText="1"/>
    </xf>
    <xf numFmtId="2" fontId="14" fillId="0" borderId="0" xfId="2" applyNumberFormat="1" applyAlignment="1">
      <alignment horizontal="center" vertical="center" wrapText="1"/>
    </xf>
    <xf numFmtId="0" fontId="47" fillId="0" borderId="21" xfId="2" applyFont="1" applyBorder="1" applyAlignment="1">
      <alignment horizontal="center" vertical="center" wrapText="1"/>
    </xf>
    <xf numFmtId="0" fontId="47" fillId="0" borderId="22" xfId="2" applyFont="1" applyBorder="1" applyAlignment="1">
      <alignment horizontal="center" vertical="center" wrapText="1"/>
    </xf>
    <xf numFmtId="2" fontId="47" fillId="0" borderId="22" xfId="2" applyNumberFormat="1" applyFont="1" applyBorder="1" applyAlignment="1">
      <alignment horizontal="center" vertical="center" wrapText="1"/>
    </xf>
    <xf numFmtId="0" fontId="47" fillId="0" borderId="44" xfId="2" applyFont="1" applyBorder="1" applyAlignment="1">
      <alignment horizontal="center" vertical="center" wrapText="1"/>
    </xf>
    <xf numFmtId="0" fontId="48" fillId="0" borderId="21" xfId="22" applyFont="1" applyBorder="1" applyAlignment="1">
      <alignment horizontal="left" vertical="center" wrapText="1"/>
    </xf>
    <xf numFmtId="0" fontId="48" fillId="0" borderId="22" xfId="22" applyFont="1" applyBorder="1" applyAlignment="1">
      <alignment horizontal="left" vertical="center" wrapText="1"/>
    </xf>
    <xf numFmtId="0" fontId="48" fillId="0" borderId="22" xfId="22" applyFont="1" applyBorder="1" applyAlignment="1">
      <alignment horizontal="center" vertical="center" wrapText="1"/>
    </xf>
    <xf numFmtId="2" fontId="48" fillId="0" borderId="22" xfId="22" applyNumberFormat="1" applyFont="1" applyBorder="1" applyAlignment="1">
      <alignment horizontal="left" vertical="center" wrapText="1"/>
    </xf>
    <xf numFmtId="2" fontId="48" fillId="0" borderId="22" xfId="22" applyNumberFormat="1" applyFont="1" applyBorder="1" applyAlignment="1">
      <alignment horizontal="left" vertical="top" wrapText="1"/>
    </xf>
    <xf numFmtId="0" fontId="48" fillId="0" borderId="22" xfId="22" applyFont="1" applyBorder="1" applyAlignment="1">
      <alignment horizontal="left" vertical="top" wrapText="1"/>
    </xf>
    <xf numFmtId="0" fontId="48" fillId="0" borderId="44" xfId="22" applyFont="1" applyBorder="1" applyAlignment="1">
      <alignment horizontal="center" vertical="top" wrapText="1"/>
    </xf>
    <xf numFmtId="0" fontId="51" fillId="0" borderId="14" xfId="25" applyFont="1" applyBorder="1" applyAlignment="1">
      <alignment horizontal="center" vertical="center"/>
    </xf>
    <xf numFmtId="2" fontId="13" fillId="0" borderId="14" xfId="25" applyNumberFormat="1" applyFont="1" applyBorder="1" applyAlignment="1">
      <alignment vertical="center" wrapText="1"/>
    </xf>
    <xf numFmtId="2" fontId="13" fillId="0" borderId="14" xfId="22" applyNumberFormat="1" applyFont="1" applyBorder="1" applyAlignment="1">
      <alignment vertical="center" wrapText="1"/>
    </xf>
    <xf numFmtId="0" fontId="13" fillId="0" borderId="14" xfId="22" applyFont="1" applyBorder="1" applyAlignment="1">
      <alignment vertical="center" wrapText="1"/>
    </xf>
    <xf numFmtId="0" fontId="13" fillId="0" borderId="15" xfId="22" applyFont="1" applyBorder="1" applyAlignment="1">
      <alignment horizontal="center" vertical="center" wrapText="1"/>
    </xf>
    <xf numFmtId="2" fontId="14" fillId="0" borderId="0" xfId="2" applyNumberFormat="1" applyAlignment="1">
      <alignment horizontal="center" vertical="center"/>
    </xf>
    <xf numFmtId="0" fontId="51" fillId="0" borderId="0" xfId="25" applyFont="1" applyAlignment="1">
      <alignment horizontal="center" vertical="center"/>
    </xf>
    <xf numFmtId="0" fontId="51" fillId="0" borderId="0" xfId="25" applyFont="1" applyAlignment="1">
      <alignment vertical="top" wrapText="1"/>
    </xf>
    <xf numFmtId="2" fontId="13" fillId="0" borderId="0" xfId="25" applyNumberFormat="1" applyFont="1" applyAlignment="1">
      <alignment vertical="center" wrapText="1"/>
    </xf>
    <xf numFmtId="2" fontId="13" fillId="0" borderId="0" xfId="22" applyNumberFormat="1" applyFont="1" applyAlignment="1">
      <alignment vertical="center" wrapText="1"/>
    </xf>
    <xf numFmtId="0" fontId="13" fillId="0" borderId="0" xfId="22" applyFont="1" applyAlignment="1">
      <alignment vertical="center" wrapText="1"/>
    </xf>
    <xf numFmtId="0" fontId="13" fillId="0" borderId="17" xfId="22" applyFont="1" applyBorder="1" applyAlignment="1">
      <alignment horizontal="center" vertical="center" wrapText="1"/>
    </xf>
    <xf numFmtId="0" fontId="51" fillId="0" borderId="22" xfId="25" applyFont="1" applyBorder="1" applyAlignment="1">
      <alignment horizontal="center" vertical="center"/>
    </xf>
    <xf numFmtId="0" fontId="51" fillId="0" borderId="22" xfId="25" applyFont="1" applyBorder="1" applyAlignment="1">
      <alignment vertical="top" wrapText="1"/>
    </xf>
    <xf numFmtId="2" fontId="13" fillId="0" borderId="19" xfId="25" applyNumberFormat="1" applyFont="1" applyBorder="1" applyAlignment="1">
      <alignment vertical="center" wrapText="1"/>
    </xf>
    <xf numFmtId="2" fontId="13" fillId="0" borderId="19" xfId="22" applyNumberFormat="1" applyFont="1" applyBorder="1" applyAlignment="1">
      <alignment vertical="center" wrapText="1"/>
    </xf>
    <xf numFmtId="0" fontId="13" fillId="0" borderId="19" xfId="22" applyFont="1" applyBorder="1" applyAlignment="1">
      <alignment vertical="center" wrapText="1"/>
    </xf>
    <xf numFmtId="0" fontId="13" fillId="0" borderId="20" xfId="22" applyFont="1" applyBorder="1" applyAlignment="1">
      <alignment horizontal="center" vertical="center" wrapText="1"/>
    </xf>
    <xf numFmtId="2" fontId="24" fillId="0" borderId="43" xfId="2" applyNumberFormat="1" applyFont="1" applyBorder="1" applyAlignment="1">
      <alignment horizontal="center" vertical="center" wrapText="1"/>
    </xf>
    <xf numFmtId="0" fontId="24" fillId="0" borderId="43" xfId="2" applyFont="1" applyBorder="1" applyAlignment="1">
      <alignment horizontal="center" vertical="center" wrapText="1"/>
    </xf>
    <xf numFmtId="0" fontId="14" fillId="0" borderId="45" xfId="2" applyBorder="1" applyAlignment="1">
      <alignment horizontal="center" vertical="center" wrapText="1"/>
    </xf>
    <xf numFmtId="2" fontId="14" fillId="0" borderId="54" xfId="2" applyNumberFormat="1" applyBorder="1" applyAlignment="1">
      <alignment horizontal="center" vertical="center" wrapText="1"/>
    </xf>
    <xf numFmtId="0" fontId="14" fillId="0" borderId="46" xfId="2" applyBorder="1" applyAlignment="1">
      <alignment horizontal="left" vertical="center" wrapText="1"/>
    </xf>
    <xf numFmtId="0" fontId="14" fillId="0" borderId="46" xfId="2" applyBorder="1" applyAlignment="1">
      <alignment horizontal="center" vertical="center" wrapText="1"/>
    </xf>
    <xf numFmtId="2" fontId="17" fillId="0" borderId="46" xfId="6" applyNumberFormat="1" applyFont="1" applyBorder="1" applyAlignment="1">
      <alignment horizontal="center" vertical="center" wrapText="1"/>
    </xf>
    <xf numFmtId="2" fontId="17" fillId="0" borderId="46" xfId="5" applyNumberFormat="1" applyFont="1" applyBorder="1" applyAlignment="1">
      <alignment horizontal="center" vertical="center" wrapText="1"/>
    </xf>
    <xf numFmtId="0" fontId="18" fillId="0" borderId="9" xfId="0" applyFont="1" applyBorder="1" applyAlignment="1">
      <alignment horizontal="center" vertical="center"/>
    </xf>
    <xf numFmtId="0" fontId="17" fillId="0" borderId="45" xfId="6" applyFont="1" applyBorder="1" applyAlignment="1" applyProtection="1">
      <alignment horizontal="center" vertical="center" wrapText="1"/>
      <protection locked="0"/>
    </xf>
    <xf numFmtId="0" fontId="14" fillId="0" borderId="52" xfId="2" applyBorder="1" applyAlignment="1">
      <alignment horizontal="center" vertical="center" wrapText="1"/>
    </xf>
    <xf numFmtId="0" fontId="14" fillId="0" borderId="6" xfId="2" applyBorder="1" applyAlignment="1">
      <alignment horizontal="left" vertical="center" wrapText="1"/>
    </xf>
    <xf numFmtId="0" fontId="14" fillId="0" borderId="6" xfId="2" applyBorder="1" applyAlignment="1">
      <alignment horizontal="center" vertical="center" wrapText="1"/>
    </xf>
    <xf numFmtId="2" fontId="17" fillId="0" borderId="6" xfId="6" applyNumberFormat="1" applyFont="1" applyBorder="1" applyAlignment="1">
      <alignment horizontal="center" vertical="center" wrapText="1"/>
    </xf>
    <xf numFmtId="2" fontId="17" fillId="0" borderId="6" xfId="5" applyNumberFormat="1" applyFont="1" applyBorder="1" applyAlignment="1">
      <alignment horizontal="center" vertical="center" wrapText="1"/>
    </xf>
    <xf numFmtId="0" fontId="17" fillId="0" borderId="52" xfId="6" applyFont="1" applyBorder="1" applyAlignment="1" applyProtection="1">
      <alignment horizontal="center" vertical="center" wrapText="1"/>
      <protection locked="0"/>
    </xf>
    <xf numFmtId="0" fontId="14" fillId="0" borderId="0" xfId="2" applyAlignment="1">
      <alignment horizontal="center" wrapText="1"/>
    </xf>
    <xf numFmtId="0" fontId="14" fillId="0" borderId="0" xfId="2" applyAlignment="1">
      <alignment horizontal="center" vertical="center" wrapText="1"/>
    </xf>
    <xf numFmtId="0" fontId="14" fillId="0" borderId="19" xfId="2" applyBorder="1" applyAlignment="1">
      <alignment wrapText="1"/>
    </xf>
    <xf numFmtId="9" fontId="24" fillId="0" borderId="50" xfId="2" applyNumberFormat="1" applyFont="1" applyBorder="1" applyAlignment="1">
      <alignment horizontal="center" vertical="center" wrapText="1"/>
    </xf>
    <xf numFmtId="2" fontId="24" fillId="0" borderId="49" xfId="2" applyNumberFormat="1" applyFont="1" applyBorder="1" applyAlignment="1">
      <alignment horizontal="center" vertical="center" wrapText="1"/>
    </xf>
    <xf numFmtId="2" fontId="24" fillId="0" borderId="57" xfId="2" applyNumberFormat="1" applyFont="1" applyBorder="1" applyAlignment="1">
      <alignment horizontal="center" vertical="center" wrapText="1"/>
    </xf>
    <xf numFmtId="0" fontId="24" fillId="0" borderId="57" xfId="2" applyFont="1" applyBorder="1" applyAlignment="1">
      <alignment horizontal="center" vertical="center" wrapText="1"/>
    </xf>
    <xf numFmtId="0" fontId="24" fillId="0" borderId="55" xfId="2" applyFont="1" applyBorder="1" applyAlignment="1">
      <alignment horizontal="center" vertical="center" wrapText="1"/>
    </xf>
    <xf numFmtId="2" fontId="14" fillId="0" borderId="0" xfId="2" applyNumberFormat="1" applyAlignment="1">
      <alignment wrapText="1"/>
    </xf>
    <xf numFmtId="0" fontId="24" fillId="0" borderId="12" xfId="2" applyFont="1" applyBorder="1" applyAlignment="1">
      <alignment horizontal="left" vertical="center"/>
    </xf>
    <xf numFmtId="0" fontId="14" fillId="0" borderId="70" xfId="2" applyBorder="1" applyAlignment="1">
      <alignment wrapText="1"/>
    </xf>
    <xf numFmtId="2" fontId="24" fillId="0" borderId="12" xfId="27" applyNumberFormat="1" applyFont="1" applyFill="1" applyBorder="1" applyAlignment="1">
      <alignment horizontal="center" vertical="center" wrapText="1"/>
    </xf>
    <xf numFmtId="2" fontId="24" fillId="0" borderId="9" xfId="27" applyNumberFormat="1" applyFont="1" applyFill="1" applyBorder="1" applyAlignment="1">
      <alignment horizontal="center" vertical="center" wrapText="1"/>
    </xf>
    <xf numFmtId="2" fontId="24" fillId="0" borderId="9" xfId="2" applyNumberFormat="1" applyFont="1" applyBorder="1" applyAlignment="1">
      <alignment horizontal="center" vertical="center" wrapText="1"/>
    </xf>
    <xf numFmtId="2" fontId="16" fillId="0" borderId="59" xfId="6" applyNumberFormat="1" applyFont="1" applyBorder="1" applyAlignment="1">
      <alignment horizontal="center" vertical="center" wrapText="1"/>
    </xf>
    <xf numFmtId="2" fontId="24" fillId="0" borderId="59" xfId="2" applyNumberFormat="1" applyFont="1" applyBorder="1" applyAlignment="1">
      <alignment horizontal="center" vertical="center" wrapText="1"/>
    </xf>
    <xf numFmtId="0" fontId="14" fillId="0" borderId="48" xfId="2" applyBorder="1" applyAlignment="1">
      <alignment horizontal="center" vertical="center" wrapText="1"/>
    </xf>
    <xf numFmtId="2" fontId="14" fillId="0" borderId="49" xfId="2" applyNumberFormat="1" applyBorder="1" applyAlignment="1">
      <alignment horizontal="center" vertical="center" wrapText="1"/>
    </xf>
    <xf numFmtId="0" fontId="14" fillId="0" borderId="49" xfId="2" applyBorder="1" applyAlignment="1">
      <alignment horizontal="left" vertical="center" wrapText="1"/>
    </xf>
    <xf numFmtId="0" fontId="14" fillId="0" borderId="49" xfId="2" applyBorder="1" applyAlignment="1">
      <alignment horizontal="center" vertical="center" wrapText="1"/>
    </xf>
    <xf numFmtId="2" fontId="14" fillId="0" borderId="49" xfId="27" applyNumberFormat="1" applyFont="1" applyFill="1" applyBorder="1" applyAlignment="1">
      <alignment horizontal="center" vertical="center" wrapText="1"/>
    </xf>
    <xf numFmtId="2" fontId="17" fillId="0" borderId="49" xfId="6" applyNumberFormat="1" applyFont="1" applyBorder="1" applyAlignment="1">
      <alignment horizontal="center" vertical="center" wrapText="1"/>
    </xf>
    <xf numFmtId="2" fontId="17" fillId="0" borderId="49" xfId="5" applyNumberFormat="1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/>
    </xf>
    <xf numFmtId="10" fontId="14" fillId="0" borderId="49" xfId="19" applyNumberFormat="1" applyFont="1" applyFill="1" applyBorder="1" applyAlignment="1">
      <alignment horizontal="center" vertical="center" wrapText="1"/>
    </xf>
    <xf numFmtId="2" fontId="14" fillId="0" borderId="50" xfId="2" applyNumberFormat="1" applyBorder="1" applyAlignment="1">
      <alignment horizontal="center" vertical="center" wrapText="1"/>
    </xf>
    <xf numFmtId="0" fontId="50" fillId="0" borderId="16" xfId="25" applyFont="1" applyFill="1" applyBorder="1" applyAlignment="1">
      <alignment vertical="top"/>
    </xf>
    <xf numFmtId="0" fontId="51" fillId="0" borderId="0" xfId="25" applyFont="1" applyFill="1" applyAlignment="1">
      <alignment vertical="top"/>
    </xf>
    <xf numFmtId="0" fontId="51" fillId="0" borderId="0" xfId="25" applyFont="1" applyFill="1" applyAlignment="1">
      <alignment horizontal="center" vertical="center"/>
    </xf>
    <xf numFmtId="0" fontId="51" fillId="0" borderId="0" xfId="25" applyFont="1" applyFill="1" applyAlignment="1">
      <alignment vertical="top" wrapText="1"/>
    </xf>
    <xf numFmtId="0" fontId="51" fillId="0" borderId="16" xfId="25" applyFont="1" applyFill="1" applyBorder="1" applyAlignment="1">
      <alignment vertical="top"/>
    </xf>
    <xf numFmtId="0" fontId="14" fillId="0" borderId="6" xfId="5" applyFont="1" applyBorder="1" applyAlignment="1">
      <alignment horizontal="center" vertical="center"/>
    </xf>
    <xf numFmtId="0" fontId="25" fillId="0" borderId="10" xfId="5" applyFont="1" applyBorder="1" applyAlignment="1">
      <alignment horizontal="center" vertical="center" wrapText="1"/>
    </xf>
    <xf numFmtId="0" fontId="25" fillId="0" borderId="0" xfId="5" applyFont="1" applyAlignment="1">
      <alignment horizontal="center" vertical="center"/>
    </xf>
    <xf numFmtId="0" fontId="25" fillId="0" borderId="11" xfId="5" applyFont="1" applyBorder="1" applyAlignment="1">
      <alignment horizontal="center" vertical="center"/>
    </xf>
    <xf numFmtId="49" fontId="14" fillId="0" borderId="5" xfId="5" quotePrefix="1" applyNumberFormat="1" applyFont="1" applyBorder="1" applyAlignment="1">
      <alignment horizontal="center" vertical="center"/>
    </xf>
    <xf numFmtId="49" fontId="14" fillId="0" borderId="3" xfId="5" quotePrefix="1" applyNumberFormat="1" applyFont="1" applyBorder="1" applyAlignment="1">
      <alignment horizontal="center" vertical="center"/>
    </xf>
    <xf numFmtId="49" fontId="14" fillId="0" borderId="4" xfId="5" quotePrefix="1" applyNumberFormat="1" applyFont="1" applyBorder="1" applyAlignment="1">
      <alignment horizontal="center" vertical="center"/>
    </xf>
    <xf numFmtId="49" fontId="14" fillId="0" borderId="6" xfId="5" applyNumberFormat="1" applyFont="1" applyBorder="1" applyAlignment="1">
      <alignment horizontal="center" vertical="center"/>
    </xf>
    <xf numFmtId="0" fontId="54" fillId="12" borderId="6" xfId="5" applyFont="1" applyFill="1" applyBorder="1" applyAlignment="1">
      <alignment horizontal="center" vertical="center"/>
    </xf>
    <xf numFmtId="0" fontId="54" fillId="12" borderId="5" xfId="5" applyFont="1" applyFill="1" applyBorder="1" applyAlignment="1">
      <alignment horizontal="center" vertical="center"/>
    </xf>
    <xf numFmtId="0" fontId="54" fillId="12" borderId="3" xfId="5" applyFont="1" applyFill="1" applyBorder="1" applyAlignment="1">
      <alignment horizontal="center" vertical="center"/>
    </xf>
    <xf numFmtId="0" fontId="54" fillId="12" borderId="4" xfId="5" applyFont="1" applyFill="1" applyBorder="1" applyAlignment="1">
      <alignment horizontal="center" vertical="center"/>
    </xf>
    <xf numFmtId="0" fontId="17" fillId="0" borderId="10" xfId="2" quotePrefix="1" applyFont="1" applyBorder="1" applyAlignment="1">
      <alignment horizontal="left" vertical="top" wrapText="1"/>
    </xf>
    <xf numFmtId="0" fontId="17" fillId="0" borderId="0" xfId="2" quotePrefix="1" applyFont="1" applyBorder="1" applyAlignment="1">
      <alignment horizontal="left" vertical="top" wrapText="1"/>
    </xf>
    <xf numFmtId="0" fontId="17" fillId="0" borderId="11" xfId="2" quotePrefix="1" applyFont="1" applyBorder="1" applyAlignment="1">
      <alignment horizontal="left" vertical="top" wrapText="1"/>
    </xf>
    <xf numFmtId="0" fontId="17" fillId="0" borderId="10" xfId="26" quotePrefix="1" applyFont="1" applyBorder="1" applyAlignment="1">
      <alignment horizontal="left" vertical="top" wrapText="1"/>
    </xf>
    <xf numFmtId="0" fontId="17" fillId="0" borderId="0" xfId="26" quotePrefix="1" applyFont="1" applyAlignment="1">
      <alignment horizontal="left" vertical="top" wrapText="1"/>
    </xf>
    <xf numFmtId="0" fontId="17" fillId="0" borderId="11" xfId="26" quotePrefix="1" applyFont="1" applyBorder="1" applyAlignment="1">
      <alignment horizontal="left" vertical="top" wrapText="1"/>
    </xf>
    <xf numFmtId="0" fontId="54" fillId="12" borderId="6" xfId="2" quotePrefix="1" applyFont="1" applyFill="1" applyBorder="1" applyAlignment="1">
      <alignment horizontal="left"/>
    </xf>
    <xf numFmtId="0" fontId="54" fillId="12" borderId="6" xfId="5" applyFont="1" applyFill="1" applyBorder="1" applyAlignment="1">
      <alignment horizontal="center" textRotation="90" wrapText="1"/>
    </xf>
    <xf numFmtId="0" fontId="54" fillId="12" borderId="5" xfId="2" quotePrefix="1" applyFont="1" applyFill="1" applyBorder="1" applyAlignment="1">
      <alignment horizontal="left"/>
    </xf>
    <xf numFmtId="0" fontId="54" fillId="12" borderId="3" xfId="2" quotePrefix="1" applyFont="1" applyFill="1" applyBorder="1" applyAlignment="1">
      <alignment horizontal="left"/>
    </xf>
    <xf numFmtId="0" fontId="54" fillId="12" borderId="4" xfId="2" quotePrefix="1" applyFont="1" applyFill="1" applyBorder="1" applyAlignment="1">
      <alignment horizontal="left"/>
    </xf>
    <xf numFmtId="0" fontId="17" fillId="0" borderId="0" xfId="2" quotePrefix="1" applyFont="1" applyAlignment="1">
      <alignment horizontal="left" vertical="top" wrapText="1"/>
    </xf>
    <xf numFmtId="0" fontId="17" fillId="9" borderId="10" xfId="2" quotePrefix="1" applyFont="1" applyFill="1" applyBorder="1" applyAlignment="1">
      <alignment horizontal="left" vertical="top" wrapText="1"/>
    </xf>
    <xf numFmtId="0" fontId="17" fillId="9" borderId="0" xfId="2" quotePrefix="1" applyFont="1" applyFill="1" applyAlignment="1">
      <alignment horizontal="left" vertical="top" wrapText="1"/>
    </xf>
    <xf numFmtId="0" fontId="17" fillId="9" borderId="11" xfId="2" quotePrefix="1" applyFont="1" applyFill="1" applyBorder="1" applyAlignment="1">
      <alignment horizontal="left" vertical="top" wrapText="1"/>
    </xf>
    <xf numFmtId="0" fontId="32" fillId="0" borderId="6" xfId="2" quotePrefix="1" applyFont="1" applyBorder="1" applyAlignment="1">
      <alignment horizontal="left"/>
    </xf>
    <xf numFmtId="0" fontId="54" fillId="12" borderId="6" xfId="2" quotePrefix="1" applyFont="1" applyFill="1" applyBorder="1" applyAlignment="1">
      <alignment horizontal="center" vertical="center" wrapText="1"/>
    </xf>
    <xf numFmtId="2" fontId="19" fillId="0" borderId="7" xfId="2" quotePrefix="1" applyNumberFormat="1" applyFont="1" applyBorder="1" applyAlignment="1">
      <alignment horizontal="center" vertical="center"/>
    </xf>
    <xf numFmtId="2" fontId="19" fillId="0" borderId="59" xfId="2" quotePrefix="1" applyNumberFormat="1" applyFont="1" applyBorder="1" applyAlignment="1">
      <alignment horizontal="center" vertical="center"/>
    </xf>
    <xf numFmtId="2" fontId="19" fillId="0" borderId="9" xfId="2" quotePrefix="1" applyNumberFormat="1" applyFont="1" applyBorder="1" applyAlignment="1">
      <alignment horizontal="center" vertical="center"/>
    </xf>
    <xf numFmtId="1" fontId="19" fillId="0" borderId="5" xfId="2" quotePrefix="1" applyNumberFormat="1" applyFont="1" applyBorder="1" applyAlignment="1">
      <alignment horizontal="center"/>
    </xf>
    <xf numFmtId="1" fontId="19" fillId="0" borderId="3" xfId="2" quotePrefix="1" applyNumberFormat="1" applyFont="1" applyBorder="1" applyAlignment="1">
      <alignment horizontal="center"/>
    </xf>
    <xf numFmtId="1" fontId="19" fillId="0" borderId="4" xfId="2" quotePrefix="1" applyNumberFormat="1" applyFont="1" applyBorder="1" applyAlignment="1">
      <alignment horizontal="center"/>
    </xf>
    <xf numFmtId="0" fontId="31" fillId="0" borderId="6" xfId="5" applyFont="1" applyBorder="1" applyAlignment="1">
      <alignment horizontal="center"/>
    </xf>
    <xf numFmtId="49" fontId="17" fillId="0" borderId="0" xfId="5" quotePrefix="1" applyNumberFormat="1" applyFont="1" applyAlignment="1">
      <alignment horizontal="center" vertical="center" wrapText="1"/>
    </xf>
    <xf numFmtId="0" fontId="16" fillId="3" borderId="6" xfId="5" applyFont="1" applyFill="1" applyBorder="1" applyAlignment="1">
      <alignment horizontal="center" vertical="center" wrapText="1"/>
    </xf>
    <xf numFmtId="0" fontId="16" fillId="3" borderId="6" xfId="5" applyFont="1" applyFill="1" applyBorder="1" applyAlignment="1">
      <alignment horizontal="center" textRotation="90" wrapText="1"/>
    </xf>
    <xf numFmtId="0" fontId="16" fillId="0" borderId="0" xfId="5" applyFont="1" applyAlignment="1">
      <alignment horizontal="right"/>
    </xf>
    <xf numFmtId="0" fontId="35" fillId="2" borderId="0" xfId="5" applyFont="1" applyFill="1" applyAlignment="1">
      <alignment horizontal="center" textRotation="90" wrapText="1"/>
    </xf>
    <xf numFmtId="0" fontId="35" fillId="2" borderId="2" xfId="5" applyFont="1" applyFill="1" applyBorder="1" applyAlignment="1">
      <alignment horizontal="center" textRotation="90" wrapText="1"/>
    </xf>
    <xf numFmtId="0" fontId="16" fillId="0" borderId="6" xfId="5" applyFont="1" applyBorder="1" applyAlignment="1">
      <alignment horizontal="right"/>
    </xf>
    <xf numFmtId="3" fontId="16" fillId="3" borderId="6" xfId="5" applyNumberFormat="1" applyFont="1" applyFill="1" applyBorder="1" applyAlignment="1">
      <alignment horizontal="center" textRotation="90" wrapText="1"/>
    </xf>
    <xf numFmtId="49" fontId="16" fillId="3" borderId="6" xfId="5" applyNumberFormat="1" applyFont="1" applyFill="1" applyBorder="1" applyAlignment="1">
      <alignment horizontal="center" textRotation="90" wrapText="1"/>
    </xf>
    <xf numFmtId="49" fontId="16" fillId="2" borderId="6" xfId="2" applyNumberFormat="1" applyFont="1" applyFill="1" applyBorder="1" applyAlignment="1">
      <alignment horizontal="center" textRotation="90" wrapText="1"/>
    </xf>
    <xf numFmtId="0" fontId="29" fillId="3" borderId="2" xfId="5" applyFont="1" applyFill="1" applyBorder="1" applyAlignment="1">
      <alignment horizontal="center"/>
    </xf>
    <xf numFmtId="0" fontId="29" fillId="3" borderId="12" xfId="5" applyFont="1" applyFill="1" applyBorder="1" applyAlignment="1">
      <alignment horizontal="center"/>
    </xf>
    <xf numFmtId="49" fontId="30" fillId="2" borderId="8" xfId="0" applyNumberFormat="1" applyFont="1" applyFill="1" applyBorder="1" applyAlignment="1">
      <alignment horizontal="center" vertical="center" wrapText="1"/>
    </xf>
    <xf numFmtId="2" fontId="24" fillId="0" borderId="69" xfId="27" applyNumberFormat="1" applyFont="1" applyFill="1" applyBorder="1" applyAlignment="1">
      <alignment horizontal="center" vertical="center" wrapText="1"/>
    </xf>
    <xf numFmtId="2" fontId="24" fillId="0" borderId="12" xfId="27" applyNumberFormat="1" applyFont="1" applyFill="1" applyBorder="1" applyAlignment="1">
      <alignment horizontal="center" vertical="center" wrapText="1"/>
    </xf>
    <xf numFmtId="2" fontId="24" fillId="0" borderId="18" xfId="27" applyNumberFormat="1" applyFont="1" applyFill="1" applyBorder="1" applyAlignment="1">
      <alignment horizontal="center" vertical="center"/>
    </xf>
    <xf numFmtId="2" fontId="24" fillId="0" borderId="19" xfId="27" applyNumberFormat="1" applyFont="1" applyFill="1" applyBorder="1" applyAlignment="1">
      <alignment horizontal="center" vertical="center"/>
    </xf>
    <xf numFmtId="0" fontId="14" fillId="0" borderId="13" xfId="2" applyBorder="1" applyAlignment="1">
      <alignment horizontal="center" vertical="center" wrapText="1"/>
    </xf>
    <xf numFmtId="0" fontId="14" fillId="0" borderId="14" xfId="2" applyBorder="1" applyAlignment="1">
      <alignment horizontal="center" vertical="center" wrapText="1"/>
    </xf>
    <xf numFmtId="0" fontId="14" fillId="0" borderId="15" xfId="2" applyBorder="1" applyAlignment="1">
      <alignment horizontal="center" vertical="center" wrapText="1"/>
    </xf>
    <xf numFmtId="0" fontId="47" fillId="0" borderId="13" xfId="2" applyFont="1" applyBorder="1" applyAlignment="1">
      <alignment horizontal="center" vertical="center" wrapText="1"/>
    </xf>
    <xf numFmtId="0" fontId="47" fillId="0" borderId="14" xfId="2" applyFont="1" applyBorder="1" applyAlignment="1">
      <alignment horizontal="center" vertical="center" wrapText="1"/>
    </xf>
    <xf numFmtId="0" fontId="47" fillId="0" borderId="15" xfId="2" applyFont="1" applyBorder="1" applyAlignment="1">
      <alignment horizontal="center" vertical="center" wrapText="1"/>
    </xf>
    <xf numFmtId="0" fontId="48" fillId="0" borderId="46" xfId="22" applyFont="1" applyBorder="1" applyAlignment="1">
      <alignment horizontal="left" vertical="top" wrapText="1"/>
    </xf>
    <xf numFmtId="0" fontId="48" fillId="0" borderId="47" xfId="22" applyFont="1" applyBorder="1" applyAlignment="1">
      <alignment horizontal="left" vertical="top" wrapText="1"/>
    </xf>
    <xf numFmtId="0" fontId="48" fillId="0" borderId="49" xfId="22" applyFont="1" applyBorder="1" applyAlignment="1">
      <alignment horizontal="left" vertical="top" wrapText="1"/>
    </xf>
    <xf numFmtId="0" fontId="48" fillId="0" borderId="50" xfId="22" applyFont="1" applyBorder="1" applyAlignment="1">
      <alignment horizontal="left" vertical="top" wrapText="1"/>
    </xf>
    <xf numFmtId="0" fontId="48" fillId="0" borderId="45" xfId="22" applyFont="1" applyBorder="1" applyAlignment="1">
      <alignment horizontal="left" vertical="center" wrapText="1"/>
    </xf>
    <xf numFmtId="0" fontId="48" fillId="0" borderId="46" xfId="22" applyFont="1" applyBorder="1" applyAlignment="1">
      <alignment horizontal="left" vertical="center" wrapText="1"/>
    </xf>
    <xf numFmtId="0" fontId="48" fillId="0" borderId="46" xfId="22" applyFont="1" applyBorder="1" applyAlignment="1">
      <alignment horizontal="center" vertical="center" wrapText="1"/>
    </xf>
    <xf numFmtId="0" fontId="48" fillId="0" borderId="48" xfId="22" applyFont="1" applyBorder="1" applyAlignment="1">
      <alignment horizontal="left" vertical="center" wrapText="1"/>
    </xf>
    <xf numFmtId="0" fontId="48" fillId="0" borderId="49" xfId="22" applyFont="1" applyBorder="1" applyAlignment="1">
      <alignment horizontal="left" vertical="center" wrapText="1"/>
    </xf>
    <xf numFmtId="0" fontId="48" fillId="0" borderId="49" xfId="22" applyFont="1" applyBorder="1" applyAlignment="1">
      <alignment horizontal="center" vertical="center" wrapText="1"/>
    </xf>
    <xf numFmtId="0" fontId="48" fillId="0" borderId="18" xfId="22" applyFont="1" applyBorder="1" applyAlignment="1">
      <alignment horizontal="center" vertical="center" wrapText="1"/>
    </xf>
    <xf numFmtId="0" fontId="48" fillId="0" borderId="19" xfId="22" applyFont="1" applyBorder="1" applyAlignment="1">
      <alignment horizontal="center" vertical="center" wrapText="1"/>
    </xf>
    <xf numFmtId="0" fontId="48" fillId="0" borderId="20" xfId="22" applyFont="1" applyBorder="1" applyAlignment="1">
      <alignment horizontal="center" vertical="center" wrapText="1"/>
    </xf>
    <xf numFmtId="0" fontId="48" fillId="0" borderId="13" xfId="22" applyFont="1" applyBorder="1" applyAlignment="1">
      <alignment horizontal="left" vertical="center" wrapText="1"/>
    </xf>
    <xf numFmtId="0" fontId="48" fillId="0" borderId="14" xfId="22" applyFont="1" applyBorder="1" applyAlignment="1">
      <alignment horizontal="left" vertical="center" wrapText="1"/>
    </xf>
    <xf numFmtId="0" fontId="48" fillId="0" borderId="14" xfId="22" applyFont="1" applyBorder="1" applyAlignment="1">
      <alignment horizontal="center" vertical="center" wrapText="1"/>
    </xf>
    <xf numFmtId="0" fontId="48" fillId="0" borderId="15" xfId="22" applyFont="1" applyBorder="1" applyAlignment="1">
      <alignment horizontal="left" vertical="center" wrapText="1"/>
    </xf>
    <xf numFmtId="0" fontId="48" fillId="0" borderId="21" xfId="22" applyFont="1" applyBorder="1" applyAlignment="1">
      <alignment horizontal="left" vertical="center" wrapText="1"/>
    </xf>
    <xf numFmtId="0" fontId="48" fillId="0" borderId="22" xfId="22" applyFont="1" applyBorder="1" applyAlignment="1">
      <alignment horizontal="left" vertical="center" wrapText="1"/>
    </xf>
    <xf numFmtId="0" fontId="48" fillId="0" borderId="44" xfId="22" applyFont="1" applyBorder="1" applyAlignment="1">
      <alignment horizontal="left" vertical="center" wrapText="1"/>
    </xf>
    <xf numFmtId="10" fontId="24" fillId="0" borderId="9" xfId="2" applyNumberFormat="1" applyFont="1" applyBorder="1" applyAlignment="1">
      <alignment horizontal="center" vertical="center" wrapText="1"/>
    </xf>
    <xf numFmtId="10" fontId="24" fillId="0" borderId="49" xfId="2" applyNumberFormat="1" applyFont="1" applyBorder="1" applyAlignment="1">
      <alignment horizontal="center" vertical="center" wrapText="1"/>
    </xf>
    <xf numFmtId="1" fontId="24" fillId="0" borderId="70" xfId="2" applyNumberFormat="1" applyFont="1" applyBorder="1" applyAlignment="1">
      <alignment horizontal="center" vertical="center" wrapText="1"/>
    </xf>
    <xf numFmtId="1" fontId="24" fillId="0" borderId="50" xfId="2" applyNumberFormat="1" applyFont="1" applyBorder="1" applyAlignment="1">
      <alignment horizontal="center" vertical="center" wrapText="1"/>
    </xf>
    <xf numFmtId="1" fontId="24" fillId="0" borderId="59" xfId="2" applyNumberFormat="1" applyFont="1" applyBorder="1" applyAlignment="1">
      <alignment horizontal="center" vertical="center" wrapText="1"/>
    </xf>
    <xf numFmtId="1" fontId="24" fillId="0" borderId="57" xfId="2" applyNumberFormat="1" applyFont="1" applyBorder="1" applyAlignment="1">
      <alignment horizontal="center" vertical="center" wrapText="1"/>
    </xf>
    <xf numFmtId="2" fontId="24" fillId="0" borderId="59" xfId="2" applyNumberFormat="1" applyFont="1" applyBorder="1" applyAlignment="1">
      <alignment horizontal="center" vertical="center" wrapText="1"/>
    </xf>
    <xf numFmtId="2" fontId="24" fillId="0" borderId="57" xfId="2" applyNumberFormat="1" applyFont="1" applyBorder="1" applyAlignment="1">
      <alignment horizontal="center" vertical="center" wrapText="1"/>
    </xf>
    <xf numFmtId="0" fontId="48" fillId="0" borderId="13" xfId="22" applyFont="1" applyBorder="1" applyAlignment="1">
      <alignment horizontal="left" vertical="center"/>
    </xf>
    <xf numFmtId="0" fontId="48" fillId="0" borderId="14" xfId="22" applyFont="1" applyBorder="1" applyAlignment="1">
      <alignment horizontal="left" vertical="center"/>
    </xf>
    <xf numFmtId="0" fontId="48" fillId="0" borderId="21" xfId="22" applyFont="1" applyBorder="1" applyAlignment="1">
      <alignment horizontal="left" vertical="center"/>
    </xf>
    <xf numFmtId="0" fontId="48" fillId="0" borderId="22" xfId="22" applyFont="1" applyBorder="1" applyAlignment="1">
      <alignment horizontal="left" vertical="center"/>
    </xf>
    <xf numFmtId="0" fontId="48" fillId="0" borderId="44" xfId="22" applyFont="1" applyBorder="1" applyAlignment="1">
      <alignment horizontal="left" vertical="center"/>
    </xf>
    <xf numFmtId="0" fontId="14" fillId="0" borderId="21" xfId="2" applyBorder="1" applyAlignment="1">
      <alignment horizontal="center" vertical="center"/>
    </xf>
    <xf numFmtId="0" fontId="14" fillId="0" borderId="22" xfId="2" applyBorder="1" applyAlignment="1">
      <alignment horizontal="center" vertical="center"/>
    </xf>
    <xf numFmtId="0" fontId="14" fillId="0" borderId="44" xfId="2" applyBorder="1" applyAlignment="1">
      <alignment horizontal="center" vertical="center"/>
    </xf>
    <xf numFmtId="0" fontId="47" fillId="0" borderId="13" xfId="2" applyFont="1" applyBorder="1" applyAlignment="1">
      <alignment horizontal="center" vertical="center"/>
    </xf>
    <xf numFmtId="0" fontId="47" fillId="0" borderId="14" xfId="2" applyFont="1" applyBorder="1" applyAlignment="1">
      <alignment horizontal="center" vertical="center"/>
    </xf>
    <xf numFmtId="0" fontId="47" fillId="0" borderId="15" xfId="2" applyFont="1" applyBorder="1" applyAlignment="1">
      <alignment horizontal="center" vertical="center"/>
    </xf>
    <xf numFmtId="0" fontId="48" fillId="0" borderId="45" xfId="22" applyFont="1" applyBorder="1" applyAlignment="1">
      <alignment horizontal="left" vertical="center"/>
    </xf>
    <xf numFmtId="0" fontId="48" fillId="0" borderId="46" xfId="22" applyFont="1" applyBorder="1" applyAlignment="1">
      <alignment horizontal="left" vertical="center"/>
    </xf>
    <xf numFmtId="0" fontId="48" fillId="0" borderId="60" xfId="22" applyFont="1" applyBorder="1" applyAlignment="1">
      <alignment horizontal="left" vertical="top"/>
    </xf>
    <xf numFmtId="0" fontId="48" fillId="0" borderId="61" xfId="22" applyFont="1" applyBorder="1" applyAlignment="1">
      <alignment horizontal="left" vertical="top"/>
    </xf>
    <xf numFmtId="0" fontId="48" fillId="0" borderId="48" xfId="22" applyFont="1" applyBorder="1" applyAlignment="1">
      <alignment horizontal="left" vertical="center"/>
    </xf>
    <xf numFmtId="0" fontId="48" fillId="0" borderId="49" xfId="22" applyFont="1" applyBorder="1" applyAlignment="1">
      <alignment horizontal="left" vertical="center"/>
    </xf>
    <xf numFmtId="0" fontId="48" fillId="0" borderId="58" xfId="22" applyFont="1" applyBorder="1" applyAlignment="1">
      <alignment horizontal="left" vertical="top"/>
    </xf>
    <xf numFmtId="0" fontId="48" fillId="0" borderId="62" xfId="22" applyFont="1" applyBorder="1" applyAlignment="1">
      <alignment horizontal="left" vertical="top"/>
    </xf>
    <xf numFmtId="0" fontId="48" fillId="0" borderId="18" xfId="22" applyFont="1" applyBorder="1" applyAlignment="1">
      <alignment horizontal="center" vertical="center"/>
    </xf>
    <xf numFmtId="0" fontId="48" fillId="0" borderId="19" xfId="22" applyFont="1" applyBorder="1" applyAlignment="1">
      <alignment horizontal="center" vertical="center"/>
    </xf>
    <xf numFmtId="0" fontId="48" fillId="0" borderId="20" xfId="22" applyFont="1" applyBorder="1" applyAlignment="1">
      <alignment horizontal="center" vertical="center"/>
    </xf>
    <xf numFmtId="0" fontId="16" fillId="2" borderId="28" xfId="5" applyFont="1" applyFill="1" applyBorder="1" applyAlignment="1">
      <alignment horizontal="center" textRotation="90" wrapText="1"/>
    </xf>
    <xf numFmtId="0" fontId="16" fillId="2" borderId="35" xfId="5" applyFont="1" applyFill="1" applyBorder="1" applyAlignment="1">
      <alignment horizontal="center" textRotation="90" wrapText="1"/>
    </xf>
    <xf numFmtId="0" fontId="16" fillId="2" borderId="23" xfId="5" applyFont="1" applyFill="1" applyBorder="1" applyAlignment="1">
      <alignment horizontal="center" textRotation="90" wrapText="1"/>
    </xf>
    <xf numFmtId="0" fontId="16" fillId="2" borderId="33" xfId="5" applyFont="1" applyFill="1" applyBorder="1" applyAlignment="1">
      <alignment horizontal="center" textRotation="90" wrapText="1"/>
    </xf>
    <xf numFmtId="0" fontId="16" fillId="2" borderId="25" xfId="5" applyFont="1" applyFill="1" applyBorder="1" applyAlignment="1">
      <alignment horizontal="center" vertical="center" wrapText="1"/>
    </xf>
    <xf numFmtId="0" fontId="16" fillId="2" borderId="24" xfId="5" applyFont="1" applyFill="1" applyBorder="1" applyAlignment="1">
      <alignment horizontal="center" vertical="center" wrapText="1"/>
    </xf>
    <xf numFmtId="0" fontId="16" fillId="2" borderId="26" xfId="5" applyFont="1" applyFill="1" applyBorder="1" applyAlignment="1">
      <alignment horizontal="center" vertical="center" wrapText="1"/>
    </xf>
    <xf numFmtId="3" fontId="16" fillId="2" borderId="27" xfId="5" applyNumberFormat="1" applyFont="1" applyFill="1" applyBorder="1" applyAlignment="1">
      <alignment horizontal="center" textRotation="90" wrapText="1"/>
    </xf>
    <xf numFmtId="3" fontId="16" fillId="2" borderId="37" xfId="5" applyNumberFormat="1" applyFont="1" applyFill="1" applyBorder="1" applyAlignment="1">
      <alignment horizontal="center" textRotation="90" wrapText="1"/>
    </xf>
    <xf numFmtId="0" fontId="16" fillId="2" borderId="27" xfId="5" applyFont="1" applyFill="1" applyBorder="1" applyAlignment="1">
      <alignment horizontal="center" textRotation="90" wrapText="1"/>
    </xf>
    <xf numFmtId="0" fontId="16" fillId="2" borderId="37" xfId="5" applyFont="1" applyFill="1" applyBorder="1" applyAlignment="1">
      <alignment horizontal="center" textRotation="90" wrapText="1"/>
    </xf>
    <xf numFmtId="0" fontId="32" fillId="3" borderId="27" xfId="5" applyFont="1" applyFill="1" applyBorder="1" applyAlignment="1">
      <alignment horizontal="center" vertical="center" wrapText="1"/>
    </xf>
    <xf numFmtId="0" fontId="32" fillId="3" borderId="37" xfId="5" applyFont="1" applyFill="1" applyBorder="1" applyAlignment="1">
      <alignment horizontal="center" vertical="center" wrapText="1"/>
    </xf>
    <xf numFmtId="0" fontId="24" fillId="10" borderId="30" xfId="5" applyFont="1" applyFill="1" applyBorder="1" applyAlignment="1">
      <alignment horizontal="center" vertical="center" wrapText="1"/>
    </xf>
    <xf numFmtId="0" fontId="24" fillId="10" borderId="31" xfId="5" applyFont="1" applyFill="1" applyBorder="1" applyAlignment="1">
      <alignment horizontal="center" vertical="center" wrapText="1"/>
    </xf>
    <xf numFmtId="0" fontId="24" fillId="10" borderId="32" xfId="5" applyFont="1" applyFill="1" applyBorder="1" applyAlignment="1">
      <alignment horizontal="center" vertical="center" wrapText="1"/>
    </xf>
    <xf numFmtId="0" fontId="16" fillId="2" borderId="28" xfId="5" applyFont="1" applyFill="1" applyBorder="1" applyAlignment="1">
      <alignment horizontal="center" vertical="center" wrapText="1"/>
    </xf>
    <xf numFmtId="0" fontId="24" fillId="10" borderId="8" xfId="5" applyFont="1" applyFill="1" applyBorder="1" applyAlignment="1">
      <alignment horizontal="center" vertical="center" wrapText="1"/>
    </xf>
    <xf numFmtId="0" fontId="24" fillId="10" borderId="8" xfId="5" applyFont="1" applyFill="1" applyBorder="1" applyAlignment="1">
      <alignment horizontal="center" vertical="center"/>
    </xf>
    <xf numFmtId="0" fontId="24" fillId="10" borderId="30" xfId="5" applyFont="1" applyFill="1" applyBorder="1" applyAlignment="1">
      <alignment horizontal="center" vertical="center"/>
    </xf>
    <xf numFmtId="0" fontId="21" fillId="5" borderId="0" xfId="23" applyFont="1" applyFill="1" applyAlignment="1">
      <alignment horizontal="center" vertical="center" wrapText="1"/>
    </xf>
    <xf numFmtId="0" fontId="21" fillId="6" borderId="0" xfId="23" applyFont="1" applyFill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6" fillId="9" borderId="3" xfId="13" applyNumberFormat="1" applyFont="1" applyFill="1" applyBorder="1" applyAlignment="1">
      <alignment horizontal="left" vertical="center"/>
    </xf>
    <xf numFmtId="167" fontId="37" fillId="9" borderId="2" xfId="13" applyNumberFormat="1" applyFont="1" applyFill="1" applyBorder="1" applyAlignment="1">
      <alignment horizontal="center" vertical="center"/>
    </xf>
    <xf numFmtId="0" fontId="36" fillId="9" borderId="1" xfId="13" applyNumberFormat="1" applyFont="1" applyFill="1" applyBorder="1" applyAlignment="1">
      <alignment horizontal="left" vertical="center"/>
    </xf>
    <xf numFmtId="167" fontId="37" fillId="9" borderId="1" xfId="13" applyNumberFormat="1" applyFont="1" applyFill="1" applyBorder="1" applyAlignment="1">
      <alignment horizontal="center" vertical="center"/>
    </xf>
    <xf numFmtId="0" fontId="38" fillId="9" borderId="0" xfId="7" applyFont="1" applyFill="1" applyAlignment="1">
      <alignment horizontal="center" vertical="center"/>
    </xf>
    <xf numFmtId="0" fontId="39" fillId="8" borderId="0" xfId="12" applyFont="1" applyFill="1" applyAlignment="1">
      <alignment horizontal="center" vertical="center"/>
    </xf>
    <xf numFmtId="0" fontId="38" fillId="3" borderId="0" xfId="7" applyFont="1" applyFill="1" applyAlignment="1">
      <alignment horizontal="center" vertical="center"/>
    </xf>
    <xf numFmtId="0" fontId="36" fillId="9" borderId="2" xfId="13" applyNumberFormat="1" applyFont="1" applyFill="1" applyBorder="1" applyAlignment="1">
      <alignment horizontal="left" vertical="center"/>
    </xf>
    <xf numFmtId="0" fontId="42" fillId="3" borderId="7" xfId="16" applyFont="1" applyFill="1" applyBorder="1" applyAlignment="1">
      <alignment horizontal="center" vertical="center"/>
    </xf>
    <xf numFmtId="0" fontId="42" fillId="3" borderId="9" xfId="16" applyFont="1" applyFill="1" applyBorder="1" applyAlignment="1">
      <alignment horizontal="center" vertical="center"/>
    </xf>
  </cellXfs>
  <cellStyles count="29">
    <cellStyle name="Currency 2 4" xfId="13" xr:uid="{908CACD0-D061-4294-A55E-9E5AA1448E0F}"/>
    <cellStyle name="material" xfId="1" xr:uid="{00000000-0005-0000-0000-000000000000}"/>
    <cellStyle name="Moeda 2" xfId="20" xr:uid="{96951D7F-A2F9-49AE-A628-0B28690912AB}"/>
    <cellStyle name="Normal" xfId="0" builtinId="0"/>
    <cellStyle name="Normal 10" xfId="26" xr:uid="{583BBEC6-C281-411F-B52D-2BA76B70ECFC}"/>
    <cellStyle name="Normal 2" xfId="2" xr:uid="{00000000-0005-0000-0000-000002000000}"/>
    <cellStyle name="Normal 2 15" xfId="24" xr:uid="{140E66DE-5250-4601-9923-93E4695E1B86}"/>
    <cellStyle name="Normal 2 2" xfId="14" xr:uid="{EC2664D4-E512-49C9-88AE-E01011D7E1C6}"/>
    <cellStyle name="Normal 2 2 2" xfId="17" xr:uid="{EE4C9813-8250-4F46-9F13-37D493373C90}"/>
    <cellStyle name="Normal 2 2 3" xfId="18" xr:uid="{16181DAC-2843-400F-B2BB-B84928A21E76}"/>
    <cellStyle name="Normal 2 2 4" xfId="21" xr:uid="{7CF8E21F-80F4-43A6-8F4A-16073BB4AC7C}"/>
    <cellStyle name="Normal 2 3" xfId="5" xr:uid="{00000000-0005-0000-0000-000003000000}"/>
    <cellStyle name="Normal 2 4" xfId="15" xr:uid="{8D53F251-4853-462A-9E36-EBC0CF673CA3}"/>
    <cellStyle name="Normal 3" xfId="4" xr:uid="{00000000-0005-0000-0000-000004000000}"/>
    <cellStyle name="Normal 3 2" xfId="3" xr:uid="{00000000-0005-0000-0000-000005000000}"/>
    <cellStyle name="Normal 3 3 2" xfId="22" xr:uid="{7C79749A-905D-429C-BEFC-3E105F6470D6}"/>
    <cellStyle name="Normal 3 3 2 3" xfId="25" xr:uid="{527BEF2B-B3AE-43CF-A922-5792D9BADA0D}"/>
    <cellStyle name="Normal 3 5" xfId="12" xr:uid="{4B076B3B-2262-48C9-8D6E-BEF379997F6C}"/>
    <cellStyle name="Normal 4" xfId="6" xr:uid="{00000000-0005-0000-0000-000006000000}"/>
    <cellStyle name="Normal 5" xfId="8" xr:uid="{00000000-0005-0000-0000-000007000000}"/>
    <cellStyle name="Normal 6" xfId="7" xr:uid="{00000000-0005-0000-0000-000008000000}"/>
    <cellStyle name="Normal 7" xfId="9" xr:uid="{00000000-0005-0000-0000-000009000000}"/>
    <cellStyle name="Normal 8" xfId="10" xr:uid="{00000000-0005-0000-0000-00000A000000}"/>
    <cellStyle name="Normal 8 2" xfId="23" xr:uid="{637B20DF-85A5-4FDD-952D-7E8E0935BCFB}"/>
    <cellStyle name="Normal 9" xfId="16" xr:uid="{7A98DDAD-753E-449B-B14D-450E93D10E2B}"/>
    <cellStyle name="Porcentagem" xfId="28" builtinId="5"/>
    <cellStyle name="Porcentagem 2" xfId="19" xr:uid="{B7AB5CCB-2E5C-4F7C-8ED8-602BBB3FAC52}"/>
    <cellStyle name="Vírgula" xfId="27" builtinId="3"/>
    <cellStyle name="Vírgula 2" xfId="11" xr:uid="{00000000-0005-0000-0000-00000B000000}"/>
  </cellStyles>
  <dxfs count="20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5.xml"/><Relationship Id="rId26" Type="http://schemas.openxmlformats.org/officeDocument/2006/relationships/externalLink" Target="externalLinks/externalLink13.xml"/><Relationship Id="rId39" Type="http://schemas.openxmlformats.org/officeDocument/2006/relationships/externalLink" Target="externalLinks/externalLink26.xml"/><Relationship Id="rId21" Type="http://schemas.openxmlformats.org/officeDocument/2006/relationships/externalLink" Target="externalLinks/externalLink8.xml"/><Relationship Id="rId34" Type="http://schemas.openxmlformats.org/officeDocument/2006/relationships/externalLink" Target="externalLinks/externalLink21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9" Type="http://schemas.openxmlformats.org/officeDocument/2006/relationships/externalLink" Target="externalLinks/externalLink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1.xml"/><Relationship Id="rId32" Type="http://schemas.openxmlformats.org/officeDocument/2006/relationships/externalLink" Target="externalLinks/externalLink19.xml"/><Relationship Id="rId37" Type="http://schemas.openxmlformats.org/officeDocument/2006/relationships/externalLink" Target="externalLinks/externalLink24.xml"/><Relationship Id="rId40" Type="http://schemas.openxmlformats.org/officeDocument/2006/relationships/theme" Target="theme/theme1.xml"/><Relationship Id="rId45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23" Type="http://schemas.openxmlformats.org/officeDocument/2006/relationships/externalLink" Target="externalLinks/externalLink10.xml"/><Relationship Id="rId28" Type="http://schemas.openxmlformats.org/officeDocument/2006/relationships/externalLink" Target="externalLinks/externalLink15.xml"/><Relationship Id="rId36" Type="http://schemas.openxmlformats.org/officeDocument/2006/relationships/externalLink" Target="externalLinks/externalLink23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6.xml"/><Relationship Id="rId31" Type="http://schemas.openxmlformats.org/officeDocument/2006/relationships/externalLink" Target="externalLinks/externalLink18.xml"/><Relationship Id="rId44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externalLink" Target="externalLinks/externalLink9.xml"/><Relationship Id="rId27" Type="http://schemas.openxmlformats.org/officeDocument/2006/relationships/externalLink" Target="externalLinks/externalLink14.xml"/><Relationship Id="rId30" Type="http://schemas.openxmlformats.org/officeDocument/2006/relationships/externalLink" Target="externalLinks/externalLink17.xml"/><Relationship Id="rId35" Type="http://schemas.openxmlformats.org/officeDocument/2006/relationships/externalLink" Target="externalLinks/externalLink22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4.xml"/><Relationship Id="rId25" Type="http://schemas.openxmlformats.org/officeDocument/2006/relationships/externalLink" Target="externalLinks/externalLink12.xml"/><Relationship Id="rId33" Type="http://schemas.openxmlformats.org/officeDocument/2006/relationships/externalLink" Target="externalLinks/externalLink20.xml"/><Relationship Id="rId38" Type="http://schemas.openxmlformats.org/officeDocument/2006/relationships/externalLink" Target="externalLinks/externalLink25.xml"/><Relationship Id="rId46" Type="http://schemas.openxmlformats.org/officeDocument/2006/relationships/customXml" Target="../customXml/item3.xml"/><Relationship Id="rId20" Type="http://schemas.openxmlformats.org/officeDocument/2006/relationships/externalLink" Target="externalLinks/externalLink7.xml"/><Relationship Id="rId41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44823</xdr:rowOff>
    </xdr:from>
    <xdr:to>
      <xdr:col>17</xdr:col>
      <xdr:colOff>43229</xdr:colOff>
      <xdr:row>0</xdr:row>
      <xdr:rowOff>475011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14F8EFB-440C-4BE9-AB38-301781CB9D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44823"/>
          <a:ext cx="2119679" cy="43018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28574</xdr:colOff>
      <xdr:row>0</xdr:row>
      <xdr:rowOff>44823</xdr:rowOff>
    </xdr:from>
    <xdr:to>
      <xdr:col>18</xdr:col>
      <xdr:colOff>38099</xdr:colOff>
      <xdr:row>0</xdr:row>
      <xdr:rowOff>475011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E919CD2-76D1-4342-AB69-3020E7EC8E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4" y="44823"/>
          <a:ext cx="2238375" cy="43018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46</xdr:row>
      <xdr:rowOff>0</xdr:rowOff>
    </xdr:from>
    <xdr:ext cx="1489605" cy="0"/>
    <xdr:pic>
      <xdr:nvPicPr>
        <xdr:cNvPr id="2" name="Picture 1">
          <a:extLst>
            <a:ext uri="{FF2B5EF4-FFF2-40B4-BE49-F238E27FC236}">
              <a16:creationId xmlns:a16="http://schemas.microsoft.com/office/drawing/2014/main" id="{77E63EA7-42DA-490E-8794-F0D221BFB2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37385" y="5736981"/>
          <a:ext cx="148960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46</xdr:row>
      <xdr:rowOff>0</xdr:rowOff>
    </xdr:from>
    <xdr:ext cx="1489605" cy="0"/>
    <xdr:pic>
      <xdr:nvPicPr>
        <xdr:cNvPr id="3" name="Picture 1">
          <a:extLst>
            <a:ext uri="{FF2B5EF4-FFF2-40B4-BE49-F238E27FC236}">
              <a16:creationId xmlns:a16="http://schemas.microsoft.com/office/drawing/2014/main" id="{53416102-FE7A-46BF-904F-A55835E73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37385" y="5736981"/>
          <a:ext cx="148960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9</xdr:row>
      <xdr:rowOff>0</xdr:rowOff>
    </xdr:from>
    <xdr:ext cx="1489605" cy="0"/>
    <xdr:pic>
      <xdr:nvPicPr>
        <xdr:cNvPr id="4" name="Picture 1">
          <a:extLst>
            <a:ext uri="{FF2B5EF4-FFF2-40B4-BE49-F238E27FC236}">
              <a16:creationId xmlns:a16="http://schemas.microsoft.com/office/drawing/2014/main" id="{F4BBFE37-3685-48F4-B7A8-F9E4891EB9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37385" y="4799135"/>
          <a:ext cx="148960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2198</xdr:colOff>
      <xdr:row>9</xdr:row>
      <xdr:rowOff>0</xdr:rowOff>
    </xdr:from>
    <xdr:ext cx="1489605" cy="0"/>
    <xdr:pic>
      <xdr:nvPicPr>
        <xdr:cNvPr id="5" name="Picture 1">
          <a:extLst>
            <a:ext uri="{FF2B5EF4-FFF2-40B4-BE49-F238E27FC236}">
              <a16:creationId xmlns:a16="http://schemas.microsoft.com/office/drawing/2014/main" id="{C665EBFB-31B5-42EB-8B04-2EC31BAEE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39583" y="4799135"/>
          <a:ext cx="148960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28575</xdr:colOff>
      <xdr:row>0</xdr:row>
      <xdr:rowOff>57150</xdr:rowOff>
    </xdr:from>
    <xdr:to>
      <xdr:col>1</xdr:col>
      <xdr:colOff>200025</xdr:colOff>
      <xdr:row>0</xdr:row>
      <xdr:rowOff>476250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84A746CA-8F08-4BD3-AEE3-5EF5440E9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57150"/>
          <a:ext cx="2124075" cy="4191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51</xdr:col>
      <xdr:colOff>0</xdr:colOff>
      <xdr:row>18</xdr:row>
      <xdr:rowOff>0</xdr:rowOff>
    </xdr:from>
    <xdr:ext cx="1489605" cy="0"/>
    <xdr:pic>
      <xdr:nvPicPr>
        <xdr:cNvPr id="2" name="Picture 1">
          <a:extLst>
            <a:ext uri="{FF2B5EF4-FFF2-40B4-BE49-F238E27FC236}">
              <a16:creationId xmlns:a16="http://schemas.microsoft.com/office/drawing/2014/main" id="{AEC27A13-1C6B-4BA5-921A-8330135D3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02450" y="41471850"/>
          <a:ext cx="148960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51</xdr:col>
      <xdr:colOff>0</xdr:colOff>
      <xdr:row>18</xdr:row>
      <xdr:rowOff>0</xdr:rowOff>
    </xdr:from>
    <xdr:ext cx="1489605" cy="0"/>
    <xdr:pic>
      <xdr:nvPicPr>
        <xdr:cNvPr id="3" name="Picture 1">
          <a:extLst>
            <a:ext uri="{FF2B5EF4-FFF2-40B4-BE49-F238E27FC236}">
              <a16:creationId xmlns:a16="http://schemas.microsoft.com/office/drawing/2014/main" id="{587D6DD5-720E-4713-9366-0EEF43DE7C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02450" y="41471850"/>
          <a:ext cx="148960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71237</xdr:colOff>
      <xdr:row>0</xdr:row>
      <xdr:rowOff>52828</xdr:rowOff>
    </xdr:from>
    <xdr:to>
      <xdr:col>3</xdr:col>
      <xdr:colOff>1137047</xdr:colOff>
      <xdr:row>0</xdr:row>
      <xdr:rowOff>829236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10D0E47-38E0-40B8-9962-F24AB9DE78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237" y="52828"/>
          <a:ext cx="3637560" cy="77640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95250</xdr:rowOff>
    </xdr:from>
    <xdr:to>
      <xdr:col>2</xdr:col>
      <xdr:colOff>914276</xdr:colOff>
      <xdr:row>0</xdr:row>
      <xdr:rowOff>871658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9F22E8D2-6FA0-4AD5-9A38-ACD0A057BB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95250"/>
          <a:ext cx="3628901" cy="77640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eus%20documentos\Rascunh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Eneias\ENEIAS%202008\02%20PETROBRAS\02%20SE%20MACA&#201;%200421991.07.8\3%20CUSTO\Documents%20and%20Settings\lsilva\Configura&#231;&#245;es%20locais\Temporary%20Internet%20Files\OLK5B\6359-00-47-C09-007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MODELO%20OR&#199;AMENTO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Documents%20and%20Settings\DIMAUCELO\Meus%20documentos\RDM%20-%20VALE%20-%20OURO%20PRETO%20-%20MG\RDM%20-%20VALE%20-%20OURO%20PRETO%20-%20MG\or&#231;amentos%20anteriores%20a%202004\VIRADOR%20DE%20VAG&#213;ES%20-%20CVRD%20-%20MODELO%20ENESA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Documents%20and%20Settings\lsilva\Configura&#231;&#245;es%20locais\Temporary%20Internet%20Files\OLK5B\6359-00-47-C09-007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CONTRATO\342-04\Ele\40\Lista%20de%20Cabos\Lista-Rota%20de%20Cabo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camp42412\Local%20Settings\Temporary%20Internet%20Files\Content.IE5\0J39SMS0\CostEstimateChapadaProject%20currentx_RevA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-0002\Comercial%20S4\PROPOSTAS%202004\S4.402.2907-61%20PROMON%202%20CITY%20GATES_S&#227;o%20Br&#225;s%20e%20Arcel\Planilhas\PIPE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Documents%20and%20Settings\uen5\Meus%20documentos\Silvana\Anglo%20American\Planilha%20custos\Memorial_Barro%20Alto%20revB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ndata\proyectos\PELAMBRES\314776\EST\Capital%20Costs\175kpd%20option\Pelambres175tmpdvalorizadoJRI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Documents%20and%20Settings\rodrigo.ORTENG\Meus%20documentos\Orteng\Anglo%20Gold%20Ashanti\250469\Proposta%20Consolidada\Memorial_250469_RevD2_Consolidada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hemserv01\Projetos_ISO\PETROBRAS\CENPES\5P\temp\Fuel%20gas\Perfil%20Eletrico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are\3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Documents%20and%20Settings\alessandro.quadros\Configura&#231;&#245;es%20locais\Temporary%20Internet%20Files\Content.IE5\C5IF89E3\04)%20Histograma%20Fazend&#227;o%20M.O.D%20-%20rev.%202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Documents%20and%20Settings\alessandro.quadros\Desktop\Semana%2015\Relat&#243;rio%20Semanal%20de%20Andamento%20do%20Projeto%20&#8211;%20SEMANA%2015\Anexo%2006%20-%20Histograma%20MOD_MOI_Equip(1)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sp1srv004\projects\Users\hjps\AppData\Local\Microsoft\Windows\Temporary%20Internet%20Files\Content.Outlook\WJNJJO7B\13017-CDAF-PR-LOE-001-00b.xlsm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PROJECT\1_Historic\BUTANTAN\BUTANTAN_AF_FF_PP\2013-00026_BDAF\PROCESS\1-Last%20Issue\13026-BDAF-PR-LOE-001-005.xlsm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hemserv01\Projetos_ISO\PETROBRAS\CENPES\5P\temp\Linhas-G-1220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Documents%20and%20Settings\ehanna\Desktop\02%20PETROBRAS\CUSTO%20MACA&#201;\3%20CUSTO\Fornecedores%20-%20SE%20138kV%20Maca&#233;%20-%20RJ%20LILIAN_SIM&#212;ES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tca3_luiz\rmorca\PROJ37\ANALISE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PLICA&#199;&#195;O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DOCUME~1\ALLAN~1.BRI\CONFIG~1\Temp\DOCUME~1\ALLAN~1.BRI\CONFIG~1\Temp\LEILAO%20003%202001%20ANEEL\Lote%20B\CTEEP\TPA\TPA_B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Documents%20and%20Settings\ehanna\Desktop\02%20PETROBRAS\CUSTO%20MACA&#201;\3%20CUSTO\Documents%20and%20Settings\lsilva\Configura&#231;&#245;es%20locais\Temporary%20Internet%20Files\OLK5B\6359-00-47-C09-007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ad\dados\Users\rmon\AppData\Local\Microsoft\Windows\Temporary%20Internet%20Files\Content.Outlook\D6VSDGCC\13005-STA1-CU-LOV-001-002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Comercial\EXCEL\ARQUIVOS\0901_1000\TESTE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publico\CONTRATO\372-01\SIS\372-01-00-411-001-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1"/>
      <sheetName val="Plan2"/>
      <sheetName val="Plan3"/>
      <sheetName val="Erection"/>
      <sheetName val="Macro1"/>
      <sheetName val="Estudo"/>
      <sheetName val="PGA-02"/>
      <sheetName val="solo i"/>
      <sheetName val="Ajuda"/>
      <sheetName val="CASH_FLOW"/>
      <sheetName val="16-CUSTO_EQUIPTO"/>
      <sheetName val="DADOS"/>
      <sheetName val="15-DIVERSOS"/>
      <sheetName val="ÍNDICE"/>
      <sheetName val="13-MAT-FERR"/>
      <sheetName val="14-MAT.SEG "/>
      <sheetName val="16-EQUIP."/>
      <sheetName val="-17-MOI"/>
      <sheetName val="-18-CANTEIRO"/>
      <sheetName val="-19-TRANSP.PESSOAL"/>
      <sheetName val="-01-MOD"/>
      <sheetName val="-20-MOB-DESMOB "/>
      <sheetName val="-21-REFEICAO"/>
      <sheetName val="-22-VARIOS"/>
      <sheetName val="-23-TERCEIROS"/>
      <sheetName val="Ingles"/>
      <sheetName val="solo_i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a"/>
      <sheetName val="Solo I"/>
      <sheetName val="SoloII"/>
      <sheetName val="Solo_I"/>
    </sheetNames>
    <sheetDataSet>
      <sheetData sheetId="0" refreshError="1"/>
      <sheetData sheetId="1"/>
      <sheetData sheetId="2" refreshError="1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COPO (2)"/>
      <sheetName val="ESCOPO"/>
      <sheetName val="Ajuda"/>
      <sheetName val="ÍNDICE"/>
      <sheetName val="ANEXO_1"/>
      <sheetName val="RESUMO"/>
      <sheetName val="DADOS"/>
      <sheetName val="-01-MOD"/>
      <sheetName val="13-MAT-FERR"/>
      <sheetName val="14-MAT.SEG "/>
      <sheetName val="15-DIVERSOS"/>
      <sheetName val="16-EQUIP."/>
      <sheetName val="16-CUSTO_EQUIPTO"/>
      <sheetName val="Plan1"/>
      <sheetName val="-17-MOI"/>
      <sheetName val="cro moi"/>
      <sheetName val="-18-CANTEIRO"/>
      <sheetName val="-19-TRANSP.PESSOAL"/>
      <sheetName val="-20-MOB-DESMOB "/>
      <sheetName val="-21-REFEICAO"/>
      <sheetName val="-22-VARIOS"/>
      <sheetName val="-23-TERCEIROS"/>
      <sheetName val="coef definido - + usual"/>
      <sheetName val="venda definida"/>
      <sheetName val="CASH_FLOW"/>
      <sheetName val="GRAF-CASH-FLOW"/>
      <sheetName val="CURVA-S"/>
      <sheetName val="GRÁF-RESUMO"/>
      <sheetName val="cro mod"/>
      <sheetName val="cro equi"/>
      <sheetName val="DESVIOS"/>
      <sheetName val="memoria1"/>
      <sheetName val="memoria"/>
      <sheetName val="tarifa"/>
      <sheetName val="Plan2"/>
      <sheetName val="Planilha"/>
      <sheetName val="_01_MOD"/>
      <sheetName val="13_MAT_FERR"/>
      <sheetName val="14_MAT_SEG "/>
      <sheetName val="15_DIVERSOS"/>
      <sheetName val="16_EQUIP_"/>
      <sheetName val="16_CUSTO_EQUIPTO"/>
      <sheetName val="_17_MOI"/>
      <sheetName val="_18_CANTEIRO"/>
      <sheetName val="_19_TRANSP_PESSOAL"/>
      <sheetName val="_20_MOB_DESMOB "/>
      <sheetName val="_21_REFEICAO"/>
      <sheetName val="_22_VARIOS"/>
      <sheetName val="_23_TERCEIROS"/>
      <sheetName val="ESCOPO_(2)"/>
      <sheetName val="14-MAT_SEG_"/>
      <sheetName val="16-EQUIP_"/>
      <sheetName val="cro_moi"/>
      <sheetName val="-19-TRANSP_PESSOAL"/>
      <sheetName val="-20-MOB-DESMOB_"/>
      <sheetName val="coef_definido_-_+_usual"/>
      <sheetName val="venda_definida"/>
      <sheetName val="cro_mod"/>
      <sheetName val="cro_equi"/>
      <sheetName val="14_MAT_SEG_"/>
      <sheetName val="_20_MOB_DESMOB_"/>
      <sheetName val="Plan3"/>
      <sheetName val="erection"/>
      <sheetName val="samarco"/>
      <sheetName val="INSUMOS"/>
      <sheetName val="capa"/>
      <sheetName val="Regula"/>
      <sheetName val="listagem"/>
      <sheetName val="ESCOPO_(2)1"/>
      <sheetName val="14-MAT_SEG_1"/>
      <sheetName val="16-EQUIP_1"/>
      <sheetName val="cro_moi1"/>
      <sheetName val="-19-TRANSP_PESSOAL1"/>
      <sheetName val="-20-MOB-DESMOB_1"/>
      <sheetName val="coef_definido_-_+_usual1"/>
      <sheetName val="venda_definida1"/>
      <sheetName val="cro_mod1"/>
      <sheetName val="cro_equi1"/>
      <sheetName val="14_MAT_SEG_1"/>
      <sheetName val="_20_MOB_DESMOB_1"/>
    </sheetNames>
    <sheetDataSet>
      <sheetData sheetId="0"/>
      <sheetData sheetId="1"/>
      <sheetData sheetId="2">
        <row r="1">
          <cell r="A1" t="str">
            <v>QUADRO 01 - MOD</v>
          </cell>
        </row>
      </sheetData>
      <sheetData sheetId="3">
        <row r="1">
          <cell r="A1" t="str">
            <v>1 -  MÃO DE OBRA DIRETA</v>
          </cell>
        </row>
      </sheetData>
      <sheetData sheetId="4">
        <row r="1">
          <cell r="A1" t="str">
            <v>13 -  MATERIAIS E FERRAMENTAS</v>
          </cell>
        </row>
      </sheetData>
      <sheetData sheetId="5">
        <row r="1">
          <cell r="A1" t="str">
            <v>14 -  MATERIAL DE SEGURANÇA</v>
          </cell>
        </row>
      </sheetData>
      <sheetData sheetId="6">
        <row r="1">
          <cell r="A1" t="str">
            <v>QUADRO 01 - MOD</v>
          </cell>
        </row>
      </sheetData>
      <sheetData sheetId="7">
        <row r="1">
          <cell r="A1" t="str">
            <v>1 -  MÃO DE OBRA DIRETA</v>
          </cell>
        </row>
      </sheetData>
      <sheetData sheetId="8">
        <row r="1">
          <cell r="A1" t="str">
            <v>13 -  MATERIAIS E FERRAMENTAS</v>
          </cell>
        </row>
        <row r="2">
          <cell r="A2" t="str">
            <v>13.1 - MATERIAL CONSUMO / GASES</v>
          </cell>
        </row>
        <row r="5">
          <cell r="A5" t="str">
            <v>13.2 - MATERIAL APLICAÇÃO</v>
          </cell>
        </row>
        <row r="39">
          <cell r="A39" t="str">
            <v>13.3 -FERRAMENTAS</v>
          </cell>
        </row>
      </sheetData>
      <sheetData sheetId="9">
        <row r="1">
          <cell r="A1" t="str">
            <v>14 -  MATERIAL DE SEGURANÇA</v>
          </cell>
        </row>
      </sheetData>
      <sheetData sheetId="10">
        <row r="1">
          <cell r="A1" t="str">
            <v>15 -  DIVERSOS</v>
          </cell>
        </row>
        <row r="14">
          <cell r="A14" t="str">
            <v>EXAMES MÉDICOS ADMISSIONAIS</v>
          </cell>
        </row>
      </sheetData>
      <sheetData sheetId="11">
        <row r="1">
          <cell r="A1" t="str">
            <v xml:space="preserve">16 - EQUIPAMENTOS </v>
          </cell>
        </row>
        <row r="4">
          <cell r="A4" t="str">
            <v>16.1 - EQUIPAMENTOS MAIORES</v>
          </cell>
        </row>
        <row r="53">
          <cell r="A53" t="str">
            <v>16.2 - EQUIPAMENTOS MENORES</v>
          </cell>
        </row>
      </sheetData>
      <sheetData sheetId="12">
        <row r="1">
          <cell r="A1" t="str">
            <v>CUSTO DE COMBUSTÍVEL E LUFRIFICANTES</v>
          </cell>
        </row>
      </sheetData>
      <sheetData sheetId="13">
        <row r="1">
          <cell r="A1" t="str">
            <v>21 - REFEIÇÃO/REFEITÓRIO</v>
          </cell>
        </row>
      </sheetData>
      <sheetData sheetId="14">
        <row r="1">
          <cell r="A1" t="str">
            <v>17 - DIREÇÃO TÉCNICA ADMINISTRATIVA</v>
          </cell>
        </row>
        <row r="5">
          <cell r="A5" t="str">
            <v>17.1 - MENSALISTA</v>
          </cell>
        </row>
        <row r="95">
          <cell r="A95" t="str">
            <v>17.2 - HORISTA</v>
          </cell>
        </row>
      </sheetData>
      <sheetData sheetId="15">
        <row r="1">
          <cell r="A1" t="str">
            <v>23 - SERVIÇOS DE TERCEIROS</v>
          </cell>
        </row>
      </sheetData>
      <sheetData sheetId="16">
        <row r="1">
          <cell r="A1" t="str">
            <v xml:space="preserve">18 - CANTEIRO - INSTALAÇÃO - MANUTENÇÃO </v>
          </cell>
        </row>
      </sheetData>
      <sheetData sheetId="17">
        <row r="1">
          <cell r="A1" t="str">
            <v>19 - TRANSPORTE DE PESSOAL</v>
          </cell>
        </row>
      </sheetData>
      <sheetData sheetId="18">
        <row r="1">
          <cell r="A1" t="str">
            <v>20 - MOBILIZAÇÃO / DESMOBILIZAÇÃO</v>
          </cell>
        </row>
      </sheetData>
      <sheetData sheetId="19">
        <row r="1">
          <cell r="A1" t="str">
            <v>21 - REFEIÇÃO/REFEITÓRIO</v>
          </cell>
        </row>
      </sheetData>
      <sheetData sheetId="20">
        <row r="1">
          <cell r="A1" t="str">
            <v>22 - VÁRIOS</v>
          </cell>
        </row>
      </sheetData>
      <sheetData sheetId="21">
        <row r="1">
          <cell r="A1" t="str">
            <v>23 - SERVIÇOS DE TERCEIROS</v>
          </cell>
        </row>
      </sheetData>
      <sheetData sheetId="22"/>
      <sheetData sheetId="23"/>
      <sheetData sheetId="24">
        <row r="6">
          <cell r="B6" t="str">
            <v>CUSTO TOTAL CORRIGIDO</v>
          </cell>
        </row>
      </sheetData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>
        <row r="1">
          <cell r="A1" t="str">
            <v>14 -  MATERIAL DE SEGURANÇA</v>
          </cell>
        </row>
      </sheetData>
      <sheetData sheetId="51">
        <row r="1">
          <cell r="A1" t="str">
            <v xml:space="preserve">16 - EQUIPAMENTOS </v>
          </cell>
        </row>
      </sheetData>
      <sheetData sheetId="52"/>
      <sheetData sheetId="53">
        <row r="1">
          <cell r="A1" t="str">
            <v>19 - TRANSPORTE DE PESSOAL</v>
          </cell>
        </row>
      </sheetData>
      <sheetData sheetId="54">
        <row r="1">
          <cell r="A1" t="str">
            <v>20 - MOBILIZAÇÃO / DESMOBILIZAÇÃO</v>
          </cell>
        </row>
      </sheetData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COPO (2)"/>
      <sheetName val="ESCOPO"/>
      <sheetName val="Ajuda"/>
      <sheetName val="ÍNDICE"/>
      <sheetName val="ANEXO_1"/>
      <sheetName val="RESUMO"/>
      <sheetName val="DADOS"/>
      <sheetName val="-01-MOD"/>
      <sheetName val="13-MAT-FERR"/>
      <sheetName val="14-MAT.SEG "/>
      <sheetName val="15-DIVERSOS"/>
      <sheetName val="16-EQUIP."/>
      <sheetName val="16-CUSTO_EQUIPTO"/>
      <sheetName val="Plan1"/>
      <sheetName val="-17-MOI"/>
      <sheetName val="cro moi"/>
      <sheetName val="-18-CANTEIRO"/>
      <sheetName val="-19-TRANSP.PESSOAL"/>
      <sheetName val="-20-MOB-DESMOB "/>
      <sheetName val="-21-REFEICAO"/>
      <sheetName val="-22-VARIOS"/>
      <sheetName val="-23-TERCEIROS"/>
      <sheetName val="coef definido - + usual"/>
      <sheetName val="venda definida"/>
      <sheetName val="CASH_FLOW"/>
      <sheetName val="GRAF-CASH-FLOW"/>
      <sheetName val="CURVA-S"/>
      <sheetName val="GRÁF-RESUMO"/>
      <sheetName val="cro mod"/>
      <sheetName val="cro equi"/>
      <sheetName val="DESVIOS"/>
      <sheetName val="memoria1"/>
      <sheetName val="memoria"/>
      <sheetName val="tarifa"/>
      <sheetName val="Plan2"/>
      <sheetName val="Planilha"/>
      <sheetName val="ESCOPO_(2)"/>
      <sheetName val="14-MAT_SEG_"/>
      <sheetName val="16-EQUIP_"/>
      <sheetName val="cro_moi"/>
      <sheetName val="-19-TRANSP_PESSOAL"/>
      <sheetName val="-20-MOB-DESMOB_"/>
      <sheetName val="coef_definido_-_+_usual"/>
      <sheetName val="venda_definida"/>
      <sheetName val="cro_mod"/>
      <sheetName val="cro_equi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A1" t="str">
            <v>QUADRO 01 - MOD</v>
          </cell>
        </row>
      </sheetData>
      <sheetData sheetId="7">
        <row r="1">
          <cell r="A1" t="str">
            <v>1 -  MÃO DE OBRA DIRETA</v>
          </cell>
        </row>
      </sheetData>
      <sheetData sheetId="8">
        <row r="1">
          <cell r="A1" t="str">
            <v>13 -  MATERIAIS E FERRAMENTAS</v>
          </cell>
        </row>
      </sheetData>
      <sheetData sheetId="9">
        <row r="1">
          <cell r="A1" t="str">
            <v>14 -  MATERIAL DE SEGURANÇA</v>
          </cell>
        </row>
      </sheetData>
      <sheetData sheetId="10">
        <row r="1">
          <cell r="A1" t="str">
            <v>15 -  DIVERSOS</v>
          </cell>
        </row>
      </sheetData>
      <sheetData sheetId="11">
        <row r="1">
          <cell r="A1" t="str">
            <v xml:space="preserve">16 - EQUIPAMENTOS </v>
          </cell>
        </row>
      </sheetData>
      <sheetData sheetId="12">
        <row r="1">
          <cell r="A1" t="str">
            <v>CUSTO DE COMBUSTÍVEL E LUFRIFICANTES</v>
          </cell>
        </row>
      </sheetData>
      <sheetData sheetId="13"/>
      <sheetData sheetId="14">
        <row r="1">
          <cell r="A1" t="str">
            <v>17 - DIREÇÃO TÉCNICA ADMINISTRATIVA</v>
          </cell>
        </row>
      </sheetData>
      <sheetData sheetId="15"/>
      <sheetData sheetId="16">
        <row r="1">
          <cell r="A1" t="str">
            <v xml:space="preserve">18 - CANTEIRO - INSTALAÇÃO - MANUTENÇÃO </v>
          </cell>
        </row>
      </sheetData>
      <sheetData sheetId="17">
        <row r="1">
          <cell r="A1" t="str">
            <v>19 - TRANSPORTE DE PESSOAL</v>
          </cell>
        </row>
      </sheetData>
      <sheetData sheetId="18">
        <row r="1">
          <cell r="A1" t="str">
            <v>20 - MOBILIZAÇÃO / DESMOBILIZAÇÃO</v>
          </cell>
        </row>
      </sheetData>
      <sheetData sheetId="19">
        <row r="1">
          <cell r="A1" t="str">
            <v>21 - REFEIÇÃO/REFEITÓRIO</v>
          </cell>
        </row>
      </sheetData>
      <sheetData sheetId="20">
        <row r="1">
          <cell r="A1" t="str">
            <v>22 - VÁRIOS</v>
          </cell>
        </row>
      </sheetData>
      <sheetData sheetId="21">
        <row r="1">
          <cell r="A1" t="str">
            <v>23 - SERVIÇOS DE TERCEIROS</v>
          </cell>
        </row>
      </sheetData>
      <sheetData sheetId="22"/>
      <sheetData sheetId="23"/>
      <sheetData sheetId="24">
        <row r="6">
          <cell r="B6" t="str">
            <v>CUSTO TOTAL CORRIGIDO</v>
          </cell>
        </row>
      </sheetData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a"/>
      <sheetName val="Solo I"/>
      <sheetName val="SoloII"/>
      <sheetName val="Solo_I"/>
    </sheetNames>
    <sheetDataSet>
      <sheetData sheetId="0" refreshError="1"/>
      <sheetData sheetId="1"/>
      <sheetData sheetId="2" refreshError="1"/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AGEM"/>
      <sheetName val="BANCO DE DADOS"/>
      <sheetName val="CÁLCULO"/>
      <sheetName val="SOMATÓRIO"/>
      <sheetName val="BANCO_DE_DADOS"/>
      <sheetName val="BANCO_DE_DADOS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HOURS"/>
      <sheetName val="PRECIOS EQUIPOS"/>
      <sheetName val="COTIZACIONES EQ.MECANICAS"/>
      <sheetName val="Sheet2"/>
      <sheetName val="Sheet1"/>
      <sheetName val="Final Summary"/>
      <sheetName val="Estimate"/>
      <sheetName val="Chart"/>
      <sheetName val="Risk Model"/>
      <sheetName val="PRECIOS_EQUIPOS"/>
      <sheetName val="COTIZACIONES_EQ_MECANICAS"/>
      <sheetName val="Final_Summary"/>
      <sheetName val="Risk_Model"/>
      <sheetName val="PRECIOS_EQUIPOS1"/>
      <sheetName val="COTIZACIONES_EQ_MECANICAS1"/>
      <sheetName val="Final_Summary1"/>
      <sheetName val="Risk_Model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gles"/>
      <sheetName val="Metrico"/>
      <sheetName val="Plan3"/>
      <sheetName val="Plan4"/>
      <sheetName val="Plan5"/>
      <sheetName val="Plan6"/>
      <sheetName val="Plan7"/>
      <sheetName val="Plan8"/>
      <sheetName val="Plan9"/>
      <sheetName val="Plan10"/>
      <sheetName val="Plan11"/>
      <sheetName val="Plan12"/>
      <sheetName val="Plan13"/>
      <sheetName val="Plan14"/>
      <sheetName val="solo i"/>
      <sheetName val="plan2"/>
      <sheetName val="erection"/>
      <sheetName val="Ajuda"/>
      <sheetName val="CASH_FLOW"/>
      <sheetName val="16-CUSTO_EQUIPTO"/>
      <sheetName val="DADOS"/>
      <sheetName val="15-DIVERSOS"/>
      <sheetName val="ÍNDICE"/>
      <sheetName val="13-MAT-FERR"/>
      <sheetName val="14-MAT.SEG "/>
      <sheetName val="16-EQUIP."/>
      <sheetName val="-17-MOI"/>
      <sheetName val="-18-CANTEIRO"/>
      <sheetName val="-19-TRANSP.PESSOAL"/>
      <sheetName val="-01-MOD"/>
      <sheetName val="-20-MOB-DESMOB "/>
      <sheetName val="-21-REFEICAO"/>
      <sheetName val="-22-VARIOS"/>
      <sheetName val="-23-TERCEIROS"/>
      <sheetName val="Tabela"/>
      <sheetName val="Preços_BSTC"/>
      <sheetName val="COD"/>
      <sheetName val="solo_i"/>
    </sheetNames>
    <sheetDataSet>
      <sheetData sheetId="0">
        <row r="7">
          <cell r="B7" t="str">
            <v>1/8"</v>
          </cell>
          <cell r="C7">
            <v>0.40500000000000003</v>
          </cell>
          <cell r="D7" t="str">
            <v>10S</v>
          </cell>
          <cell r="E7">
            <v>4.9000000000000002E-2</v>
          </cell>
          <cell r="F7">
            <v>4.2875000000000003E-2</v>
          </cell>
          <cell r="G7">
            <v>0.30700000000000005</v>
          </cell>
          <cell r="H7">
            <v>5.4801942249220352E-2</v>
          </cell>
          <cell r="I7">
            <v>8.8461980202969635E-4</v>
          </cell>
          <cell r="J7">
            <v>4.3684928495293643E-3</v>
          </cell>
          <cell r="K7">
            <v>0.12705166272032808</v>
          </cell>
          <cell r="L7">
            <v>0.18674535203851339</v>
          </cell>
          <cell r="M7">
            <v>3.213296686663538E-2</v>
          </cell>
          <cell r="N7">
            <v>0.21887831890514878</v>
          </cell>
        </row>
        <row r="8">
          <cell r="B8" t="str">
            <v>1/8"</v>
          </cell>
          <cell r="C8">
            <v>0.40500000000000003</v>
          </cell>
          <cell r="D8" t="str">
            <v>Std    40   40S</v>
          </cell>
          <cell r="E8">
            <v>6.8000000000000005E-2</v>
          </cell>
          <cell r="F8">
            <v>5.9500000000000004E-2</v>
          </cell>
          <cell r="G8">
            <v>0.26900000000000002</v>
          </cell>
          <cell r="H8">
            <v>7.1992737249663721E-2</v>
          </cell>
          <cell r="I8">
            <v>1.0636296992186881E-3</v>
          </cell>
          <cell r="J8">
            <v>5.2524923418206821E-3</v>
          </cell>
          <cell r="K8">
            <v>0.1215488584890866</v>
          </cell>
          <cell r="L8">
            <v>0.24532541202216088</v>
          </cell>
          <cell r="M8">
            <v>2.4670538843240799E-2</v>
          </cell>
          <cell r="N8">
            <v>0.26999595086540168</v>
          </cell>
        </row>
        <row r="9">
          <cell r="B9" t="str">
            <v>1/8"</v>
          </cell>
          <cell r="C9">
            <v>0.40500000000000003</v>
          </cell>
          <cell r="D9" t="str">
            <v>XS     80   80S</v>
          </cell>
          <cell r="E9">
            <v>9.5000000000000001E-2</v>
          </cell>
          <cell r="F9">
            <v>8.3125000000000004E-2</v>
          </cell>
          <cell r="G9">
            <v>0.21500000000000002</v>
          </cell>
          <cell r="H9">
            <v>9.2519903648219423E-2</v>
          </cell>
          <cell r="I9">
            <v>1.2157693588773835E-3</v>
          </cell>
          <cell r="J9">
            <v>6.0037993030981895E-3</v>
          </cell>
          <cell r="K9">
            <v>0.11463256518110376</v>
          </cell>
          <cell r="L9">
            <v>0.3152746283842135</v>
          </cell>
          <cell r="M9">
            <v>1.5759810644253205E-2</v>
          </cell>
          <cell r="N9">
            <v>0.33103443902846669</v>
          </cell>
        </row>
        <row r="10">
          <cell r="B10" t="str">
            <v>1/4"</v>
          </cell>
          <cell r="C10">
            <v>0.54</v>
          </cell>
          <cell r="D10" t="str">
            <v>10S</v>
          </cell>
          <cell r="E10">
            <v>6.5000000000000002E-2</v>
          </cell>
          <cell r="F10">
            <v>5.6875000000000002E-2</v>
          </cell>
          <cell r="G10">
            <v>0.41000000000000003</v>
          </cell>
          <cell r="H10">
            <v>9.6996673179584866E-2</v>
          </cell>
          <cell r="I10">
            <v>2.7868356662909479E-3</v>
          </cell>
          <cell r="J10">
            <v>1.0321613578855362E-2</v>
          </cell>
          <cell r="K10">
            <v>0.16950294982683931</v>
          </cell>
          <cell r="L10">
            <v>0.3305298523382883</v>
          </cell>
          <cell r="M10">
            <v>5.7311501769582787E-2</v>
          </cell>
          <cell r="N10">
            <v>0.38784135410787107</v>
          </cell>
        </row>
        <row r="11">
          <cell r="B11" t="str">
            <v>1/4"</v>
          </cell>
          <cell r="C11">
            <v>0.54</v>
          </cell>
          <cell r="D11" t="str">
            <v>Std    40   40S</v>
          </cell>
          <cell r="E11">
            <v>8.7999999999999995E-2</v>
          </cell>
          <cell r="F11">
            <v>7.6999999999999999E-2</v>
          </cell>
          <cell r="G11">
            <v>0.36400000000000005</v>
          </cell>
          <cell r="H11">
            <v>0.12495998938918761</v>
          </cell>
          <cell r="I11">
            <v>3.3121894787498077E-3</v>
          </cell>
          <cell r="J11">
            <v>1.2267368439814103E-2</v>
          </cell>
          <cell r="K11">
            <v>0.16280663377147753</v>
          </cell>
          <cell r="L11">
            <v>0.42581879859458316</v>
          </cell>
          <cell r="M11">
            <v>4.5172782501264969E-2</v>
          </cell>
          <cell r="N11">
            <v>0.47099158109584816</v>
          </cell>
        </row>
        <row r="12">
          <cell r="B12" t="str">
            <v>1/4"</v>
          </cell>
          <cell r="C12">
            <v>0.54</v>
          </cell>
          <cell r="D12" t="str">
            <v>XS     80   80S</v>
          </cell>
          <cell r="E12">
            <v>0.11899999999999999</v>
          </cell>
          <cell r="F12">
            <v>0.104125</v>
          </cell>
          <cell r="G12">
            <v>0.30200000000000005</v>
          </cell>
          <cell r="H12">
            <v>0.15739065035219507</v>
          </cell>
          <cell r="I12">
            <v>3.7656106573388552E-3</v>
          </cell>
          <cell r="J12">
            <v>1.3946706138292055E-2</v>
          </cell>
          <cell r="K12">
            <v>0.15467789111569888</v>
          </cell>
          <cell r="L12">
            <v>0.53633085254399704</v>
          </cell>
          <cell r="M12">
            <v>3.1094813845288678E-2</v>
          </cell>
          <cell r="N12">
            <v>0.56742566638928571</v>
          </cell>
        </row>
        <row r="13">
          <cell r="B13" t="str">
            <v>3/8"</v>
          </cell>
          <cell r="C13">
            <v>0.67500000000000004</v>
          </cell>
          <cell r="D13" t="str">
            <v>10S</v>
          </cell>
          <cell r="E13">
            <v>6.5000000000000002E-2</v>
          </cell>
          <cell r="F13">
            <v>5.6875000000000002E-2</v>
          </cell>
          <cell r="G13">
            <v>0.54500000000000004</v>
          </cell>
          <cell r="H13">
            <v>0.12456414871483532</v>
          </cell>
          <cell r="I13">
            <v>5.8595754081388011E-3</v>
          </cell>
          <cell r="J13">
            <v>1.7361704913003855E-2</v>
          </cell>
          <cell r="K13">
            <v>0.21688850822484812</v>
          </cell>
          <cell r="L13">
            <v>0.42446991563443343</v>
          </cell>
          <cell r="M13">
            <v>0.10126679841231605</v>
          </cell>
          <cell r="N13">
            <v>0.52573671404674949</v>
          </cell>
        </row>
        <row r="14">
          <cell r="B14" t="str">
            <v>3/8"</v>
          </cell>
          <cell r="C14">
            <v>0.67500000000000004</v>
          </cell>
          <cell r="D14" t="str">
            <v>Std    40   40S</v>
          </cell>
          <cell r="E14">
            <v>9.0999999999999998E-2</v>
          </cell>
          <cell r="F14">
            <v>7.9625000000000001E-2</v>
          </cell>
          <cell r="G14">
            <v>0.49300000000000005</v>
          </cell>
          <cell r="H14">
            <v>0.16695679998237598</v>
          </cell>
          <cell r="I14">
            <v>7.2905234544304118E-3</v>
          </cell>
          <cell r="J14">
            <v>2.1601550976090109E-2</v>
          </cell>
          <cell r="K14">
            <v>0.20896680358372718</v>
          </cell>
          <cell r="L14">
            <v>0.56892885741428323</v>
          </cell>
          <cell r="M14">
            <v>8.2864385446730082E-2</v>
          </cell>
          <cell r="N14">
            <v>0.65179324286101337</v>
          </cell>
        </row>
        <row r="15">
          <cell r="B15" t="str">
            <v>3/8"</v>
          </cell>
          <cell r="C15">
            <v>0.67500000000000004</v>
          </cell>
          <cell r="D15" t="str">
            <v>XS     80   80S</v>
          </cell>
          <cell r="E15">
            <v>0.126</v>
          </cell>
          <cell r="F15">
            <v>0.11025</v>
          </cell>
          <cell r="G15">
            <v>0.42300000000000004</v>
          </cell>
          <cell r="H15">
            <v>0.21731653021942038</v>
          </cell>
          <cell r="I15">
            <v>8.6186920948033811E-3</v>
          </cell>
          <cell r="J15">
            <v>2.553686546608409E-2</v>
          </cell>
          <cell r="K15">
            <v>0.19914724452022931</v>
          </cell>
          <cell r="L15">
            <v>0.74053674512222689</v>
          </cell>
          <cell r="M15">
            <v>6.10035080317054E-2</v>
          </cell>
          <cell r="N15">
            <v>0.80154025315393229</v>
          </cell>
        </row>
        <row r="16">
          <cell r="B16" t="str">
            <v>1/2"</v>
          </cell>
          <cell r="C16">
            <v>0.84</v>
          </cell>
          <cell r="D16" t="str">
            <v>10S</v>
          </cell>
          <cell r="E16">
            <v>8.3000000000000004E-2</v>
          </cell>
          <cell r="F16">
            <v>7.2625000000000009E-2</v>
          </cell>
          <cell r="G16">
            <v>0.67399999999999993</v>
          </cell>
          <cell r="H16">
            <v>0.19738940801770027</v>
          </cell>
          <cell r="I16">
            <v>1.4309202313371133E-2</v>
          </cell>
          <cell r="J16">
            <v>3.4069529317550321E-2</v>
          </cell>
          <cell r="K16">
            <v>0.26924384858339845</v>
          </cell>
          <cell r="L16">
            <v>0.67263226404103615</v>
          </cell>
          <cell r="M16">
            <v>0.15487947518071971</v>
          </cell>
          <cell r="N16">
            <v>0.82751173922175592</v>
          </cell>
        </row>
        <row r="17">
          <cell r="B17" t="str">
            <v>1/2"</v>
          </cell>
          <cell r="C17">
            <v>0.84</v>
          </cell>
          <cell r="D17" t="str">
            <v>Std    40   40S</v>
          </cell>
          <cell r="E17">
            <v>0.109</v>
          </cell>
          <cell r="F17">
            <v>9.5375000000000001E-2</v>
          </cell>
          <cell r="G17">
            <v>0.622</v>
          </cell>
          <cell r="H17">
            <v>0.25031896104538104</v>
          </cell>
          <cell r="I17">
            <v>1.709184123991888E-2</v>
          </cell>
          <cell r="J17">
            <v>4.069486009504495E-2</v>
          </cell>
          <cell r="K17">
            <v>0.26130489853808714</v>
          </cell>
          <cell r="L17">
            <v>0.85299718556963444</v>
          </cell>
          <cell r="M17">
            <v>0.13190305205605748</v>
          </cell>
          <cell r="N17">
            <v>0.9849002376256919</v>
          </cell>
        </row>
        <row r="18">
          <cell r="B18" t="str">
            <v>1/2"</v>
          </cell>
          <cell r="C18">
            <v>0.84</v>
          </cell>
          <cell r="D18" t="str">
            <v>XS     80   80S</v>
          </cell>
          <cell r="E18">
            <v>0.14699999999999999</v>
          </cell>
          <cell r="F18">
            <v>0.12862499999999999</v>
          </cell>
          <cell r="G18">
            <v>0.54600000000000004</v>
          </cell>
          <cell r="H18">
            <v>0.32003718521384572</v>
          </cell>
          <cell r="I18">
            <v>2.0076652712131274E-2</v>
          </cell>
          <cell r="J18">
            <v>4.7801554076503036E-2</v>
          </cell>
          <cell r="K18">
            <v>0.25046406927940784</v>
          </cell>
          <cell r="L18">
            <v>1.0905718732810934</v>
          </cell>
          <cell r="M18">
            <v>0.10163876062784619</v>
          </cell>
          <cell r="N18">
            <v>1.1922106339089396</v>
          </cell>
        </row>
        <row r="19">
          <cell r="B19" t="str">
            <v>1/2"</v>
          </cell>
          <cell r="C19">
            <v>0.84</v>
          </cell>
          <cell r="D19" t="str">
            <v>160</v>
          </cell>
          <cell r="E19">
            <v>0.187</v>
          </cell>
          <cell r="F19">
            <v>0.16362499999999999</v>
          </cell>
          <cell r="G19">
            <v>0.46599999999999997</v>
          </cell>
          <cell r="H19">
            <v>0.38362302052250319</v>
          </cell>
          <cell r="I19">
            <v>2.2124402745328932E-2</v>
          </cell>
          <cell r="J19">
            <v>5.2677149393640314E-2</v>
          </cell>
          <cell r="K19">
            <v>0.24015047366182726</v>
          </cell>
          <cell r="L19">
            <v>1.3072495805305495</v>
          </cell>
          <cell r="M19">
            <v>7.4036504927278507E-2</v>
          </cell>
          <cell r="N19">
            <v>1.3812860854578279</v>
          </cell>
        </row>
        <row r="20">
          <cell r="B20" t="str">
            <v>1/2"</v>
          </cell>
          <cell r="C20">
            <v>0.84</v>
          </cell>
          <cell r="D20" t="str">
            <v>XXS</v>
          </cell>
          <cell r="E20">
            <v>0.29399999999999998</v>
          </cell>
          <cell r="F20">
            <v>0.25724999999999998</v>
          </cell>
          <cell r="G20">
            <v>0.252</v>
          </cell>
          <cell r="H20">
            <v>0.50430101912484782</v>
          </cell>
          <cell r="I20">
            <v>2.4241245688312308E-2</v>
          </cell>
          <cell r="J20">
            <v>5.7717251638838833E-2</v>
          </cell>
          <cell r="K20">
            <v>0.21924643668712154</v>
          </cell>
          <cell r="L20">
            <v>1.7184768912308137</v>
          </cell>
          <cell r="M20">
            <v>2.1650860252085617E-2</v>
          </cell>
          <cell r="N20">
            <v>1.7401277514828992</v>
          </cell>
        </row>
        <row r="21">
          <cell r="B21" t="str">
            <v>3/4"</v>
          </cell>
          <cell r="C21">
            <v>1.05</v>
          </cell>
          <cell r="D21" t="str">
            <v>5S</v>
          </cell>
          <cell r="E21">
            <v>6.5000000000000002E-2</v>
          </cell>
          <cell r="F21">
            <v>5.6875000000000002E-2</v>
          </cell>
          <cell r="G21">
            <v>0.92</v>
          </cell>
          <cell r="H21">
            <v>0.20114046964608651</v>
          </cell>
          <cell r="I21">
            <v>2.4500166330828622E-2</v>
          </cell>
          <cell r="J21">
            <v>4.6666983487292611E-2</v>
          </cell>
          <cell r="K21">
            <v>0.34900752140892322</v>
          </cell>
          <cell r="L21">
            <v>0.68541453590150314</v>
          </cell>
          <cell r="M21">
            <v>0.28856903686957086</v>
          </cell>
          <cell r="N21">
            <v>0.97398357277107395</v>
          </cell>
        </row>
        <row r="22">
          <cell r="B22" t="str">
            <v>3/4"</v>
          </cell>
          <cell r="C22">
            <v>1.05</v>
          </cell>
          <cell r="D22" t="str">
            <v>10S</v>
          </cell>
          <cell r="E22">
            <v>8.3000000000000004E-2</v>
          </cell>
          <cell r="F22">
            <v>7.2625000000000009E-2</v>
          </cell>
          <cell r="G22">
            <v>0.88400000000000001</v>
          </cell>
          <cell r="H22">
            <v>0.25214736796977039</v>
          </cell>
          <cell r="I22">
            <v>2.9689659173178541E-2</v>
          </cell>
          <cell r="J22">
            <v>5.6551731758435315E-2</v>
          </cell>
          <cell r="K22">
            <v>0.34314319168533708</v>
          </cell>
          <cell r="L22">
            <v>0.85922774019508841</v>
          </cell>
          <cell r="M22">
            <v>0.2664272274054198</v>
          </cell>
          <cell r="N22">
            <v>1.1256549676005081</v>
          </cell>
        </row>
        <row r="23">
          <cell r="B23" t="str">
            <v>3/4"</v>
          </cell>
          <cell r="C23">
            <v>1.05</v>
          </cell>
          <cell r="D23" t="str">
            <v>Std    40   40S</v>
          </cell>
          <cell r="E23">
            <v>0.113</v>
          </cell>
          <cell r="F23">
            <v>9.8875000000000005E-2</v>
          </cell>
          <cell r="G23">
            <v>0.82400000000000007</v>
          </cell>
          <cell r="H23">
            <v>0.33263497175474083</v>
          </cell>
          <cell r="I23">
            <v>3.703632618385929E-2</v>
          </cell>
          <cell r="J23">
            <v>7.0545383207351028E-2</v>
          </cell>
          <cell r="K23">
            <v>0.33367986154396551</v>
          </cell>
          <cell r="L23">
            <v>1.1335006087588759</v>
          </cell>
          <cell r="M23">
            <v>0.23148800848009657</v>
          </cell>
          <cell r="N23">
            <v>1.3649886172389725</v>
          </cell>
        </row>
        <row r="24">
          <cell r="B24" t="str">
            <v>3/4"</v>
          </cell>
          <cell r="C24">
            <v>1.05</v>
          </cell>
          <cell r="D24" t="str">
            <v>XS     80   80S</v>
          </cell>
          <cell r="E24">
            <v>0.154</v>
          </cell>
          <cell r="F24">
            <v>0.13475000000000001</v>
          </cell>
          <cell r="G24">
            <v>0.74199999999999999</v>
          </cell>
          <cell r="H24">
            <v>0.43348952071293406</v>
          </cell>
          <cell r="I24">
            <v>4.4786620066737851E-2</v>
          </cell>
          <cell r="J24">
            <v>8.5307847746167328E-2</v>
          </cell>
          <cell r="K24">
            <v>0.32142884126972798</v>
          </cell>
          <cell r="L24">
            <v>1.4771767172484656</v>
          </cell>
          <cell r="M24">
            <v>0.1877076124941616</v>
          </cell>
          <cell r="N24">
            <v>1.6648843297426272</v>
          </cell>
        </row>
        <row r="25">
          <cell r="B25" t="str">
            <v>3/4"</v>
          </cell>
          <cell r="C25">
            <v>1.05</v>
          </cell>
          <cell r="D25">
            <v>160</v>
          </cell>
          <cell r="E25">
            <v>0.218</v>
          </cell>
          <cell r="F25">
            <v>0.19075</v>
          </cell>
          <cell r="G25">
            <v>0.6140000000000001</v>
          </cell>
          <cell r="H25">
            <v>0.56980950913750228</v>
          </cell>
          <cell r="I25">
            <v>5.2689430595681132E-2</v>
          </cell>
          <cell r="J25">
            <v>0.10036082018224977</v>
          </cell>
          <cell r="K25">
            <v>0.30408633642437799</v>
          </cell>
          <cell r="L25">
            <v>1.9417063157152834</v>
          </cell>
          <cell r="M25">
            <v>0.12853186746654152</v>
          </cell>
          <cell r="N25">
            <v>2.0702381831818251</v>
          </cell>
        </row>
        <row r="26">
          <cell r="B26" t="str">
            <v>3/4"</v>
          </cell>
          <cell r="C26">
            <v>1.05</v>
          </cell>
          <cell r="D26" t="str">
            <v>XXS</v>
          </cell>
          <cell r="E26">
            <v>0.308</v>
          </cell>
          <cell r="F26">
            <v>0.26950000000000002</v>
          </cell>
          <cell r="G26">
            <v>0.43400000000000005</v>
          </cell>
          <cell r="H26">
            <v>0.71796701868079693</v>
          </cell>
          <cell r="I26">
            <v>5.7924502116638674E-2</v>
          </cell>
          <cell r="J26">
            <v>0.11033238498407366</v>
          </cell>
          <cell r="K26">
            <v>0.28403960991382876</v>
          </cell>
          <cell r="L26">
            <v>2.4465739379427709</v>
          </cell>
          <cell r="M26">
            <v>6.4217520685969864E-2</v>
          </cell>
          <cell r="N26">
            <v>2.5107914586287405</v>
          </cell>
        </row>
        <row r="27">
          <cell r="B27" t="str">
            <v>1"</v>
          </cell>
          <cell r="C27">
            <v>1.3149999999999999</v>
          </cell>
          <cell r="D27" t="str">
            <v>5S</v>
          </cell>
          <cell r="E27">
            <v>6.5000000000000002E-2</v>
          </cell>
          <cell r="F27">
            <v>5.6875000000000002E-2</v>
          </cell>
          <cell r="G27">
            <v>1.1850000000000001</v>
          </cell>
          <cell r="H27">
            <v>0.25525440310417047</v>
          </cell>
          <cell r="I27">
            <v>4.9989181837922683E-2</v>
          </cell>
          <cell r="J27">
            <v>7.6029173897981264E-2</v>
          </cell>
          <cell r="K27">
            <v>0.44253884010332922</v>
          </cell>
          <cell r="L27">
            <v>0.86981540089023157</v>
          </cell>
          <cell r="M27">
            <v>0.4787521925781818</v>
          </cell>
          <cell r="N27">
            <v>1.3485675934684134</v>
          </cell>
        </row>
        <row r="28">
          <cell r="B28" t="str">
            <v>1"</v>
          </cell>
          <cell r="C28">
            <v>1.3149999999999999</v>
          </cell>
          <cell r="D28" t="str">
            <v>10S</v>
          </cell>
          <cell r="E28">
            <v>0.109</v>
          </cell>
          <cell r="F28">
            <v>9.5375000000000001E-2</v>
          </cell>
          <cell r="G28">
            <v>1.097</v>
          </cell>
          <cell r="H28">
            <v>0.41297492068499253</v>
          </cell>
          <cell r="I28">
            <v>7.5694018346757014E-2</v>
          </cell>
          <cell r="J28">
            <v>0.11512398227643653</v>
          </cell>
          <cell r="K28">
            <v>0.42812337590932825</v>
          </cell>
          <cell r="L28">
            <v>1.407270322567687</v>
          </cell>
          <cell r="M28">
            <v>0.41028659746003471</v>
          </cell>
          <cell r="N28">
            <v>1.8175569200277217</v>
          </cell>
        </row>
        <row r="29">
          <cell r="B29" t="str">
            <v>1"</v>
          </cell>
          <cell r="C29">
            <v>1.3149999999999999</v>
          </cell>
          <cell r="D29" t="str">
            <v>Std    40   40S</v>
          </cell>
          <cell r="E29">
            <v>0.13300000000000001</v>
          </cell>
          <cell r="F29">
            <v>0.11637500000000001</v>
          </cell>
          <cell r="G29">
            <v>1.0489999999999999</v>
          </cell>
          <cell r="H29">
            <v>0.49387721470023688</v>
          </cell>
          <cell r="I29">
            <v>8.734298797021077E-2</v>
          </cell>
          <cell r="J29">
            <v>0.13284104634252589</v>
          </cell>
          <cell r="K29">
            <v>0.42053730512286303</v>
          </cell>
          <cell r="L29">
            <v>1.6829563066135365</v>
          </cell>
          <cell r="M29">
            <v>0.37516736382362081</v>
          </cell>
          <cell r="N29">
            <v>2.0581236704371575</v>
          </cell>
        </row>
        <row r="30">
          <cell r="B30" t="str">
            <v>1"</v>
          </cell>
          <cell r="C30">
            <v>1.3149999999999999</v>
          </cell>
          <cell r="D30" t="str">
            <v>XS     80   80S</v>
          </cell>
          <cell r="E30">
            <v>0.17899999999999999</v>
          </cell>
          <cell r="F30">
            <v>0.15662499999999999</v>
          </cell>
          <cell r="G30">
            <v>0.95699999999999996</v>
          </cell>
          <cell r="H30">
            <v>0.63882401655156285</v>
          </cell>
          <cell r="I30">
            <v>0.10560854979725677</v>
          </cell>
          <cell r="J30">
            <v>0.16062136851293807</v>
          </cell>
          <cell r="K30">
            <v>0.40659208674050701</v>
          </cell>
          <cell r="L30">
            <v>2.1768829892753647</v>
          </cell>
          <cell r="M30">
            <v>0.31224676730619039</v>
          </cell>
          <cell r="N30">
            <v>2.4891297565815549</v>
          </cell>
        </row>
        <row r="31">
          <cell r="B31" t="str">
            <v>1"</v>
          </cell>
          <cell r="C31">
            <v>1.3149999999999999</v>
          </cell>
          <cell r="D31">
            <v>160</v>
          </cell>
          <cell r="E31">
            <v>0.25</v>
          </cell>
          <cell r="F31">
            <v>0.21875</v>
          </cell>
          <cell r="G31">
            <v>0.81499999999999995</v>
          </cell>
          <cell r="H31">
            <v>0.83644904401828235</v>
          </cell>
          <cell r="I31">
            <v>0.12512493527534732</v>
          </cell>
          <cell r="J31">
            <v>0.19030408406896931</v>
          </cell>
          <cell r="K31">
            <v>0.38676947268366457</v>
          </cell>
          <cell r="L31">
            <v>2.8503181598402998</v>
          </cell>
          <cell r="M31">
            <v>0.22645884748900125</v>
          </cell>
          <cell r="N31">
            <v>3.076777007329301</v>
          </cell>
        </row>
        <row r="32">
          <cell r="B32" t="str">
            <v>1"</v>
          </cell>
          <cell r="C32">
            <v>1.3149999999999999</v>
          </cell>
          <cell r="D32" t="str">
            <v>XXS</v>
          </cell>
          <cell r="E32">
            <v>0.35799999999999998</v>
          </cell>
          <cell r="F32">
            <v>0.31324999999999997</v>
          </cell>
          <cell r="G32">
            <v>0.59899999999999998</v>
          </cell>
          <cell r="H32">
            <v>1.0763284926757846</v>
          </cell>
          <cell r="I32">
            <v>0.14046261732799045</v>
          </cell>
          <cell r="J32">
            <v>0.21363135715283721</v>
          </cell>
          <cell r="K32">
            <v>0.36125008650517992</v>
          </cell>
          <cell r="L32">
            <v>3.6677412336910638</v>
          </cell>
          <cell r="M32">
            <v>0.12232851960992305</v>
          </cell>
          <cell r="N32">
            <v>3.7900697533009868</v>
          </cell>
        </row>
        <row r="33">
          <cell r="B33" t="str">
            <v>1 1/4"</v>
          </cell>
          <cell r="C33">
            <v>1.66</v>
          </cell>
          <cell r="D33" t="str">
            <v>5S</v>
          </cell>
          <cell r="E33">
            <v>6.5000000000000002E-2</v>
          </cell>
          <cell r="F33">
            <v>5.6875000000000002E-2</v>
          </cell>
          <cell r="G33">
            <v>1.5299999999999998</v>
          </cell>
          <cell r="H33">
            <v>0.32570461836092202</v>
          </cell>
          <cell r="I33">
            <v>0.10374709921727743</v>
          </cell>
          <cell r="J33">
            <v>0.12499650508105714</v>
          </cell>
          <cell r="K33">
            <v>0.56438572802649778</v>
          </cell>
          <cell r="L33">
            <v>1.1098844515359372</v>
          </cell>
          <cell r="M33">
            <v>0.79809931286386848</v>
          </cell>
          <cell r="N33">
            <v>1.9079837643998057</v>
          </cell>
        </row>
        <row r="34">
          <cell r="B34" t="str">
            <v>1 1/4"</v>
          </cell>
          <cell r="C34">
            <v>1.66</v>
          </cell>
          <cell r="D34" t="str">
            <v>10S</v>
          </cell>
          <cell r="E34">
            <v>0.109</v>
          </cell>
          <cell r="F34">
            <v>9.5375000000000001E-2</v>
          </cell>
          <cell r="G34">
            <v>1.4419999999999999</v>
          </cell>
          <cell r="H34">
            <v>0.53111451242323671</v>
          </cell>
          <cell r="I34">
            <v>0.16049497171524388</v>
          </cell>
          <cell r="J34">
            <v>0.19336743580149865</v>
          </cell>
          <cell r="K34">
            <v>0.54971378916668989</v>
          </cell>
          <cell r="L34">
            <v>1.8098476536504831</v>
          </cell>
          <cell r="M34">
            <v>0.7089320259702957</v>
          </cell>
          <cell r="N34">
            <v>2.5187796796207786</v>
          </cell>
        </row>
        <row r="35">
          <cell r="B35" t="str">
            <v>1 1/4"</v>
          </cell>
          <cell r="C35">
            <v>1.66</v>
          </cell>
          <cell r="D35" t="str">
            <v>Std    40   40S</v>
          </cell>
          <cell r="E35">
            <v>0.14000000000000001</v>
          </cell>
          <cell r="F35">
            <v>0.12250000000000001</v>
          </cell>
          <cell r="G35">
            <v>1.38</v>
          </cell>
          <cell r="H35">
            <v>0.66853091668390807</v>
          </cell>
          <cell r="I35">
            <v>0.19470962948418818</v>
          </cell>
          <cell r="J35">
            <v>0.23458991504119059</v>
          </cell>
          <cell r="K35">
            <v>0.53967582862307251</v>
          </cell>
          <cell r="L35">
            <v>2.2781134438085107</v>
          </cell>
          <cell r="M35">
            <v>0.64928033295653431</v>
          </cell>
          <cell r="N35">
            <v>2.9273937767650451</v>
          </cell>
        </row>
        <row r="36">
          <cell r="B36" t="str">
            <v>1 1/4"</v>
          </cell>
          <cell r="C36">
            <v>1.66</v>
          </cell>
          <cell r="D36" t="str">
            <v>XS     80   80S</v>
          </cell>
          <cell r="E36">
            <v>0.191</v>
          </cell>
          <cell r="F36">
            <v>0.167125</v>
          </cell>
          <cell r="G36">
            <v>1.278</v>
          </cell>
          <cell r="H36">
            <v>0.88146492515157049</v>
          </cell>
          <cell r="I36">
            <v>0.24179045665993276</v>
          </cell>
          <cell r="J36">
            <v>0.29131380320473826</v>
          </cell>
          <cell r="K36">
            <v>0.5237415870446035</v>
          </cell>
          <cell r="L36">
            <v>3.003716127586221</v>
          </cell>
          <cell r="M36">
            <v>0.55684687005491507</v>
          </cell>
          <cell r="N36">
            <v>3.5605629976411359</v>
          </cell>
        </row>
        <row r="37">
          <cell r="B37" t="str">
            <v>1 1/4"</v>
          </cell>
          <cell r="C37">
            <v>1.66</v>
          </cell>
          <cell r="D37">
            <v>160</v>
          </cell>
          <cell r="E37">
            <v>0.25</v>
          </cell>
          <cell r="F37">
            <v>0.21875</v>
          </cell>
          <cell r="G37">
            <v>1.1599999999999999</v>
          </cell>
          <cell r="H37">
            <v>1.107411410390402</v>
          </cell>
          <cell r="I37">
            <v>0.28385722976831979</v>
          </cell>
          <cell r="J37">
            <v>0.34199666237146964</v>
          </cell>
          <cell r="K37">
            <v>0.50628549258298916</v>
          </cell>
          <cell r="L37">
            <v>3.7736606623237772</v>
          </cell>
          <cell r="M37">
            <v>0.45876476371892072</v>
          </cell>
          <cell r="N37">
            <v>4.2324254260426981</v>
          </cell>
        </row>
        <row r="38">
          <cell r="B38" t="str">
            <v>1 1/4"</v>
          </cell>
          <cell r="C38">
            <v>1.66</v>
          </cell>
          <cell r="D38" t="str">
            <v>XXS</v>
          </cell>
          <cell r="E38">
            <v>0.38200000000000001</v>
          </cell>
          <cell r="F38">
            <v>0.33424999999999999</v>
          </cell>
          <cell r="G38">
            <v>0.89599999999999991</v>
          </cell>
          <cell r="H38">
            <v>1.5337129671119225</v>
          </cell>
          <cell r="I38">
            <v>0.34109929759865865</v>
          </cell>
          <cell r="J38">
            <v>0.41096300915501044</v>
          </cell>
          <cell r="K38">
            <v>0.47159410513703409</v>
          </cell>
          <cell r="L38">
            <v>5.2263433778831736</v>
          </cell>
          <cell r="M38">
            <v>0.27370964071772375</v>
          </cell>
          <cell r="N38">
            <v>5.5000530186008971</v>
          </cell>
        </row>
        <row r="39">
          <cell r="B39" t="str">
            <v>1 1/2"</v>
          </cell>
          <cell r="C39">
            <v>1.9</v>
          </cell>
          <cell r="D39" t="str">
            <v>5S</v>
          </cell>
          <cell r="E39">
            <v>6.5000000000000002E-2</v>
          </cell>
          <cell r="F39">
            <v>5.6875000000000002E-2</v>
          </cell>
          <cell r="G39">
            <v>1.77</v>
          </cell>
          <cell r="H39">
            <v>0.37471346375692227</v>
          </cell>
          <cell r="I39">
            <v>0.15791596342290951</v>
          </cell>
          <cell r="J39">
            <v>0.16622732991885211</v>
          </cell>
          <cell r="K39">
            <v>0.64917736405392334</v>
          </cell>
          <cell r="L39">
            <v>1.2768890085068603</v>
          </cell>
          <cell r="M39">
            <v>1.0681213794998567</v>
          </cell>
          <cell r="N39">
            <v>2.3450103880067168</v>
          </cell>
        </row>
        <row r="40">
          <cell r="B40" t="str">
            <v>1 1/2"</v>
          </cell>
          <cell r="C40">
            <v>1.9</v>
          </cell>
          <cell r="D40" t="str">
            <v>10S</v>
          </cell>
          <cell r="E40">
            <v>0.109</v>
          </cell>
          <cell r="F40">
            <v>9.5375000000000001E-2</v>
          </cell>
          <cell r="G40">
            <v>1.6819999999999999</v>
          </cell>
          <cell r="H40">
            <v>0.61329857624114592</v>
          </cell>
          <cell r="I40">
            <v>0.24681909884001205</v>
          </cell>
          <cell r="J40">
            <v>0.25980957772632846</v>
          </cell>
          <cell r="K40">
            <v>0.63438572651029912</v>
          </cell>
          <cell r="L40">
            <v>2.0899014491863421</v>
          </cell>
          <cell r="M40">
            <v>0.9645529157190309</v>
          </cell>
          <cell r="N40">
            <v>3.0544543649053733</v>
          </cell>
        </row>
        <row r="41">
          <cell r="B41" t="str">
            <v>1 1/2"</v>
          </cell>
          <cell r="C41">
            <v>1.9</v>
          </cell>
          <cell r="D41" t="str">
            <v>Std    40   40S</v>
          </cell>
          <cell r="E41">
            <v>0.14499999999999999</v>
          </cell>
          <cell r="F41">
            <v>0.12687499999999999</v>
          </cell>
          <cell r="G41">
            <v>1.6099999999999999</v>
          </cell>
          <cell r="H41">
            <v>0.79945679052226293</v>
          </cell>
          <cell r="I41">
            <v>0.30989443503113295</v>
          </cell>
          <cell r="J41">
            <v>0.32620466845382418</v>
          </cell>
          <cell r="K41">
            <v>0.62260039351095819</v>
          </cell>
          <cell r="L41">
            <v>2.7242618355882087</v>
          </cell>
          <cell r="M41">
            <v>0.88374267541306062</v>
          </cell>
          <cell r="N41">
            <v>3.6080045110012691</v>
          </cell>
        </row>
        <row r="42">
          <cell r="B42" t="str">
            <v>1 1/2"</v>
          </cell>
          <cell r="C42">
            <v>1.9</v>
          </cell>
          <cell r="D42" t="str">
            <v>XS     80   80S</v>
          </cell>
          <cell r="E42">
            <v>0.2</v>
          </cell>
          <cell r="F42">
            <v>0.17500000000000002</v>
          </cell>
          <cell r="G42">
            <v>1.5</v>
          </cell>
          <cell r="H42">
            <v>1.0681415022205296</v>
          </cell>
          <cell r="I42">
            <v>0.39120682518826899</v>
          </cell>
          <cell r="J42">
            <v>0.41179665809291477</v>
          </cell>
          <cell r="K42">
            <v>0.60518592184551023</v>
          </cell>
          <cell r="L42">
            <v>3.6398429083406647</v>
          </cell>
          <cell r="M42">
            <v>0.76710814385223824</v>
          </cell>
          <cell r="N42">
            <v>4.4069510521929027</v>
          </cell>
        </row>
        <row r="43">
          <cell r="B43" t="str">
            <v>1 1/2"</v>
          </cell>
          <cell r="C43">
            <v>1.9</v>
          </cell>
          <cell r="D43">
            <v>160</v>
          </cell>
          <cell r="E43">
            <v>0.28100000000000003</v>
          </cell>
          <cell r="F43">
            <v>0.24587500000000001</v>
          </cell>
          <cell r="G43">
            <v>1.3379999999999999</v>
          </cell>
          <cell r="H43">
            <v>1.4292330202314869</v>
          </cell>
          <cell r="I43">
            <v>0.4823879401316854</v>
          </cell>
          <cell r="J43">
            <v>0.50777677908598462</v>
          </cell>
          <cell r="K43">
            <v>0.58096062689307959</v>
          </cell>
          <cell r="L43">
            <v>4.8703132143458632</v>
          </cell>
          <cell r="M43">
            <v>0.6103603341700472</v>
          </cell>
          <cell r="N43">
            <v>5.4806735485159104</v>
          </cell>
        </row>
        <row r="44">
          <cell r="B44" t="str">
            <v>1 1/2"</v>
          </cell>
          <cell r="C44">
            <v>1.9</v>
          </cell>
          <cell r="D44" t="str">
            <v>XXS</v>
          </cell>
          <cell r="E44">
            <v>0.4</v>
          </cell>
          <cell r="F44">
            <v>0.35000000000000003</v>
          </cell>
          <cell r="G44">
            <v>1.0999999999999999</v>
          </cell>
          <cell r="H44">
            <v>1.8849555921538761</v>
          </cell>
          <cell r="I44">
            <v>0.5678428721363552</v>
          </cell>
          <cell r="J44">
            <v>0.5977293390909002</v>
          </cell>
          <cell r="K44">
            <v>0.54886246000250372</v>
          </cell>
          <cell r="L44">
            <v>6.4232521911894089</v>
          </cell>
          <cell r="M44">
            <v>0.41253371291609242</v>
          </cell>
          <cell r="N44">
            <v>6.8357859041055011</v>
          </cell>
        </row>
        <row r="45">
          <cell r="B45" t="str">
            <v>2"</v>
          </cell>
          <cell r="C45">
            <v>2.375</v>
          </cell>
          <cell r="D45" t="str">
            <v>5S</v>
          </cell>
          <cell r="E45">
            <v>6.5000000000000002E-2</v>
          </cell>
          <cell r="F45">
            <v>5.6875000000000002E-2</v>
          </cell>
          <cell r="G45">
            <v>2.2450000000000001</v>
          </cell>
          <cell r="H45">
            <v>0.47171013693650676</v>
          </cell>
          <cell r="I45">
            <v>0.31488567962943131</v>
          </cell>
          <cell r="J45">
            <v>0.2651668881089948</v>
          </cell>
          <cell r="K45">
            <v>0.81703159363637834</v>
          </cell>
          <cell r="L45">
            <v>1.607418860845147</v>
          </cell>
          <cell r="M45">
            <v>1.7183307656528344</v>
          </cell>
          <cell r="N45">
            <v>3.3257496264979816</v>
          </cell>
        </row>
        <row r="46">
          <cell r="B46" t="str">
            <v>2"</v>
          </cell>
          <cell r="C46">
            <v>2.375</v>
          </cell>
          <cell r="D46" t="str">
            <v>10S</v>
          </cell>
          <cell r="E46">
            <v>0.109</v>
          </cell>
          <cell r="F46">
            <v>9.5375000000000001E-2</v>
          </cell>
          <cell r="G46">
            <v>2.157</v>
          </cell>
          <cell r="H46">
            <v>0.77595453588075713</v>
          </cell>
          <cell r="I46">
            <v>0.49919454058521651</v>
          </cell>
          <cell r="J46">
            <v>0.42037434996649808</v>
          </cell>
          <cell r="K46">
            <v>0.80207831600162338</v>
          </cell>
          <cell r="L46">
            <v>2.6441745861843935</v>
          </cell>
          <cell r="M46">
            <v>1.5862599726159876</v>
          </cell>
          <cell r="N46">
            <v>4.2304345588003809</v>
          </cell>
        </row>
        <row r="47">
          <cell r="B47" t="str">
            <v>2"</v>
          </cell>
          <cell r="C47">
            <v>2.375</v>
          </cell>
          <cell r="D47" t="str">
            <v>Std    40   40S</v>
          </cell>
          <cell r="E47">
            <v>0.154</v>
          </cell>
          <cell r="F47">
            <v>0.13475000000000001</v>
          </cell>
          <cell r="G47">
            <v>2.0670000000000002</v>
          </cell>
          <cell r="H47">
            <v>1.0745315016779304</v>
          </cell>
          <cell r="I47">
            <v>0.66574707954528234</v>
          </cell>
          <cell r="J47">
            <v>0.56062911961707984</v>
          </cell>
          <cell r="K47">
            <v>0.78712745156041919</v>
          </cell>
          <cell r="L47">
            <v>3.6616177332687938</v>
          </cell>
          <cell r="M47">
            <v>1.4566493806307137</v>
          </cell>
          <cell r="N47">
            <v>5.1182671138995079</v>
          </cell>
        </row>
        <row r="48">
          <cell r="B48" t="str">
            <v>2"</v>
          </cell>
          <cell r="C48">
            <v>2.375</v>
          </cell>
          <cell r="D48" t="str">
            <v>XS     80   80S</v>
          </cell>
          <cell r="E48">
            <v>0.218</v>
          </cell>
          <cell r="F48">
            <v>0.19075</v>
          </cell>
          <cell r="G48">
            <v>1.9390000000000001</v>
          </cell>
          <cell r="H48">
            <v>1.4772585471269137</v>
          </cell>
          <cell r="I48">
            <v>0.86792134215314343</v>
          </cell>
          <cell r="J48">
            <v>0.73088113023422607</v>
          </cell>
          <cell r="K48">
            <v>0.76649959230256615</v>
          </cell>
          <cell r="L48">
            <v>5.0339669747570497</v>
          </cell>
          <cell r="M48">
            <v>1.2818278212054581</v>
          </cell>
          <cell r="N48">
            <v>6.3157947959625078</v>
          </cell>
        </row>
        <row r="49">
          <cell r="B49" t="str">
            <v>2"</v>
          </cell>
          <cell r="C49">
            <v>2.375</v>
          </cell>
          <cell r="D49">
            <v>160</v>
          </cell>
          <cell r="E49">
            <v>0.34300000000000003</v>
          </cell>
          <cell r="F49">
            <v>0.30012500000000003</v>
          </cell>
          <cell r="G49">
            <v>1.6890000000000001</v>
          </cell>
          <cell r="H49">
            <v>2.1896146813283992</v>
          </cell>
          <cell r="I49">
            <v>1.1623221934501149</v>
          </cell>
          <cell r="J49">
            <v>0.97879763658957042</v>
          </cell>
          <cell r="K49">
            <v>0.72858364310489443</v>
          </cell>
          <cell r="L49">
            <v>7.4614210320107137</v>
          </cell>
          <cell r="M49">
            <v>0.97259800499480042</v>
          </cell>
          <cell r="N49">
            <v>8.4340190370055144</v>
          </cell>
        </row>
        <row r="50">
          <cell r="B50" t="str">
            <v>2"</v>
          </cell>
          <cell r="C50">
            <v>2.375</v>
          </cell>
          <cell r="D50" t="str">
            <v>XXS</v>
          </cell>
          <cell r="E50">
            <v>0.436</v>
          </cell>
          <cell r="F50">
            <v>0.38150000000000001</v>
          </cell>
          <cell r="G50">
            <v>1.5030000000000001</v>
          </cell>
          <cell r="H50">
            <v>2.6559149957154253</v>
          </cell>
          <cell r="I50">
            <v>1.3112972750789642</v>
          </cell>
          <cell r="J50">
            <v>1.1042503369086014</v>
          </cell>
          <cell r="K50">
            <v>0.70265718881969752</v>
          </cell>
          <cell r="L50">
            <v>9.0504051590671502</v>
          </cell>
          <cell r="M50">
            <v>0.77017964486022239</v>
          </cell>
          <cell r="N50">
            <v>9.8205848039273729</v>
          </cell>
        </row>
        <row r="51">
          <cell r="B51" t="str">
            <v>2 1/2"</v>
          </cell>
          <cell r="C51">
            <v>2.875</v>
          </cell>
          <cell r="D51" t="str">
            <v>5S</v>
          </cell>
          <cell r="E51">
            <v>8.3000000000000004E-2</v>
          </cell>
          <cell r="F51">
            <v>7.2625000000000009E-2</v>
          </cell>
          <cell r="G51">
            <v>2.7090000000000001</v>
          </cell>
          <cell r="H51">
            <v>0.72802011517228415</v>
          </cell>
          <cell r="I51">
            <v>0.71001554070647277</v>
          </cell>
          <cell r="J51">
            <v>0.49392385440450282</v>
          </cell>
          <cell r="K51">
            <v>0.98755715024498703</v>
          </cell>
          <cell r="L51">
            <v>2.4808312829624475</v>
          </cell>
          <cell r="M51">
            <v>2.5020275378816388</v>
          </cell>
          <cell r="N51">
            <v>4.9828588208440863</v>
          </cell>
        </row>
        <row r="52">
          <cell r="B52" t="str">
            <v>2 1/2"</v>
          </cell>
          <cell r="C52">
            <v>2.875</v>
          </cell>
          <cell r="D52" t="str">
            <v>10S</v>
          </cell>
          <cell r="E52">
            <v>0.12</v>
          </cell>
          <cell r="F52">
            <v>0.105</v>
          </cell>
          <cell r="G52">
            <v>2.6349999999999998</v>
          </cell>
          <cell r="H52">
            <v>1.0386105312767864</v>
          </cell>
          <cell r="I52">
            <v>0.98725448616305955</v>
          </cell>
          <cell r="J52">
            <v>0.68678572950473704</v>
          </cell>
          <cell r="K52">
            <v>0.97496314032890496</v>
          </cell>
          <cell r="L52">
            <v>3.5392119573453664</v>
          </cell>
          <cell r="M52">
            <v>2.36720197426598</v>
          </cell>
          <cell r="N52">
            <v>5.9064139316113469</v>
          </cell>
        </row>
        <row r="53">
          <cell r="B53" t="str">
            <v>2 1/2"</v>
          </cell>
          <cell r="C53">
            <v>2.875</v>
          </cell>
          <cell r="D53" t="str">
            <v>Std    40   40S</v>
          </cell>
          <cell r="E53">
            <v>0.20300000000000001</v>
          </cell>
          <cell r="F53">
            <v>0.17762500000000001</v>
          </cell>
          <cell r="G53">
            <v>2.4689999999999999</v>
          </cell>
          <cell r="H53">
            <v>1.704050120789562</v>
          </cell>
          <cell r="I53">
            <v>1.5295538973768548</v>
          </cell>
          <cell r="J53">
            <v>1.0640374938273773</v>
          </cell>
          <cell r="K53">
            <v>0.94741708080443632</v>
          </cell>
          <cell r="L53">
            <v>5.8067912675603255</v>
          </cell>
          <cell r="M53">
            <v>2.0783383678691703</v>
          </cell>
          <cell r="N53">
            <v>7.8851296354294957</v>
          </cell>
        </row>
        <row r="54">
          <cell r="B54" t="str">
            <v>2 1/2"</v>
          </cell>
          <cell r="C54">
            <v>2.875</v>
          </cell>
          <cell r="D54" t="str">
            <v>XS     80   80S</v>
          </cell>
          <cell r="E54">
            <v>0.27600000000000002</v>
          </cell>
          <cell r="F54">
            <v>0.24150000000000002</v>
          </cell>
          <cell r="G54">
            <v>2.323</v>
          </cell>
          <cell r="H54">
            <v>2.2535398086436449</v>
          </cell>
          <cell r="I54">
            <v>1.9242348251786423</v>
          </cell>
          <cell r="J54">
            <v>1.3385981392547077</v>
          </cell>
          <cell r="K54">
            <v>0.92405201422863636</v>
          </cell>
          <cell r="L54">
            <v>7.679254924654586</v>
          </cell>
          <cell r="M54">
            <v>1.8398079656915571</v>
          </cell>
          <cell r="N54">
            <v>9.5190628903461434</v>
          </cell>
        </row>
        <row r="55">
          <cell r="B55" t="str">
            <v>2 1/2"</v>
          </cell>
          <cell r="C55">
            <v>2.875</v>
          </cell>
          <cell r="D55">
            <v>160</v>
          </cell>
          <cell r="E55">
            <v>0.375</v>
          </cell>
          <cell r="F55">
            <v>0.328125</v>
          </cell>
          <cell r="G55">
            <v>2.125</v>
          </cell>
          <cell r="H55">
            <v>2.9452431127404308</v>
          </cell>
          <cell r="I55">
            <v>2.352743033419602</v>
          </cell>
          <cell r="J55">
            <v>1.6366908058571144</v>
          </cell>
          <cell r="K55">
            <v>0.89377185287969318</v>
          </cell>
          <cell r="L55">
            <v>10.036331548733449</v>
          </cell>
          <cell r="M55">
            <v>1.5395434275923392</v>
          </cell>
          <cell r="N55">
            <v>11.575874976325787</v>
          </cell>
        </row>
        <row r="56">
          <cell r="B56" t="str">
            <v>2 1/2"</v>
          </cell>
          <cell r="C56">
            <v>2.875</v>
          </cell>
          <cell r="D56" t="str">
            <v>XXS</v>
          </cell>
          <cell r="E56">
            <v>0.55200000000000005</v>
          </cell>
          <cell r="F56">
            <v>0.48300000000000004</v>
          </cell>
          <cell r="G56">
            <v>1.7709999999999999</v>
          </cell>
          <cell r="H56">
            <v>4.028451693327578</v>
          </cell>
          <cell r="I56">
            <v>2.8707920053208</v>
          </cell>
          <cell r="J56">
            <v>1.9970726993536001</v>
          </cell>
          <cell r="K56">
            <v>0.84417363439046111</v>
          </cell>
          <cell r="L56">
            <v>13.727517652922357</v>
          </cell>
          <cell r="M56">
            <v>1.069328637249803</v>
          </cell>
          <cell r="N56">
            <v>14.79684629017216</v>
          </cell>
        </row>
        <row r="57">
          <cell r="B57" t="str">
            <v>3"</v>
          </cell>
          <cell r="C57">
            <v>3.5</v>
          </cell>
          <cell r="D57" t="str">
            <v>5S</v>
          </cell>
          <cell r="E57">
            <v>8.3000000000000004E-2</v>
          </cell>
          <cell r="F57">
            <v>7.2625000000000009E-2</v>
          </cell>
          <cell r="G57">
            <v>3.3340000000000001</v>
          </cell>
          <cell r="H57">
            <v>0.89099023407725497</v>
          </cell>
          <cell r="I57">
            <v>1.3011551381115756</v>
          </cell>
          <cell r="J57">
            <v>0.74351722177804314</v>
          </cell>
          <cell r="K57">
            <v>1.2084482818888029</v>
          </cell>
          <cell r="L57">
            <v>3.0361749619923657</v>
          </cell>
          <cell r="M57">
            <v>3.7897037915758256</v>
          </cell>
          <cell r="N57">
            <v>6.8258787535681913</v>
          </cell>
        </row>
        <row r="58">
          <cell r="B58" t="str">
            <v>3"</v>
          </cell>
          <cell r="C58">
            <v>3.5</v>
          </cell>
          <cell r="D58" t="str">
            <v>10S</v>
          </cell>
          <cell r="E58">
            <v>0.12</v>
          </cell>
          <cell r="F58">
            <v>0.105</v>
          </cell>
          <cell r="G58">
            <v>3.26</v>
          </cell>
          <cell r="H58">
            <v>1.2742299802960206</v>
          </cell>
          <cell r="I58">
            <v>1.8219577373262654</v>
          </cell>
          <cell r="J58">
            <v>1.0411187070435803</v>
          </cell>
          <cell r="K58">
            <v>1.1957633545145965</v>
          </cell>
          <cell r="L58">
            <v>4.3421184812440421</v>
          </cell>
          <cell r="M58">
            <v>3.62334155982402</v>
          </cell>
          <cell r="N58">
            <v>7.965460041068062</v>
          </cell>
        </row>
        <row r="59">
          <cell r="B59" t="str">
            <v>3"</v>
          </cell>
          <cell r="C59">
            <v>3.5</v>
          </cell>
          <cell r="D59" t="str">
            <v>Std    40   40S</v>
          </cell>
          <cell r="E59">
            <v>0.216</v>
          </cell>
          <cell r="F59">
            <v>0.189</v>
          </cell>
          <cell r="G59">
            <v>3.0680000000000001</v>
          </cell>
          <cell r="H59">
            <v>2.2284698992679974</v>
          </cell>
          <cell r="I59">
            <v>3.0171565951975317</v>
          </cell>
          <cell r="J59">
            <v>1.7240894829700182</v>
          </cell>
          <cell r="K59">
            <v>1.1635781022346545</v>
          </cell>
          <cell r="L59">
            <v>7.5938256705117633</v>
          </cell>
          <cell r="M59">
            <v>3.2091113446306796</v>
          </cell>
          <cell r="N59">
            <v>10.802937015142444</v>
          </cell>
        </row>
        <row r="60">
          <cell r="B60" t="str">
            <v>3"</v>
          </cell>
          <cell r="C60">
            <v>3.5</v>
          </cell>
          <cell r="D60" t="str">
            <v>XS     80   80S</v>
          </cell>
          <cell r="E60">
            <v>0.3</v>
          </cell>
          <cell r="F60">
            <v>0.26250000000000001</v>
          </cell>
          <cell r="G60">
            <v>2.9</v>
          </cell>
          <cell r="H60">
            <v>3.0159289474462012</v>
          </cell>
          <cell r="I60">
            <v>3.8943182533899074</v>
          </cell>
          <cell r="J60">
            <v>2.2253247162228043</v>
          </cell>
          <cell r="K60">
            <v>1.1363318177363511</v>
          </cell>
          <cell r="L60">
            <v>10.277203505903053</v>
          </cell>
          <cell r="M60">
            <v>2.8672797732432547</v>
          </cell>
          <cell r="N60">
            <v>13.144483279146307</v>
          </cell>
        </row>
        <row r="61">
          <cell r="B61" t="str">
            <v>3"</v>
          </cell>
          <cell r="C61">
            <v>3.5</v>
          </cell>
          <cell r="D61">
            <v>160</v>
          </cell>
          <cell r="E61">
            <v>0.438</v>
          </cell>
          <cell r="F61">
            <v>0.38324999999999998</v>
          </cell>
          <cell r="G61">
            <v>2.6240000000000001</v>
          </cell>
          <cell r="H61">
            <v>4.2133658369178724</v>
          </cell>
          <cell r="I61">
            <v>5.039021219686135</v>
          </cell>
          <cell r="J61">
            <v>2.8794406969635058</v>
          </cell>
          <cell r="K61">
            <v>1.0936000182882222</v>
          </cell>
          <cell r="L61">
            <v>14.357638692878036</v>
          </cell>
          <cell r="M61">
            <v>2.3474791124821106</v>
          </cell>
          <cell r="N61">
            <v>16.705117805360146</v>
          </cell>
        </row>
        <row r="62">
          <cell r="B62" t="str">
            <v>3"</v>
          </cell>
          <cell r="C62">
            <v>3.5</v>
          </cell>
          <cell r="D62" t="str">
            <v>XXS</v>
          </cell>
          <cell r="E62">
            <v>0.6</v>
          </cell>
          <cell r="F62">
            <v>0.52500000000000002</v>
          </cell>
          <cell r="G62">
            <v>2.2999999999999998</v>
          </cell>
          <cell r="H62">
            <v>5.4663712172462411</v>
          </cell>
          <cell r="I62">
            <v>5.9925094469061913</v>
          </cell>
          <cell r="J62">
            <v>3.4242911125178237</v>
          </cell>
          <cell r="K62">
            <v>1.0470195795685961</v>
          </cell>
          <cell r="L62">
            <v>18.627431354449286</v>
          </cell>
          <cell r="M62">
            <v>1.8035564804348172</v>
          </cell>
          <cell r="N62">
            <v>20.430987834884103</v>
          </cell>
        </row>
        <row r="63">
          <cell r="B63" t="str">
            <v>3 1/2"</v>
          </cell>
          <cell r="C63">
            <v>4</v>
          </cell>
          <cell r="D63" t="str">
            <v>5S</v>
          </cell>
          <cell r="E63">
            <v>8.3000000000000004E-2</v>
          </cell>
          <cell r="F63">
            <v>7.2625000000000009E-2</v>
          </cell>
          <cell r="G63">
            <v>3.8340000000000001</v>
          </cell>
          <cell r="H63">
            <v>1.0213663292012303</v>
          </cell>
          <cell r="I63">
            <v>1.959718301239225</v>
          </cell>
          <cell r="J63">
            <v>0.97985915061961248</v>
          </cell>
          <cell r="K63">
            <v>1.3851795010033896</v>
          </cell>
          <cell r="L63">
            <v>3.4804499052162963</v>
          </cell>
          <cell r="M63">
            <v>5.0116218304942368</v>
          </cell>
          <cell r="N63">
            <v>8.4920717357105335</v>
          </cell>
        </row>
        <row r="64">
          <cell r="B64" t="str">
            <v>3 1/2"</v>
          </cell>
          <cell r="C64">
            <v>4</v>
          </cell>
          <cell r="D64" t="str">
            <v>10S</v>
          </cell>
          <cell r="E64">
            <v>0.12</v>
          </cell>
          <cell r="F64">
            <v>0.105</v>
          </cell>
          <cell r="G64">
            <v>3.76</v>
          </cell>
          <cell r="H64">
            <v>1.4627255395114085</v>
          </cell>
          <cell r="I64">
            <v>2.7551898262236882</v>
          </cell>
          <cell r="J64">
            <v>1.3775949131118441</v>
          </cell>
          <cell r="K64">
            <v>1.3724430771438207</v>
          </cell>
          <cell r="L64">
            <v>4.9844437003629842</v>
          </cell>
          <cell r="M64">
            <v>4.8200302642335124</v>
          </cell>
          <cell r="N64">
            <v>9.8044739645964967</v>
          </cell>
        </row>
        <row r="65">
          <cell r="B65" t="str">
            <v>3 1/2"</v>
          </cell>
          <cell r="C65">
            <v>4</v>
          </cell>
          <cell r="D65" t="str">
            <v>Std    40   40S</v>
          </cell>
          <cell r="E65">
            <v>0.22600000000000001</v>
          </cell>
          <cell r="F65">
            <v>0.19775000000000001</v>
          </cell>
          <cell r="G65">
            <v>3.548</v>
          </cell>
          <cell r="H65">
            <v>2.6795397724704202</v>
          </cell>
          <cell r="I65">
            <v>4.7877185997172003</v>
          </cell>
          <cell r="J65">
            <v>2.3938592998586001</v>
          </cell>
          <cell r="K65">
            <v>1.3367007892568927</v>
          </cell>
          <cell r="L65">
            <v>9.1309099198633898</v>
          </cell>
          <cell r="M65">
            <v>4.2918180069723135</v>
          </cell>
          <cell r="N65">
            <v>13.422727926835703</v>
          </cell>
        </row>
        <row r="66">
          <cell r="B66" t="str">
            <v>3 1/2"</v>
          </cell>
          <cell r="C66">
            <v>4</v>
          </cell>
          <cell r="D66" t="str">
            <v>XS     80   80S</v>
          </cell>
          <cell r="E66">
            <v>0.318</v>
          </cell>
          <cell r="F66">
            <v>0.27825</v>
          </cell>
          <cell r="G66">
            <v>3.3639999999999999</v>
          </cell>
          <cell r="H66">
            <v>3.6784154398646032</v>
          </cell>
          <cell r="I66">
            <v>6.28008879058748</v>
          </cell>
          <cell r="J66">
            <v>3.14004439529374</v>
          </cell>
          <cell r="K66">
            <v>1.3066296338289591</v>
          </cell>
          <cell r="L66">
            <v>12.534719721018485</v>
          </cell>
          <cell r="M66">
            <v>3.8582116628761236</v>
          </cell>
          <cell r="N66">
            <v>16.392931383894609</v>
          </cell>
        </row>
        <row r="67">
          <cell r="B67" t="str">
            <v>3 1/2"</v>
          </cell>
          <cell r="C67">
            <v>4</v>
          </cell>
          <cell r="D67" t="str">
            <v>XXS</v>
          </cell>
          <cell r="E67">
            <v>0.63600000000000001</v>
          </cell>
          <cell r="F67">
            <v>0.55649999999999999</v>
          </cell>
          <cell r="G67">
            <v>2.7279999999999998</v>
          </cell>
          <cell r="H67">
            <v>6.7214500487259787</v>
          </cell>
          <cell r="I67">
            <v>9.847757781189598</v>
          </cell>
          <cell r="J67">
            <v>4.923878890594799</v>
          </cell>
          <cell r="K67">
            <v>1.2104230665350026</v>
          </cell>
          <cell r="L67">
            <v>22.904289593430846</v>
          </cell>
          <cell r="M67">
            <v>2.5372473479191346</v>
          </cell>
          <cell r="N67">
            <v>25.44153694134998</v>
          </cell>
        </row>
        <row r="68">
          <cell r="B68" t="str">
            <v>4"</v>
          </cell>
          <cell r="C68">
            <v>4.5</v>
          </cell>
          <cell r="D68" t="str">
            <v>5S</v>
          </cell>
          <cell r="E68">
            <v>8.3000000000000004E-2</v>
          </cell>
          <cell r="F68">
            <v>7.2625000000000009E-2</v>
          </cell>
          <cell r="G68">
            <v>4.3339999999999996</v>
          </cell>
          <cell r="H68">
            <v>1.1517424243252099</v>
          </cell>
          <cell r="I68">
            <v>2.8097876510921136</v>
          </cell>
          <cell r="J68">
            <v>1.2487945115964949</v>
          </cell>
          <cell r="K68">
            <v>1.5619210127275958</v>
          </cell>
          <cell r="L68">
            <v>3.9247248484402411</v>
          </cell>
          <cell r="M68">
            <v>6.4040083458242529</v>
          </cell>
          <cell r="N68">
            <v>10.328733194264494</v>
          </cell>
        </row>
        <row r="69">
          <cell r="B69" t="str">
            <v>4"</v>
          </cell>
          <cell r="C69">
            <v>4.5</v>
          </cell>
          <cell r="D69" t="str">
            <v>10S</v>
          </cell>
          <cell r="E69">
            <v>0.12</v>
          </cell>
          <cell r="F69">
            <v>0.105</v>
          </cell>
          <cell r="G69">
            <v>4.26</v>
          </cell>
          <cell r="H69">
            <v>1.6512210987267977</v>
          </cell>
          <cell r="I69">
            <v>3.9626829537795047</v>
          </cell>
          <cell r="J69">
            <v>1.761192423902002</v>
          </cell>
          <cell r="K69">
            <v>1.5491449254346734</v>
          </cell>
          <cell r="L69">
            <v>5.6267689194819299</v>
          </cell>
          <cell r="M69">
            <v>6.1871874450546116</v>
          </cell>
          <cell r="N69">
            <v>11.813956364536541</v>
          </cell>
        </row>
        <row r="70">
          <cell r="B70" t="str">
            <v>4"</v>
          </cell>
          <cell r="C70">
            <v>4.5</v>
          </cell>
          <cell r="D70" t="str">
            <v>Std    40   40S</v>
          </cell>
          <cell r="E70">
            <v>0.23699999999999999</v>
          </cell>
          <cell r="F70">
            <v>0.20737499999999998</v>
          </cell>
          <cell r="G70">
            <v>4.0259999999999998</v>
          </cell>
          <cell r="H70">
            <v>3.1740484472940316</v>
          </cell>
          <cell r="I70">
            <v>7.232600246762261</v>
          </cell>
          <cell r="J70">
            <v>3.2144889985610048</v>
          </cell>
          <cell r="K70">
            <v>1.5095255049186815</v>
          </cell>
          <cell r="L70">
            <v>10.816018015960985</v>
          </cell>
          <cell r="M70">
            <v>5.5261366047388076</v>
          </cell>
          <cell r="N70">
            <v>16.342154620699795</v>
          </cell>
        </row>
        <row r="71">
          <cell r="B71" t="str">
            <v>4"</v>
          </cell>
          <cell r="C71">
            <v>4.5</v>
          </cell>
          <cell r="D71" t="str">
            <v>XS     80   80S</v>
          </cell>
          <cell r="E71">
            <v>0.33700000000000002</v>
          </cell>
          <cell r="F71">
            <v>0.294875</v>
          </cell>
          <cell r="G71">
            <v>3.8260000000000001</v>
          </cell>
          <cell r="H71">
            <v>4.4074377230933814</v>
          </cell>
          <cell r="I71">
            <v>9.6104939835058403</v>
          </cell>
          <cell r="J71">
            <v>4.2713306593359288</v>
          </cell>
          <cell r="K71">
            <v>1.4766574585867909</v>
          </cell>
          <cell r="L71">
            <v>15.018966033062577</v>
          </cell>
          <cell r="M71">
            <v>4.9907292140252295</v>
          </cell>
          <cell r="N71">
            <v>20.009695247087805</v>
          </cell>
        </row>
        <row r="72">
          <cell r="B72" t="str">
            <v>4"</v>
          </cell>
          <cell r="C72">
            <v>4.5</v>
          </cell>
          <cell r="D72" t="str">
            <v>120</v>
          </cell>
          <cell r="E72">
            <v>0.438</v>
          </cell>
          <cell r="F72">
            <v>0.38324999999999998</v>
          </cell>
          <cell r="G72">
            <v>3.6240000000000001</v>
          </cell>
          <cell r="H72">
            <v>5.5893834191902014</v>
          </cell>
          <cell r="I72">
            <v>11.662030518187008</v>
          </cell>
          <cell r="J72">
            <v>5.1831246747497808</v>
          </cell>
          <cell r="K72">
            <v>1.4444587221516578</v>
          </cell>
          <cell r="L72">
            <v>19.046612792446304</v>
          </cell>
          <cell r="M72">
            <v>4.4776531937215696</v>
          </cell>
          <cell r="N72">
            <v>23.524265986167872</v>
          </cell>
        </row>
        <row r="73">
          <cell r="B73" t="str">
            <v>4"</v>
          </cell>
          <cell r="C73">
            <v>4.5</v>
          </cell>
          <cell r="D73">
            <v>160</v>
          </cell>
          <cell r="E73">
            <v>0.53100000000000003</v>
          </cell>
          <cell r="F73">
            <v>0.46462500000000001</v>
          </cell>
          <cell r="G73">
            <v>3.4379999999999997</v>
          </cell>
          <cell r="H73">
            <v>6.6210290395539806</v>
          </cell>
          <cell r="I73">
            <v>13.270960526122876</v>
          </cell>
          <cell r="J73">
            <v>5.8982046782768336</v>
          </cell>
          <cell r="K73">
            <v>1.4157560700911722</v>
          </cell>
          <cell r="L73">
            <v>22.562090832945231</v>
          </cell>
          <cell r="M73">
            <v>4.0298215962057826</v>
          </cell>
          <cell r="N73">
            <v>26.591912429151012</v>
          </cell>
        </row>
        <row r="74">
          <cell r="B74" t="str">
            <v>4"</v>
          </cell>
          <cell r="C74">
            <v>4.5</v>
          </cell>
          <cell r="D74" t="str">
            <v>XXS</v>
          </cell>
          <cell r="E74">
            <v>0.67400000000000004</v>
          </cell>
          <cell r="F74">
            <v>0.58975</v>
          </cell>
          <cell r="G74">
            <v>3.1520000000000001</v>
          </cell>
          <cell r="H74">
            <v>8.1013003740356844</v>
          </cell>
          <cell r="I74">
            <v>15.283662145344129</v>
          </cell>
          <cell r="J74">
            <v>6.7927387312640573</v>
          </cell>
          <cell r="K74">
            <v>1.3735242990205889</v>
          </cell>
          <cell r="L74">
            <v>27.606324305787854</v>
          </cell>
          <cell r="M74">
            <v>3.3872440837417543</v>
          </cell>
          <cell r="N74">
            <v>30.99356838952961</v>
          </cell>
        </row>
        <row r="75">
          <cell r="B75" t="str">
            <v>5"</v>
          </cell>
          <cell r="C75">
            <v>5.5629999999999997</v>
          </cell>
          <cell r="D75" t="str">
            <v>5S</v>
          </cell>
          <cell r="E75">
            <v>0.109</v>
          </cell>
          <cell r="F75">
            <v>9.5375000000000001E-2</v>
          </cell>
          <cell r="G75">
            <v>5.3449999999999998</v>
          </cell>
          <cell r="H75">
            <v>1.8676328502619812</v>
          </cell>
          <cell r="I75">
            <v>6.9471265943996876</v>
          </cell>
          <cell r="J75">
            <v>2.4976187648390034</v>
          </cell>
          <cell r="K75">
            <v>1.9286652444112744</v>
          </cell>
          <cell r="L75">
            <v>6.3642225035523756</v>
          </cell>
          <cell r="M75">
            <v>9.7402363286303064</v>
          </cell>
          <cell r="N75">
            <v>16.104458832182683</v>
          </cell>
        </row>
        <row r="76">
          <cell r="B76" t="str">
            <v>5"</v>
          </cell>
          <cell r="C76">
            <v>5.5629999999999997</v>
          </cell>
          <cell r="D76" t="str">
            <v>10S</v>
          </cell>
          <cell r="E76">
            <v>0.13400000000000001</v>
          </cell>
          <cell r="F76">
            <v>0.11725000000000001</v>
          </cell>
          <cell r="G76">
            <v>5.2949999999999999</v>
          </cell>
          <cell r="H76">
            <v>2.2854646731894208</v>
          </cell>
          <cell r="I76">
            <v>8.4253646606635506</v>
          </cell>
          <cell r="J76">
            <v>3.0290723209288339</v>
          </cell>
          <cell r="K76">
            <v>1.920025943835135</v>
          </cell>
          <cell r="L76">
            <v>7.7880434059326848</v>
          </cell>
          <cell r="M76">
            <v>9.5588578697283548</v>
          </cell>
          <cell r="N76">
            <v>17.34690127566104</v>
          </cell>
        </row>
        <row r="77">
          <cell r="B77" t="str">
            <v>5"</v>
          </cell>
          <cell r="C77">
            <v>5.5629999999999997</v>
          </cell>
          <cell r="D77" t="str">
            <v>Std    40   40S</v>
          </cell>
          <cell r="E77">
            <v>0.25800000000000001</v>
          </cell>
          <cell r="F77">
            <v>0.22575000000000001</v>
          </cell>
          <cell r="G77">
            <v>5.0469999999999997</v>
          </cell>
          <cell r="H77">
            <v>4.2998664490418141</v>
          </cell>
          <cell r="I77">
            <v>15.162183160294875</v>
          </cell>
          <cell r="J77">
            <v>5.4510814885115497</v>
          </cell>
          <cell r="K77">
            <v>1.8778175164269821</v>
          </cell>
          <cell r="L77">
            <v>14.65240173593172</v>
          </cell>
          <cell r="M77">
            <v>8.6844173181361199</v>
          </cell>
          <cell r="N77">
            <v>23.336819054067838</v>
          </cell>
        </row>
        <row r="78">
          <cell r="B78" t="str">
            <v>5"</v>
          </cell>
          <cell r="C78">
            <v>5.5629999999999997</v>
          </cell>
          <cell r="D78" t="str">
            <v>XS     80   80S</v>
          </cell>
          <cell r="E78">
            <v>0.375</v>
          </cell>
          <cell r="F78">
            <v>0.328125</v>
          </cell>
          <cell r="G78">
            <v>4.8129999999999997</v>
          </cell>
          <cell r="H78">
            <v>6.1119685075589425</v>
          </cell>
          <cell r="I78">
            <v>20.670653808686378</v>
          </cell>
          <cell r="J78">
            <v>7.4314771916902318</v>
          </cell>
          <cell r="K78">
            <v>1.8390204253895606</v>
          </cell>
          <cell r="L78">
            <v>20.827395229931653</v>
          </cell>
          <cell r="M78">
            <v>7.8977939431042836</v>
          </cell>
          <cell r="N78">
            <v>28.725189173035936</v>
          </cell>
        </row>
        <row r="79">
          <cell r="B79" t="str">
            <v>5"</v>
          </cell>
          <cell r="C79">
            <v>5.5629999999999997</v>
          </cell>
          <cell r="D79" t="str">
            <v>120</v>
          </cell>
          <cell r="E79">
            <v>0.5</v>
          </cell>
          <cell r="F79">
            <v>0.4375</v>
          </cell>
          <cell r="G79">
            <v>4.5629999999999997</v>
          </cell>
          <cell r="H79">
            <v>7.9529418025625596</v>
          </cell>
          <cell r="I79">
            <v>25.73171238454168</v>
          </cell>
          <cell r="J79">
            <v>9.2510200915123786</v>
          </cell>
          <cell r="K79">
            <v>1.7987484885330691</v>
          </cell>
          <cell r="L79">
            <v>27.10077153665997</v>
          </cell>
          <cell r="M79">
            <v>7.098637725686662</v>
          </cell>
          <cell r="N79">
            <v>34.199409262346634</v>
          </cell>
        </row>
        <row r="80">
          <cell r="B80" t="str">
            <v>5"</v>
          </cell>
          <cell r="C80">
            <v>5.5629999999999997</v>
          </cell>
          <cell r="D80">
            <v>160</v>
          </cell>
          <cell r="E80">
            <v>0.625</v>
          </cell>
          <cell r="F80">
            <v>0.546875</v>
          </cell>
          <cell r="G80">
            <v>4.3129999999999997</v>
          </cell>
          <cell r="H80">
            <v>9.6957403271414986</v>
          </cell>
          <cell r="I80">
            <v>30.025852270852106</v>
          </cell>
          <cell r="J80">
            <v>10.794841729589109</v>
          </cell>
          <cell r="K80">
            <v>1.7597751631955711</v>
          </cell>
          <cell r="L80">
            <v>33.03960345843052</v>
          </cell>
          <cell r="M80">
            <v>6.3420986273719429</v>
          </cell>
          <cell r="N80">
            <v>39.381702085802459</v>
          </cell>
        </row>
        <row r="81">
          <cell r="B81" t="str">
            <v>5"</v>
          </cell>
          <cell r="C81">
            <v>5.5629999999999997</v>
          </cell>
          <cell r="D81" t="str">
            <v>XXS</v>
          </cell>
          <cell r="E81">
            <v>0.75</v>
          </cell>
          <cell r="F81">
            <v>0.65625</v>
          </cell>
          <cell r="G81">
            <v>4.0629999999999997</v>
          </cell>
          <cell r="H81">
            <v>11.340364081295753</v>
          </cell>
          <cell r="I81">
            <v>33.6347671484573</v>
          </cell>
          <cell r="J81">
            <v>12.092312474728493</v>
          </cell>
          <cell r="K81">
            <v>1.7221886148154619</v>
          </cell>
          <cell r="L81">
            <v>38.643890995243268</v>
          </cell>
          <cell r="M81">
            <v>5.6281766481601281</v>
          </cell>
          <cell r="N81">
            <v>44.272067643403396</v>
          </cell>
        </row>
        <row r="82">
          <cell r="B82" t="str">
            <v>6"</v>
          </cell>
          <cell r="C82">
            <v>6.625</v>
          </cell>
          <cell r="D82" t="str">
            <v>5S</v>
          </cell>
          <cell r="E82">
            <v>0.109</v>
          </cell>
          <cell r="F82">
            <v>9.5375000000000001E-2</v>
          </cell>
          <cell r="G82">
            <v>6.407</v>
          </cell>
          <cell r="H82">
            <v>2.2312973326562271</v>
          </cell>
          <cell r="I82">
            <v>11.845437925705564</v>
          </cell>
          <cell r="J82">
            <v>3.5759812605903591</v>
          </cell>
          <cell r="K82">
            <v>2.3040761977417321</v>
          </cell>
          <cell r="L82">
            <v>7.6034605487985436</v>
          </cell>
          <cell r="M82">
            <v>13.995342244522618</v>
          </cell>
          <cell r="N82">
            <v>21.598802793321163</v>
          </cell>
        </row>
        <row r="83">
          <cell r="B83" t="str">
            <v>6"</v>
          </cell>
          <cell r="C83">
            <v>6.625</v>
          </cell>
          <cell r="D83" t="str">
            <v>10S</v>
          </cell>
          <cell r="E83">
            <v>0.13400000000000001</v>
          </cell>
          <cell r="F83">
            <v>0.11725000000000001</v>
          </cell>
          <cell r="G83">
            <v>6.3570000000000002</v>
          </cell>
          <cell r="H83">
            <v>2.732538440536477</v>
          </cell>
          <cell r="I83">
            <v>14.397416113871918</v>
          </cell>
          <cell r="J83">
            <v>4.3463897702254846</v>
          </cell>
          <cell r="K83">
            <v>2.2954040221712604</v>
          </cell>
          <cell r="L83">
            <v>9.3115103606389873</v>
          </cell>
          <cell r="M83">
            <v>13.777756281230841</v>
          </cell>
          <cell r="N83">
            <v>23.089266641869827</v>
          </cell>
        </row>
        <row r="84">
          <cell r="B84" t="str">
            <v>6"</v>
          </cell>
          <cell r="C84">
            <v>6.625</v>
          </cell>
          <cell r="D84" t="str">
            <v>Std    40   40S</v>
          </cell>
          <cell r="E84">
            <v>0.28000000000000003</v>
          </cell>
          <cell r="F84">
            <v>0.24500000000000002</v>
          </cell>
          <cell r="G84">
            <v>6.0649999999999995</v>
          </cell>
          <cell r="H84">
            <v>5.5813535083676324</v>
          </cell>
          <cell r="I84">
            <v>28.142178567783283</v>
          </cell>
          <cell r="J84">
            <v>8.4957520204628771</v>
          </cell>
          <cell r="K84">
            <v>2.2454794866575827</v>
          </cell>
          <cell r="L84">
            <v>19.019249738111856</v>
          </cell>
          <cell r="M84">
            <v>12.541101583463595</v>
          </cell>
          <cell r="N84">
            <v>31.560351321575453</v>
          </cell>
        </row>
        <row r="85">
          <cell r="B85" t="str">
            <v>6"</v>
          </cell>
          <cell r="C85">
            <v>6.625</v>
          </cell>
          <cell r="D85" t="str">
            <v>XS     80   80S</v>
          </cell>
          <cell r="E85">
            <v>0.432</v>
          </cell>
          <cell r="F85">
            <v>0.378</v>
          </cell>
          <cell r="G85">
            <v>5.7610000000000001</v>
          </cell>
          <cell r="H85">
            <v>8.4049415871904465</v>
          </cell>
          <cell r="I85">
            <v>40.490672667842283</v>
          </cell>
          <cell r="J85">
            <v>12.223599295952388</v>
          </cell>
          <cell r="K85">
            <v>2.1948767903916613</v>
          </cell>
          <cell r="L85">
            <v>28.641024590425925</v>
          </cell>
          <cell r="M85">
            <v>11.315397780621041</v>
          </cell>
          <cell r="N85">
            <v>39.956422371046969</v>
          </cell>
        </row>
        <row r="86">
          <cell r="B86" t="str">
            <v>6"</v>
          </cell>
          <cell r="C86">
            <v>6.625</v>
          </cell>
          <cell r="D86" t="str">
            <v>120</v>
          </cell>
          <cell r="E86">
            <v>0.56200000000000006</v>
          </cell>
          <cell r="F86">
            <v>0.49175000000000002</v>
          </cell>
          <cell r="G86">
            <v>5.5009999999999994</v>
          </cell>
          <cell r="H86">
            <v>10.704681657397789</v>
          </cell>
          <cell r="I86">
            <v>49.610596919276304</v>
          </cell>
          <cell r="J86">
            <v>14.976783975630582</v>
          </cell>
          <cell r="K86">
            <v>2.152783459849132</v>
          </cell>
          <cell r="L86">
            <v>36.477713426286577</v>
          </cell>
          <cell r="M86">
            <v>10.317093470320321</v>
          </cell>
          <cell r="N86">
            <v>46.7948068966069</v>
          </cell>
        </row>
        <row r="87">
          <cell r="B87" t="str">
            <v>6"</v>
          </cell>
          <cell r="C87">
            <v>6.625</v>
          </cell>
          <cell r="D87">
            <v>160</v>
          </cell>
          <cell r="E87">
            <v>0.71799999999999997</v>
          </cell>
          <cell r="F87">
            <v>0.62824999999999998</v>
          </cell>
          <cell r="G87">
            <v>5.1890000000000001</v>
          </cell>
          <cell r="H87">
            <v>13.324204443814024</v>
          </cell>
          <cell r="I87">
            <v>58.973217004241967</v>
          </cell>
          <cell r="J87">
            <v>17.803235322035309</v>
          </cell>
          <cell r="K87">
            <v>2.1038112142015022</v>
          </cell>
          <cell r="L87">
            <v>45.404106996382481</v>
          </cell>
          <cell r="M87">
            <v>9.1799732703081034</v>
          </cell>
          <cell r="N87">
            <v>54.584080266690584</v>
          </cell>
        </row>
        <row r="88">
          <cell r="B88" t="str">
            <v>6"</v>
          </cell>
          <cell r="C88">
            <v>6.625</v>
          </cell>
          <cell r="D88" t="str">
            <v>XXS</v>
          </cell>
          <cell r="E88">
            <v>0.86399999999999999</v>
          </cell>
          <cell r="F88">
            <v>0.75600000000000001</v>
          </cell>
          <cell r="G88">
            <v>4.8970000000000002</v>
          </cell>
          <cell r="H88">
            <v>15.637289999613809</v>
          </cell>
          <cell r="I88">
            <v>66.332635543103052</v>
          </cell>
          <cell r="J88">
            <v>20.024946579049978</v>
          </cell>
          <cell r="K88">
            <v>2.0595999915032044</v>
          </cell>
          <cell r="L88">
            <v>53.286272457756738</v>
          </cell>
          <cell r="M88">
            <v>8.1758757593050131</v>
          </cell>
          <cell r="N88">
            <v>61.462148217061753</v>
          </cell>
        </row>
        <row r="89">
          <cell r="B89" t="str">
            <v>8"</v>
          </cell>
          <cell r="C89">
            <v>8.625</v>
          </cell>
          <cell r="D89" t="str">
            <v>5S</v>
          </cell>
          <cell r="E89">
            <v>0.109</v>
          </cell>
          <cell r="F89">
            <v>9.5375000000000001E-2</v>
          </cell>
          <cell r="G89">
            <v>8.407</v>
          </cell>
          <cell r="H89">
            <v>2.916164531138802</v>
          </cell>
          <cell r="I89">
            <v>26.440184702020311</v>
          </cell>
          <cell r="J89">
            <v>6.1310573222076084</v>
          </cell>
          <cell r="K89">
            <v>3.011107292176749</v>
          </cell>
          <cell r="L89">
            <v>9.937242178264027</v>
          </cell>
          <cell r="M89">
            <v>24.096622282768887</v>
          </cell>
          <cell r="N89">
            <v>34.033864461032913</v>
          </cell>
        </row>
        <row r="90">
          <cell r="B90" t="str">
            <v>8"</v>
          </cell>
          <cell r="C90">
            <v>8.625</v>
          </cell>
          <cell r="D90" t="str">
            <v>10S</v>
          </cell>
          <cell r="E90">
            <v>0.14799999999999999</v>
          </cell>
          <cell r="F90">
            <v>0.1295</v>
          </cell>
          <cell r="G90">
            <v>8.3290000000000006</v>
          </cell>
          <cell r="H90">
            <v>3.9414295768231269</v>
          </cell>
          <cell r="I90">
            <v>35.414450756328733</v>
          </cell>
          <cell r="J90">
            <v>8.2120465521921702</v>
          </cell>
          <cell r="K90">
            <v>2.9975288363917363</v>
          </cell>
          <cell r="L90">
            <v>13.430977510095733</v>
          </cell>
          <cell r="M90">
            <v>23.651560457057844</v>
          </cell>
          <cell r="N90">
            <v>37.082537967153577</v>
          </cell>
        </row>
        <row r="91">
          <cell r="B91" t="str">
            <v>8"</v>
          </cell>
          <cell r="C91">
            <v>8.625</v>
          </cell>
          <cell r="D91" t="str">
            <v>20</v>
          </cell>
          <cell r="E91">
            <v>0.25</v>
          </cell>
          <cell r="F91">
            <v>0.21875</v>
          </cell>
          <cell r="G91">
            <v>8.125</v>
          </cell>
          <cell r="H91">
            <v>6.5777096184536292</v>
          </cell>
          <cell r="I91">
            <v>57.721971319750303</v>
          </cell>
          <cell r="J91">
            <v>13.384804943710215</v>
          </cell>
          <cell r="K91">
            <v>2.9623285815385167</v>
          </cell>
          <cell r="L91">
            <v>22.414473792171371</v>
          </cell>
          <cell r="M91">
            <v>22.507166026220183</v>
          </cell>
          <cell r="N91">
            <v>44.921639818391554</v>
          </cell>
        </row>
        <row r="92">
          <cell r="B92" t="str">
            <v>8"</v>
          </cell>
          <cell r="C92">
            <v>8.625</v>
          </cell>
          <cell r="D92" t="str">
            <v>30</v>
          </cell>
          <cell r="E92">
            <v>0.27700000000000002</v>
          </cell>
          <cell r="F92">
            <v>0.24237500000000001</v>
          </cell>
          <cell r="G92">
            <v>8.0709999999999997</v>
          </cell>
          <cell r="H92">
            <v>7.2646062857904221</v>
          </cell>
          <cell r="I92">
            <v>63.352663618150601</v>
          </cell>
          <cell r="J92">
            <v>14.690472723049414</v>
          </cell>
          <cell r="K92">
            <v>2.9530880659066026</v>
          </cell>
          <cell r="L92">
            <v>24.7551711231627</v>
          </cell>
          <cell r="M92">
            <v>22.208988022272241</v>
          </cell>
          <cell r="N92">
            <v>46.964159145434941</v>
          </cell>
        </row>
        <row r="93">
          <cell r="B93" t="str">
            <v>8"</v>
          </cell>
          <cell r="C93">
            <v>8.625</v>
          </cell>
          <cell r="D93" t="str">
            <v>Std    40   40S</v>
          </cell>
          <cell r="E93">
            <v>0.32200000000000001</v>
          </cell>
          <cell r="F93">
            <v>0.28175</v>
          </cell>
          <cell r="G93">
            <v>7.9809999999999999</v>
          </cell>
          <cell r="H93">
            <v>8.3992553044874523</v>
          </cell>
          <cell r="I93">
            <v>72.489240602574029</v>
          </cell>
          <cell r="J93">
            <v>16.809099270162093</v>
          </cell>
          <cell r="K93">
            <v>2.9377604778129887</v>
          </cell>
          <cell r="L93">
            <v>28.62164777964918</v>
          </cell>
          <cell r="M93">
            <v>21.716443225267597</v>
          </cell>
          <cell r="N93">
            <v>50.338091004916777</v>
          </cell>
        </row>
        <row r="94">
          <cell r="B94" t="str">
            <v>8"</v>
          </cell>
          <cell r="C94">
            <v>8.625</v>
          </cell>
          <cell r="D94" t="str">
            <v>60</v>
          </cell>
          <cell r="E94">
            <v>0.40600000000000003</v>
          </cell>
          <cell r="F94">
            <v>0.35525000000000001</v>
          </cell>
          <cell r="G94">
            <v>7.8129999999999997</v>
          </cell>
          <cell r="H94">
            <v>10.483224508060937</v>
          </cell>
          <cell r="I94">
            <v>88.736298239723411</v>
          </cell>
          <cell r="J94">
            <v>20.576532925153256</v>
          </cell>
          <cell r="K94">
            <v>2.9093984988309867</v>
          </cell>
          <cell r="L94">
            <v>35.723066937184377</v>
          </cell>
          <cell r="M94">
            <v>20.811803842142094</v>
          </cell>
          <cell r="N94">
            <v>56.534870779326468</v>
          </cell>
        </row>
        <row r="95">
          <cell r="B95" t="str">
            <v>8"</v>
          </cell>
          <cell r="C95">
            <v>8.625</v>
          </cell>
          <cell r="D95" t="str">
            <v>XS     80   80S</v>
          </cell>
          <cell r="E95">
            <v>0.5</v>
          </cell>
          <cell r="F95">
            <v>0.4375</v>
          </cell>
          <cell r="G95">
            <v>7.625</v>
          </cell>
          <cell r="H95">
            <v>12.762720155208534</v>
          </cell>
          <cell r="I95">
            <v>105.71620347312381</v>
          </cell>
          <cell r="J95">
            <v>24.513902254637404</v>
          </cell>
          <cell r="K95">
            <v>2.8780554416133128</v>
          </cell>
          <cell r="L95">
            <v>43.490770044511613</v>
          </cell>
          <cell r="M95">
            <v>19.822287522737348</v>
          </cell>
          <cell r="N95">
            <v>63.313057567248961</v>
          </cell>
        </row>
        <row r="96">
          <cell r="B96" t="str">
            <v>8"</v>
          </cell>
          <cell r="C96">
            <v>8.625</v>
          </cell>
          <cell r="D96" t="str">
            <v>100</v>
          </cell>
          <cell r="E96">
            <v>0.59299999999999997</v>
          </cell>
          <cell r="F96">
            <v>0.51887499999999998</v>
          </cell>
          <cell r="G96">
            <v>7.4390000000000001</v>
          </cell>
          <cell r="H96">
            <v>14.963330410824499</v>
          </cell>
          <cell r="I96">
            <v>121.32394176113586</v>
          </cell>
          <cell r="J96">
            <v>28.133087944611212</v>
          </cell>
          <cell r="K96">
            <v>2.8474697759590009</v>
          </cell>
          <cell r="L96">
            <v>50.989660047637607</v>
          </cell>
          <cell r="M96">
            <v>18.867014910874168</v>
          </cell>
          <cell r="N96">
            <v>69.856674958511775</v>
          </cell>
        </row>
        <row r="97">
          <cell r="B97" t="str">
            <v>8"</v>
          </cell>
          <cell r="C97">
            <v>8.625</v>
          </cell>
          <cell r="D97" t="str">
            <v>120</v>
          </cell>
          <cell r="E97">
            <v>0.71799999999999997</v>
          </cell>
          <cell r="F97">
            <v>0.62824999999999998</v>
          </cell>
          <cell r="G97">
            <v>7.1890000000000001</v>
          </cell>
          <cell r="H97">
            <v>17.835531494368965</v>
          </cell>
          <cell r="I97">
            <v>140.53545610324883</v>
          </cell>
          <cell r="J97">
            <v>32.587931850028717</v>
          </cell>
          <cell r="K97">
            <v>2.8070485612115799</v>
          </cell>
          <cell r="L97">
            <v>60.777090573962454</v>
          </cell>
          <cell r="M97">
            <v>17.620208474399661</v>
          </cell>
          <cell r="N97">
            <v>78.397299048362115</v>
          </cell>
        </row>
        <row r="98">
          <cell r="B98" t="str">
            <v>8"</v>
          </cell>
          <cell r="C98">
            <v>8.625</v>
          </cell>
          <cell r="D98" t="str">
            <v>140</v>
          </cell>
          <cell r="E98">
            <v>0.81200000000000006</v>
          </cell>
          <cell r="F98">
            <v>0.71050000000000002</v>
          </cell>
          <cell r="G98">
            <v>7.0009999999999994</v>
          </cell>
          <cell r="H98">
            <v>19.930753882827613</v>
          </cell>
          <cell r="I98">
            <v>153.72170180052433</v>
          </cell>
          <cell r="J98">
            <v>35.645612011715784</v>
          </cell>
          <cell r="K98">
            <v>2.777190869385826</v>
          </cell>
          <cell r="L98">
            <v>67.916856547079078</v>
          </cell>
          <cell r="M98">
            <v>16.710684146614103</v>
          </cell>
          <cell r="N98">
            <v>84.627540693693177</v>
          </cell>
        </row>
        <row r="99">
          <cell r="B99" t="str">
            <v>8"</v>
          </cell>
          <cell r="C99">
            <v>8.625</v>
          </cell>
          <cell r="D99" t="str">
            <v>XXS</v>
          </cell>
          <cell r="E99">
            <v>0.875</v>
          </cell>
          <cell r="F99">
            <v>0.765625</v>
          </cell>
          <cell r="G99">
            <v>6.875</v>
          </cell>
          <cell r="H99">
            <v>21.303925182155783</v>
          </cell>
          <cell r="I99">
            <v>161.98472799635249</v>
          </cell>
          <cell r="J99">
            <v>37.561676057125212</v>
          </cell>
          <cell r="K99">
            <v>2.7574473023069728</v>
          </cell>
          <cell r="L99">
            <v>72.596131535838623</v>
          </cell>
          <cell r="M99">
            <v>16.114598160784865</v>
          </cell>
          <cell r="N99">
            <v>88.710729696623488</v>
          </cell>
        </row>
        <row r="100">
          <cell r="B100" t="str">
            <v>8"</v>
          </cell>
          <cell r="C100">
            <v>8.625</v>
          </cell>
          <cell r="D100">
            <v>160</v>
          </cell>
          <cell r="E100">
            <v>0.90600000000000003</v>
          </cell>
          <cell r="F100">
            <v>0.79275000000000007</v>
          </cell>
          <cell r="G100">
            <v>6.8129999999999997</v>
          </cell>
          <cell r="H100">
            <v>21.970458045912014</v>
          </cell>
          <cell r="I100">
            <v>165.88738597528572</v>
          </cell>
          <cell r="J100">
            <v>38.46664022615321</v>
          </cell>
          <cell r="K100">
            <v>2.747812698311149</v>
          </cell>
          <cell r="L100">
            <v>74.867436332324488</v>
          </cell>
          <cell r="M100">
            <v>15.825259970149723</v>
          </cell>
          <cell r="N100">
            <v>90.692696302474218</v>
          </cell>
        </row>
        <row r="101">
          <cell r="B101" t="str">
            <v>10"</v>
          </cell>
          <cell r="C101">
            <v>10.75</v>
          </cell>
          <cell r="D101" t="str">
            <v>5S</v>
          </cell>
          <cell r="E101">
            <v>0.13400000000000001</v>
          </cell>
          <cell r="F101">
            <v>0.11725000000000001</v>
          </cell>
          <cell r="G101">
            <v>10.481999999999999</v>
          </cell>
          <cell r="H101">
            <v>4.4690537798082453</v>
          </cell>
          <cell r="I101">
            <v>62.967522018600363</v>
          </cell>
          <cell r="J101">
            <v>11.714887817414022</v>
          </cell>
          <cell r="K101">
            <v>3.7536217843570747</v>
          </cell>
          <cell r="L101">
            <v>15.228931441772266</v>
          </cell>
          <cell r="M101">
            <v>37.459535344165204</v>
          </cell>
          <cell r="N101">
            <v>52.688466785937472</v>
          </cell>
        </row>
        <row r="102">
          <cell r="B102" t="str">
            <v>10"</v>
          </cell>
          <cell r="C102">
            <v>10.75</v>
          </cell>
          <cell r="D102" t="str">
            <v>10S</v>
          </cell>
          <cell r="E102">
            <v>0.16500000000000001</v>
          </cell>
          <cell r="F102">
            <v>0.144375</v>
          </cell>
          <cell r="G102">
            <v>10.42</v>
          </cell>
          <cell r="H102">
            <v>5.4868701093109191</v>
          </cell>
          <cell r="I102">
            <v>76.863814421489309</v>
          </cell>
          <cell r="J102">
            <v>14.300244543532894</v>
          </cell>
          <cell r="K102">
            <v>3.7428172878194306</v>
          </cell>
          <cell r="L102">
            <v>18.697284222028486</v>
          </cell>
          <cell r="M102">
            <v>37.017706964514737</v>
          </cell>
          <cell r="N102">
            <v>55.714991186543223</v>
          </cell>
        </row>
        <row r="103">
          <cell r="B103" t="str">
            <v>10"</v>
          </cell>
          <cell r="C103">
            <v>10.75</v>
          </cell>
          <cell r="D103" t="str">
            <v>20</v>
          </cell>
          <cell r="E103">
            <v>0.25</v>
          </cell>
          <cell r="F103">
            <v>0.21875</v>
          </cell>
          <cell r="G103">
            <v>10.25</v>
          </cell>
          <cell r="H103">
            <v>8.2466807156732074</v>
          </cell>
          <cell r="I103">
            <v>113.71399580596258</v>
          </cell>
          <cell r="J103">
            <v>21.156092242969784</v>
          </cell>
          <cell r="K103">
            <v>3.7133626943782372</v>
          </cell>
          <cell r="L103">
            <v>28.101728336453665</v>
          </cell>
          <cell r="M103">
            <v>35.819688605989228</v>
          </cell>
          <cell r="N103">
            <v>63.921416942442889</v>
          </cell>
        </row>
        <row r="104">
          <cell r="B104" t="str">
            <v>10"</v>
          </cell>
          <cell r="C104">
            <v>10.75</v>
          </cell>
          <cell r="D104" t="str">
            <v>30</v>
          </cell>
          <cell r="E104">
            <v>0.307</v>
          </cell>
          <cell r="F104">
            <v>0.268625</v>
          </cell>
          <cell r="G104">
            <v>10.135999999999999</v>
          </cell>
          <cell r="H104">
            <v>10.071949189001543</v>
          </cell>
          <cell r="I104">
            <v>137.41978372627682</v>
          </cell>
          <cell r="J104">
            <v>25.566471390935224</v>
          </cell>
          <cell r="K104">
            <v>3.6937531387465512</v>
          </cell>
          <cell r="L104">
            <v>34.321588247009103</v>
          </cell>
          <cell r="M104">
            <v>35.02734976388026</v>
          </cell>
          <cell r="N104">
            <v>69.348938010889356</v>
          </cell>
        </row>
        <row r="105">
          <cell r="B105" t="str">
            <v>10"</v>
          </cell>
          <cell r="C105">
            <v>10.75</v>
          </cell>
          <cell r="D105" t="str">
            <v>Std    40   40S</v>
          </cell>
          <cell r="E105">
            <v>0.36499999999999999</v>
          </cell>
          <cell r="F105">
            <v>0.31937499999999996</v>
          </cell>
          <cell r="G105">
            <v>10.02</v>
          </cell>
          <cell r="H105">
            <v>11.908285493248458</v>
          </cell>
          <cell r="I105">
            <v>160.73424182186673</v>
          </cell>
          <cell r="J105">
            <v>29.904044990114741</v>
          </cell>
          <cell r="K105">
            <v>3.673919058716455</v>
          </cell>
          <cell r="L105">
            <v>40.579163353347077</v>
          </cell>
          <cell r="M105">
            <v>34.230206438232109</v>
          </cell>
          <cell r="N105">
            <v>74.809369791579186</v>
          </cell>
        </row>
        <row r="106">
          <cell r="B106" t="str">
            <v>10"</v>
          </cell>
          <cell r="C106">
            <v>10.75</v>
          </cell>
          <cell r="D106" t="str">
            <v>XS     60   80S</v>
          </cell>
          <cell r="E106">
            <v>0.5</v>
          </cell>
          <cell r="F106">
            <v>0.4375</v>
          </cell>
          <cell r="G106">
            <v>9.75</v>
          </cell>
          <cell r="H106">
            <v>16.100662349647688</v>
          </cell>
          <cell r="I106">
            <v>211.95012546215904</v>
          </cell>
          <cell r="J106">
            <v>39.432581481331916</v>
          </cell>
          <cell r="K106">
            <v>3.6282313184249979</v>
          </cell>
          <cell r="L106">
            <v>54.865279133076186</v>
          </cell>
          <cell r="M106">
            <v>32.410319077757066</v>
          </cell>
          <cell r="N106">
            <v>87.275598210833252</v>
          </cell>
        </row>
        <row r="107">
          <cell r="B107" t="str">
            <v>10"</v>
          </cell>
          <cell r="C107">
            <v>10.75</v>
          </cell>
          <cell r="D107" t="str">
            <v>80</v>
          </cell>
          <cell r="E107">
            <v>0.59299999999999997</v>
          </cell>
          <cell r="F107">
            <v>0.51887499999999998</v>
          </cell>
          <cell r="G107">
            <v>9.5640000000000001</v>
          </cell>
          <cell r="H107">
            <v>18.92212985342934</v>
          </cell>
          <cell r="I107">
            <v>244.84360408778593</v>
          </cell>
          <cell r="J107">
            <v>45.552298434936915</v>
          </cell>
          <cell r="K107">
            <v>3.5971568286634374</v>
          </cell>
          <cell r="L107">
            <v>64.479827826675205</v>
          </cell>
          <cell r="M107">
            <v>31.185535804687124</v>
          </cell>
          <cell r="N107">
            <v>95.665363631362325</v>
          </cell>
        </row>
        <row r="108">
          <cell r="B108" t="str">
            <v>10"</v>
          </cell>
          <cell r="C108">
            <v>10.75</v>
          </cell>
          <cell r="E108">
            <v>0.625</v>
          </cell>
          <cell r="F108">
            <v>0.546875</v>
          </cell>
          <cell r="G108">
            <v>9.5</v>
          </cell>
          <cell r="H108">
            <v>19.880391010997908</v>
          </cell>
          <cell r="I108">
            <v>255.72706093443796</v>
          </cell>
          <cell r="J108">
            <v>47.577127615709387</v>
          </cell>
          <cell r="K108">
            <v>3.5865416838508932</v>
          </cell>
          <cell r="L108">
            <v>67.745237953950777</v>
          </cell>
          <cell r="M108">
            <v>30.769559992295328</v>
          </cell>
          <cell r="N108">
            <v>98.514797946246105</v>
          </cell>
        </row>
        <row r="109">
          <cell r="B109" t="str">
            <v>10"</v>
          </cell>
          <cell r="C109">
            <v>10.75</v>
          </cell>
          <cell r="D109" t="str">
            <v>100</v>
          </cell>
          <cell r="E109">
            <v>0.71799999999999997</v>
          </cell>
          <cell r="F109">
            <v>0.62824999999999998</v>
          </cell>
          <cell r="G109">
            <v>9.3140000000000001</v>
          </cell>
          <cell r="H109">
            <v>22.628816485583592</v>
          </cell>
          <cell r="I109">
            <v>286.131620125891</v>
          </cell>
          <cell r="J109">
            <v>53.23378979086344</v>
          </cell>
          <cell r="K109">
            <v>3.5559202043915441</v>
          </cell>
          <cell r="L109">
            <v>77.110885625141194</v>
          </cell>
          <cell r="M109">
            <v>29.576483855837953</v>
          </cell>
          <cell r="N109">
            <v>106.68736948097914</v>
          </cell>
        </row>
        <row r="110">
          <cell r="B110" t="str">
            <v>10"</v>
          </cell>
          <cell r="C110">
            <v>10.75</v>
          </cell>
          <cell r="E110">
            <v>0.75</v>
          </cell>
          <cell r="F110">
            <v>0.65625</v>
          </cell>
          <cell r="G110">
            <v>9.25</v>
          </cell>
          <cell r="H110">
            <v>23.561944901923447</v>
          </cell>
          <cell r="I110">
            <v>296.18101052495962</v>
          </cell>
          <cell r="J110">
            <v>55.103443818597135</v>
          </cell>
          <cell r="K110">
            <v>3.5454636509207087</v>
          </cell>
          <cell r="L110">
            <v>80.290652389867589</v>
          </cell>
          <cell r="M110">
            <v>29.1714180259365</v>
          </cell>
          <cell r="N110">
            <v>109.46207041580409</v>
          </cell>
        </row>
        <row r="111">
          <cell r="B111" t="str">
            <v>10"</v>
          </cell>
          <cell r="C111">
            <v>10.75</v>
          </cell>
          <cell r="D111" t="str">
            <v>120</v>
          </cell>
          <cell r="E111">
            <v>0.84299999999999997</v>
          </cell>
          <cell r="F111">
            <v>0.73762499999999998</v>
          </cell>
          <cell r="G111">
            <v>9.0640000000000001</v>
          </cell>
          <cell r="H111">
            <v>26.237328347313166</v>
          </cell>
          <cell r="I111">
            <v>324.22548272635999</v>
          </cell>
          <cell r="J111">
            <v>60.321020042113489</v>
          </cell>
          <cell r="K111">
            <v>3.5153111170990257</v>
          </cell>
          <cell r="L111">
            <v>89.407399038649416</v>
          </cell>
          <cell r="M111">
            <v>28.010049026091686</v>
          </cell>
          <cell r="N111">
            <v>117.41744806474111</v>
          </cell>
        </row>
        <row r="112">
          <cell r="B112" t="str">
            <v>10"</v>
          </cell>
          <cell r="C112">
            <v>10.75</v>
          </cell>
          <cell r="E112">
            <v>0.875</v>
          </cell>
          <cell r="F112">
            <v>0.765625</v>
          </cell>
          <cell r="G112">
            <v>9</v>
          </cell>
          <cell r="H112">
            <v>27.145324022424305</v>
          </cell>
          <cell r="I112">
            <v>333.48454707236112</v>
          </cell>
          <cell r="J112">
            <v>62.043636664625325</v>
          </cell>
          <cell r="K112">
            <v>3.5050187232024883</v>
          </cell>
          <cell r="L112">
            <v>92.501522440826633</v>
          </cell>
          <cell r="M112">
            <v>27.615893178680572</v>
          </cell>
          <cell r="N112">
            <v>120.1174156195072</v>
          </cell>
        </row>
        <row r="113">
          <cell r="B113" t="str">
            <v>10"</v>
          </cell>
          <cell r="C113">
            <v>10.75</v>
          </cell>
          <cell r="D113" t="str">
            <v>140</v>
          </cell>
          <cell r="E113">
            <v>1</v>
          </cell>
          <cell r="F113">
            <v>0.875</v>
          </cell>
          <cell r="G113">
            <v>8.75</v>
          </cell>
          <cell r="H113">
            <v>30.630528372500482</v>
          </cell>
          <cell r="I113">
            <v>367.80564147291597</v>
          </cell>
          <cell r="J113">
            <v>68.428956553100647</v>
          </cell>
          <cell r="K113">
            <v>3.465229068907278</v>
          </cell>
          <cell r="L113">
            <v>104.37784810682787</v>
          </cell>
          <cell r="M113">
            <v>26.102985450527552</v>
          </cell>
          <cell r="N113">
            <v>130.48083355735542</v>
          </cell>
        </row>
        <row r="114">
          <cell r="B114" t="str">
            <v>10"</v>
          </cell>
          <cell r="C114">
            <v>10.75</v>
          </cell>
          <cell r="D114" t="str">
            <v>160</v>
          </cell>
          <cell r="E114">
            <v>1.125</v>
          </cell>
          <cell r="F114">
            <v>0.984375</v>
          </cell>
          <cell r="G114">
            <v>8.5</v>
          </cell>
          <cell r="H114">
            <v>34.017557952151975</v>
          </cell>
          <cell r="I114">
            <v>399.30766268053395</v>
          </cell>
          <cell r="J114">
            <v>74.289797708006319</v>
          </cell>
          <cell r="K114">
            <v>3.4261175184164365</v>
          </cell>
          <cell r="L114">
            <v>115.91962938787134</v>
          </cell>
          <cell r="M114">
            <v>24.632694841477427</v>
          </cell>
          <cell r="N114">
            <v>140.55232422934876</v>
          </cell>
        </row>
        <row r="115">
          <cell r="B115" t="str">
            <v>12"</v>
          </cell>
          <cell r="C115">
            <v>12.75</v>
          </cell>
          <cell r="D115" t="str">
            <v>5S</v>
          </cell>
          <cell r="E115">
            <v>0.16500000000000001</v>
          </cell>
          <cell r="F115">
            <v>0.144375</v>
          </cell>
          <cell r="G115">
            <v>12.42</v>
          </cell>
          <cell r="H115">
            <v>6.5235956849955565</v>
          </cell>
          <cell r="I115">
            <v>129.17490056031494</v>
          </cell>
          <cell r="J115">
            <v>20.262729499657244</v>
          </cell>
          <cell r="K115">
            <v>4.4498518233756954</v>
          </cell>
          <cell r="L115">
            <v>22.230072927182682</v>
          </cell>
          <cell r="M115">
            <v>52.591706969479283</v>
          </cell>
          <cell r="N115">
            <v>74.821779896661965</v>
          </cell>
        </row>
        <row r="116">
          <cell r="B116" t="str">
            <v>12"</v>
          </cell>
          <cell r="C116">
            <v>12.75</v>
          </cell>
          <cell r="D116" t="str">
            <v>10S</v>
          </cell>
          <cell r="E116">
            <v>0.18</v>
          </cell>
          <cell r="F116">
            <v>0.1575</v>
          </cell>
          <cell r="G116">
            <v>12.39</v>
          </cell>
          <cell r="H116">
            <v>7.1081675380122631</v>
          </cell>
          <cell r="I116">
            <v>140.41945070688809</v>
          </cell>
          <cell r="J116">
            <v>22.02658050304127</v>
          </cell>
          <cell r="K116">
            <v>4.4446217499355321</v>
          </cell>
          <cell r="L116">
            <v>24.222084012975248</v>
          </cell>
          <cell r="M116">
            <v>52.33794759549297</v>
          </cell>
          <cell r="N116">
            <v>76.560031608468222</v>
          </cell>
        </row>
        <row r="117">
          <cell r="B117" t="str">
            <v>12"</v>
          </cell>
          <cell r="C117">
            <v>12.75</v>
          </cell>
          <cell r="D117" t="str">
            <v>20</v>
          </cell>
          <cell r="E117">
            <v>0.25</v>
          </cell>
          <cell r="F117">
            <v>0.21875</v>
          </cell>
          <cell r="G117">
            <v>12.25</v>
          </cell>
          <cell r="H117">
            <v>9.8174770424681039</v>
          </cell>
          <cell r="I117">
            <v>191.82429752509944</v>
          </cell>
          <cell r="J117">
            <v>30.090085886290108</v>
          </cell>
          <cell r="K117">
            <v>4.4203011775217309</v>
          </cell>
          <cell r="L117">
            <v>33.45443849577817</v>
          </cell>
          <cell r="M117">
            <v>51.161851483033999</v>
          </cell>
          <cell r="N117">
            <v>84.616289978812176</v>
          </cell>
        </row>
        <row r="118">
          <cell r="B118" t="str">
            <v>12"</v>
          </cell>
          <cell r="C118">
            <v>12.75</v>
          </cell>
          <cell r="D118" t="str">
            <v>30</v>
          </cell>
          <cell r="E118">
            <v>0.33</v>
          </cell>
          <cell r="F118">
            <v>0.28875000000000001</v>
          </cell>
          <cell r="G118">
            <v>12.09</v>
          </cell>
          <cell r="H118">
            <v>12.876131650003119</v>
          </cell>
          <cell r="I118">
            <v>248.45349062402838</v>
          </cell>
          <cell r="J118">
            <v>38.973096568475036</v>
          </cell>
          <cell r="K118">
            <v>4.3926828362630514</v>
          </cell>
          <cell r="L118">
            <v>43.877235718014823</v>
          </cell>
          <cell r="M118">
            <v>49.834106613959264</v>
          </cell>
          <cell r="N118">
            <v>93.711342331974095</v>
          </cell>
        </row>
        <row r="119">
          <cell r="B119" t="str">
            <v>12"</v>
          </cell>
          <cell r="C119">
            <v>12.75</v>
          </cell>
          <cell r="D119" t="str">
            <v>Std            40S</v>
          </cell>
          <cell r="E119">
            <v>0.375</v>
          </cell>
          <cell r="F119">
            <v>0.328125</v>
          </cell>
          <cell r="G119">
            <v>12</v>
          </cell>
          <cell r="H119">
            <v>14.578953408065134</v>
          </cell>
          <cell r="I119">
            <v>279.33502525999796</v>
          </cell>
          <cell r="J119">
            <v>43.817258864313409</v>
          </cell>
          <cell r="K119">
            <v>4.3772315737232823</v>
          </cell>
          <cell r="L119">
            <v>49.679841166230581</v>
          </cell>
          <cell r="M119">
            <v>49.094921206543248</v>
          </cell>
          <cell r="N119">
            <v>98.774762372773836</v>
          </cell>
        </row>
        <row r="120">
          <cell r="B120" t="str">
            <v>12"</v>
          </cell>
          <cell r="C120">
            <v>12.75</v>
          </cell>
          <cell r="D120" t="str">
            <v>40</v>
          </cell>
          <cell r="E120">
            <v>0.40600000000000003</v>
          </cell>
          <cell r="F120">
            <v>0.35525000000000001</v>
          </cell>
          <cell r="G120">
            <v>11.938000000000001</v>
          </cell>
          <cell r="H120">
            <v>15.744606804660425</v>
          </cell>
          <cell r="I120">
            <v>300.2086606810584</v>
          </cell>
          <cell r="J120">
            <v>47.091554616636614</v>
          </cell>
          <cell r="K120">
            <v>4.3666230086876059</v>
          </cell>
          <cell r="L120">
            <v>53.651969615841743</v>
          </cell>
          <cell r="M120">
            <v>48.588917582388959</v>
          </cell>
          <cell r="N120">
            <v>102.24088719823069</v>
          </cell>
        </row>
        <row r="121">
          <cell r="B121" t="str">
            <v>12"</v>
          </cell>
          <cell r="C121">
            <v>12.75</v>
          </cell>
          <cell r="D121" t="str">
            <v>XS             80S</v>
          </cell>
          <cell r="E121">
            <v>0.5</v>
          </cell>
          <cell r="F121">
            <v>0.4375</v>
          </cell>
          <cell r="G121">
            <v>11.75</v>
          </cell>
          <cell r="H121">
            <v>19.242255003237482</v>
          </cell>
          <cell r="I121">
            <v>361.54393189676676</v>
          </cell>
          <cell r="J121">
            <v>56.712773630865378</v>
          </cell>
          <cell r="K121">
            <v>4.3346352210999255</v>
          </cell>
          <cell r="L121">
            <v>65.570699451725204</v>
          </cell>
          <cell r="M121">
            <v>47.070608049155396</v>
          </cell>
          <cell r="N121">
            <v>112.6413075008806</v>
          </cell>
        </row>
        <row r="122">
          <cell r="B122" t="str">
            <v>12"</v>
          </cell>
          <cell r="C122">
            <v>12.75</v>
          </cell>
          <cell r="D122" t="str">
            <v>60</v>
          </cell>
          <cell r="E122">
            <v>0.56200000000000006</v>
          </cell>
          <cell r="F122">
            <v>0.49175000000000002</v>
          </cell>
          <cell r="G122">
            <v>11.625999999999999</v>
          </cell>
          <cell r="H122">
            <v>21.518828969217257</v>
          </cell>
          <cell r="I122">
            <v>400.42018529805438</v>
          </cell>
          <cell r="J122">
            <v>62.811009458518335</v>
          </cell>
          <cell r="K122">
            <v>4.3136873437930108</v>
          </cell>
          <cell r="L122">
            <v>73.328446518156156</v>
          </cell>
          <cell r="M122">
            <v>46.082360015215144</v>
          </cell>
          <cell r="N122">
            <v>119.4108065333713</v>
          </cell>
        </row>
        <row r="123">
          <cell r="B123" t="str">
            <v>12"</v>
          </cell>
          <cell r="C123">
            <v>12.75</v>
          </cell>
          <cell r="E123">
            <v>0.625</v>
          </cell>
          <cell r="F123">
            <v>0.546875</v>
          </cell>
          <cell r="G123">
            <v>11.5</v>
          </cell>
          <cell r="H123">
            <v>23.80738182798515</v>
          </cell>
          <cell r="I123">
            <v>438.6696096976795</v>
          </cell>
          <cell r="J123">
            <v>68.810919168263453</v>
          </cell>
          <cell r="K123">
            <v>4.2925262084231939</v>
          </cell>
          <cell r="L123">
            <v>81.127013352262054</v>
          </cell>
          <cell r="M123">
            <v>45.088912010870445</v>
          </cell>
          <cell r="N123">
            <v>126.2159253631325</v>
          </cell>
        </row>
        <row r="124">
          <cell r="B124" t="str">
            <v>12"</v>
          </cell>
          <cell r="C124">
            <v>12.75</v>
          </cell>
          <cell r="D124" t="str">
            <v>80</v>
          </cell>
          <cell r="E124">
            <v>0.68700000000000006</v>
          </cell>
          <cell r="F124">
            <v>0.60112500000000002</v>
          </cell>
          <cell r="G124">
            <v>11.375999999999999</v>
          </cell>
          <cell r="H124">
            <v>26.035261107834273</v>
          </cell>
          <cell r="I124">
            <v>475.10426055304021</v>
          </cell>
          <cell r="J124">
            <v>74.52615851812395</v>
          </cell>
          <cell r="K124">
            <v>4.2718254002241247</v>
          </cell>
          <cell r="L124">
            <v>88.718826403753923</v>
          </cell>
          <cell r="M124">
            <v>44.121802068005238</v>
          </cell>
          <cell r="N124">
            <v>132.84062847175915</v>
          </cell>
        </row>
        <row r="125">
          <cell r="B125" t="str">
            <v>12"</v>
          </cell>
          <cell r="C125">
            <v>12.75</v>
          </cell>
          <cell r="E125">
            <v>0.75</v>
          </cell>
          <cell r="F125">
            <v>0.65625</v>
          </cell>
          <cell r="G125">
            <v>11.25</v>
          </cell>
          <cell r="H125">
            <v>28.274333882308138</v>
          </cell>
          <cell r="I125">
            <v>510.92604898264625</v>
          </cell>
          <cell r="J125">
            <v>80.145262585513137</v>
          </cell>
          <cell r="K125">
            <v>4.2509190182829881</v>
          </cell>
          <cell r="L125">
            <v>96.348782867841123</v>
          </cell>
          <cell r="M125">
            <v>43.1498330916884</v>
          </cell>
          <cell r="N125">
            <v>139.49861595952953</v>
          </cell>
        </row>
        <row r="126">
          <cell r="B126" t="str">
            <v>12"</v>
          </cell>
          <cell r="C126">
            <v>12.75</v>
          </cell>
          <cell r="D126" t="str">
            <v>100</v>
          </cell>
          <cell r="E126">
            <v>0.84299999999999997</v>
          </cell>
          <cell r="F126">
            <v>0.73762499999999998</v>
          </cell>
          <cell r="G126">
            <v>11.064</v>
          </cell>
          <cell r="H126">
            <v>31.534053561265555</v>
          </cell>
          <cell r="I126">
            <v>561.65026086650084</v>
          </cell>
          <cell r="J126">
            <v>88.102001704549153</v>
          </cell>
          <cell r="K126">
            <v>4.2202976494555458</v>
          </cell>
          <cell r="L126">
            <v>107.45673769589163</v>
          </cell>
          <cell r="M126">
            <v>41.734806998943114</v>
          </cell>
          <cell r="N126">
            <v>149.19154469483476</v>
          </cell>
        </row>
        <row r="127">
          <cell r="B127" t="str">
            <v>12"</v>
          </cell>
          <cell r="C127">
            <v>12.75</v>
          </cell>
          <cell r="E127">
            <v>0.875</v>
          </cell>
          <cell r="F127">
            <v>0.765625</v>
          </cell>
          <cell r="G127">
            <v>11</v>
          </cell>
          <cell r="H127">
            <v>32.643111166206445</v>
          </cell>
          <cell r="I127">
            <v>578.52263812921342</v>
          </cell>
          <cell r="J127">
            <v>90.748649118307981</v>
          </cell>
          <cell r="K127">
            <v>4.2098285297622278</v>
          </cell>
          <cell r="L127">
            <v>111.23600799846241</v>
          </cell>
          <cell r="M127">
            <v>41.253371291609248</v>
          </cell>
          <cell r="N127">
            <v>152.48937929007167</v>
          </cell>
        </row>
        <row r="128">
          <cell r="B128" t="str">
            <v>12"</v>
          </cell>
          <cell r="C128">
            <v>12.75</v>
          </cell>
          <cell r="D128" t="str">
            <v>120</v>
          </cell>
          <cell r="E128">
            <v>1</v>
          </cell>
          <cell r="F128">
            <v>0.875</v>
          </cell>
          <cell r="G128">
            <v>10.75</v>
          </cell>
          <cell r="H128">
            <v>36.913713679680072</v>
          </cell>
          <cell r="I128">
            <v>641.66416357256367</v>
          </cell>
          <cell r="J128">
            <v>100.65320212902959</v>
          </cell>
          <cell r="K128">
            <v>4.1692700200394786</v>
          </cell>
          <cell r="L128">
            <v>125.78868874412593</v>
          </cell>
          <cell r="M128">
            <v>39.399526610633011</v>
          </cell>
          <cell r="N128">
            <v>165.18821535475894</v>
          </cell>
        </row>
        <row r="129">
          <cell r="B129" t="str">
            <v>12"</v>
          </cell>
          <cell r="C129">
            <v>12.75</v>
          </cell>
          <cell r="D129" t="str">
            <v>140</v>
          </cell>
          <cell r="E129">
            <v>1.125</v>
          </cell>
          <cell r="F129">
            <v>0.984375</v>
          </cell>
          <cell r="G129">
            <v>10.5</v>
          </cell>
          <cell r="H129">
            <v>41.086141422729014</v>
          </cell>
          <cell r="I129">
            <v>700.55080980551622</v>
          </cell>
          <cell r="J129">
            <v>109.89032310674764</v>
          </cell>
          <cell r="K129">
            <v>4.1292591647897323</v>
          </cell>
          <cell r="L129">
            <v>140.00682510483165</v>
          </cell>
          <cell r="M129">
            <v>37.588299048759673</v>
          </cell>
          <cell r="N129">
            <v>177.59512415359131</v>
          </cell>
        </row>
        <row r="130">
          <cell r="B130" t="str">
            <v>12"</v>
          </cell>
          <cell r="C130">
            <v>12.75</v>
          </cell>
          <cell r="D130" t="str">
            <v>160</v>
          </cell>
          <cell r="E130">
            <v>1.3120000000000001</v>
          </cell>
          <cell r="F130">
            <v>1.1480000000000001</v>
          </cell>
          <cell r="G130">
            <v>10.125999999999999</v>
          </cell>
          <cell r="H130">
            <v>47.144800244549202</v>
          </cell>
          <cell r="I130">
            <v>781.12562385464969</v>
          </cell>
          <cell r="J130">
            <v>122.52950962425878</v>
          </cell>
          <cell r="K130">
            <v>4.0704604776364057</v>
          </cell>
          <cell r="L130">
            <v>160.65256005737618</v>
          </cell>
          <cell r="M130">
            <v>34.958269118499217</v>
          </cell>
          <cell r="N130">
            <v>195.61082917587538</v>
          </cell>
        </row>
        <row r="131">
          <cell r="B131" t="str">
            <v>14"</v>
          </cell>
          <cell r="C131">
            <v>14</v>
          </cell>
          <cell r="D131" t="str">
            <v>10</v>
          </cell>
          <cell r="E131">
            <v>0.25</v>
          </cell>
          <cell r="F131">
            <v>0.21875</v>
          </cell>
          <cell r="G131">
            <v>13.5</v>
          </cell>
          <cell r="H131">
            <v>10.799224746714915</v>
          </cell>
          <cell r="I131">
            <v>255.30042252780726</v>
          </cell>
          <cell r="J131">
            <v>36.471488932543892</v>
          </cell>
          <cell r="K131">
            <v>4.8621625846941807</v>
          </cell>
          <cell r="L131">
            <v>36.799882345355982</v>
          </cell>
          <cell r="M131">
            <v>62.135759652031282</v>
          </cell>
          <cell r="N131">
            <v>98.935641997387265</v>
          </cell>
        </row>
        <row r="132">
          <cell r="B132" t="str">
            <v>14"</v>
          </cell>
          <cell r="C132">
            <v>14</v>
          </cell>
          <cell r="D132" t="str">
            <v>20</v>
          </cell>
          <cell r="E132">
            <v>0.312</v>
          </cell>
          <cell r="F132">
            <v>0.27300000000000002</v>
          </cell>
          <cell r="G132">
            <v>13.375999999999999</v>
          </cell>
          <cell r="H132">
            <v>13.41666151560918</v>
          </cell>
          <cell r="I132">
            <v>314.38372063202343</v>
          </cell>
          <cell r="J132">
            <v>44.911960090289064</v>
          </cell>
          <cell r="K132">
            <v>4.8406958177518229</v>
          </cell>
          <cell r="L132">
            <v>45.719167516360351</v>
          </cell>
          <cell r="M132">
            <v>60.999544980565766</v>
          </cell>
          <cell r="N132">
            <v>106.71871249692612</v>
          </cell>
        </row>
        <row r="133">
          <cell r="B133" t="str">
            <v>14"</v>
          </cell>
          <cell r="C133">
            <v>14</v>
          </cell>
          <cell r="D133" t="str">
            <v>Std     30</v>
          </cell>
          <cell r="E133">
            <v>0.375</v>
          </cell>
          <cell r="F133">
            <v>0.328125</v>
          </cell>
          <cell r="G133">
            <v>13.25</v>
          </cell>
          <cell r="H133">
            <v>16.05157496443535</v>
          </cell>
          <cell r="I133">
            <v>372.76020767018809</v>
          </cell>
          <cell r="J133">
            <v>53.251458238598296</v>
          </cell>
          <cell r="K133">
            <v>4.8189891315503086</v>
          </cell>
          <cell r="L133">
            <v>54.69800694059731</v>
          </cell>
          <cell r="M133">
            <v>59.855743780026017</v>
          </cell>
          <cell r="N133">
            <v>114.55375072062333</v>
          </cell>
        </row>
        <row r="134">
          <cell r="B134" t="str">
            <v>14"</v>
          </cell>
          <cell r="C134">
            <v>14</v>
          </cell>
          <cell r="D134" t="str">
            <v>40</v>
          </cell>
          <cell r="E134">
            <v>0.438</v>
          </cell>
          <cell r="F134">
            <v>0.38324999999999998</v>
          </cell>
          <cell r="G134">
            <v>13.124000000000001</v>
          </cell>
          <cell r="H134">
            <v>18.661550450777316</v>
          </cell>
          <cell r="I134">
            <v>429.4948558241723</v>
          </cell>
          <cell r="J134">
            <v>61.356407974881755</v>
          </cell>
          <cell r="K134">
            <v>4.7973910618168283</v>
          </cell>
          <cell r="L134">
            <v>63.591866738344798</v>
          </cell>
          <cell r="M134">
            <v>58.722768009612324</v>
          </cell>
          <cell r="N134">
            <v>122.31463474795711</v>
          </cell>
        </row>
        <row r="135">
          <cell r="B135" t="str">
            <v>14"</v>
          </cell>
          <cell r="C135">
            <v>14</v>
          </cell>
          <cell r="D135" t="str">
            <v>XS</v>
          </cell>
          <cell r="E135">
            <v>0.5</v>
          </cell>
          <cell r="F135">
            <v>0.4375</v>
          </cell>
          <cell r="G135">
            <v>13</v>
          </cell>
          <cell r="H135">
            <v>21.205750411731103</v>
          </cell>
          <cell r="I135">
            <v>483.75618126761577</v>
          </cell>
          <cell r="J135">
            <v>69.108025895373686</v>
          </cell>
          <cell r="K135">
            <v>4.7762432936356998</v>
          </cell>
          <cell r="L135">
            <v>72.261587150880843</v>
          </cell>
          <cell r="M135">
            <v>57.618345027123659</v>
          </cell>
          <cell r="N135">
            <v>129.87993217800451</v>
          </cell>
        </row>
        <row r="136">
          <cell r="B136" t="str">
            <v>14"</v>
          </cell>
          <cell r="C136">
            <v>14</v>
          </cell>
          <cell r="D136" t="str">
            <v>60</v>
          </cell>
          <cell r="E136">
            <v>0.59299999999999997</v>
          </cell>
          <cell r="F136">
            <v>0.51887499999999998</v>
          </cell>
          <cell r="G136">
            <v>12.814</v>
          </cell>
          <cell r="H136">
            <v>24.976764295060256</v>
          </cell>
          <cell r="I136">
            <v>562.28721448147712</v>
          </cell>
          <cell r="J136">
            <v>80.326744925925297</v>
          </cell>
          <cell r="K136">
            <v>4.7447246758900565</v>
          </cell>
          <cell r="L136">
            <v>85.111849135791473</v>
          </cell>
          <cell r="M136">
            <v>55.981368978090458</v>
          </cell>
          <cell r="N136">
            <v>141.09321811388193</v>
          </cell>
        </row>
        <row r="137">
          <cell r="B137" t="str">
            <v>14"</v>
          </cell>
          <cell r="C137">
            <v>14</v>
          </cell>
          <cell r="E137">
            <v>0.625</v>
          </cell>
          <cell r="F137">
            <v>0.546875</v>
          </cell>
          <cell r="G137">
            <v>12.75</v>
          </cell>
          <cell r="H137">
            <v>26.261751088602178</v>
          </cell>
          <cell r="I137">
            <v>588.52994529418243</v>
          </cell>
          <cell r="J137">
            <v>84.075706470597495</v>
          </cell>
          <cell r="K137">
            <v>4.7339366546247748</v>
          </cell>
          <cell r="L137">
            <v>89.490622976206609</v>
          </cell>
          <cell r="M137">
            <v>55.423563393324201</v>
          </cell>
          <cell r="N137">
            <v>144.9141863695308</v>
          </cell>
        </row>
        <row r="138">
          <cell r="B138" t="str">
            <v>14"</v>
          </cell>
          <cell r="C138">
            <v>14</v>
          </cell>
          <cell r="D138" t="str">
            <v>80</v>
          </cell>
          <cell r="E138">
            <v>0.75</v>
          </cell>
          <cell r="F138">
            <v>0.65625</v>
          </cell>
          <cell r="G138">
            <v>12.5</v>
          </cell>
          <cell r="H138">
            <v>31.21957699504857</v>
          </cell>
          <cell r="I138">
            <v>687.3184997816162</v>
          </cell>
          <cell r="J138">
            <v>98.188357111659457</v>
          </cell>
          <cell r="K138">
            <v>4.6920810947808649</v>
          </cell>
          <cell r="L138">
            <v>106.38511441657458</v>
          </cell>
          <cell r="M138">
            <v>53.27139887862765</v>
          </cell>
          <cell r="N138">
            <v>159.65651329520222</v>
          </cell>
        </row>
        <row r="139">
          <cell r="B139" t="str">
            <v>14"</v>
          </cell>
          <cell r="C139">
            <v>14</v>
          </cell>
          <cell r="E139">
            <v>0.875</v>
          </cell>
          <cell r="F139">
            <v>0.765625</v>
          </cell>
          <cell r="G139">
            <v>12.25</v>
          </cell>
          <cell r="H139">
            <v>36.07922813107028</v>
          </cell>
          <cell r="I139">
            <v>780.35424281928181</v>
          </cell>
          <cell r="J139">
            <v>111.47917754561169</v>
          </cell>
          <cell r="K139">
            <v>4.6506887930714091</v>
          </cell>
          <cell r="L139">
            <v>122.94506147198477</v>
          </cell>
          <cell r="M139">
            <v>51.161851483033992</v>
          </cell>
          <cell r="N139">
            <v>174.10691295501877</v>
          </cell>
        </row>
        <row r="140">
          <cell r="B140" t="str">
            <v>14"</v>
          </cell>
          <cell r="C140">
            <v>14</v>
          </cell>
          <cell r="D140" t="str">
            <v>100</v>
          </cell>
          <cell r="E140">
            <v>0.93700000000000006</v>
          </cell>
          <cell r="F140">
            <v>0.81987500000000002</v>
          </cell>
          <cell r="G140">
            <v>12.125999999999999</v>
          </cell>
          <cell r="H140">
            <v>38.453191469311335</v>
          </cell>
          <cell r="I140">
            <v>824.43612708980118</v>
          </cell>
          <cell r="J140">
            <v>117.77658958425731</v>
          </cell>
          <cell r="K140">
            <v>4.6303339242434776</v>
          </cell>
          <cell r="L140">
            <v>131.03467656829383</v>
          </cell>
          <cell r="M140">
            <v>50.131327266943664</v>
          </cell>
          <cell r="N140">
            <v>181.16600383523749</v>
          </cell>
        </row>
        <row r="141">
          <cell r="B141" t="str">
            <v>14"</v>
          </cell>
          <cell r="C141">
            <v>14</v>
          </cell>
          <cell r="D141" t="str">
            <v>120</v>
          </cell>
          <cell r="E141">
            <v>1.093</v>
          </cell>
          <cell r="F141">
            <v>0.95637499999999998</v>
          </cell>
          <cell r="G141">
            <v>11.814</v>
          </cell>
          <cell r="H141">
            <v>44.319550263212626</v>
          </cell>
          <cell r="I141">
            <v>929.52111851738857</v>
          </cell>
          <cell r="J141">
            <v>132.7887312167698</v>
          </cell>
          <cell r="K141">
            <v>4.5796465202021865</v>
          </cell>
          <cell r="L141">
            <v>151.02512203771349</v>
          </cell>
          <cell r="M141">
            <v>47.584773703960273</v>
          </cell>
          <cell r="N141">
            <v>198.60989574167377</v>
          </cell>
        </row>
        <row r="142">
          <cell r="B142" t="str">
            <v>14"</v>
          </cell>
          <cell r="C142">
            <v>14</v>
          </cell>
          <cell r="D142" t="str">
            <v>140</v>
          </cell>
          <cell r="E142">
            <v>1.25</v>
          </cell>
          <cell r="F142">
            <v>1.09375</v>
          </cell>
          <cell r="G142">
            <v>11.5</v>
          </cell>
          <cell r="H142">
            <v>50.069132916587328</v>
          </cell>
          <cell r="I142">
            <v>1027.199554991862</v>
          </cell>
          <cell r="J142">
            <v>146.742793570266</v>
          </cell>
          <cell r="K142">
            <v>4.5294177329983594</v>
          </cell>
          <cell r="L142">
            <v>170.61763632846868</v>
          </cell>
          <cell r="M142">
            <v>45.088912010870438</v>
          </cell>
          <cell r="N142">
            <v>215.70654833933912</v>
          </cell>
        </row>
        <row r="143">
          <cell r="B143" t="str">
            <v>14"</v>
          </cell>
          <cell r="C143">
            <v>14</v>
          </cell>
          <cell r="D143" t="str">
            <v>160</v>
          </cell>
          <cell r="E143">
            <v>1.4059999999999999</v>
          </cell>
          <cell r="F143">
            <v>1.2302499999999998</v>
          </cell>
          <cell r="G143">
            <v>11.188000000000001</v>
          </cell>
          <cell r="H143">
            <v>55.628696338309638</v>
          </cell>
          <cell r="I143">
            <v>1116.6464479964241</v>
          </cell>
          <cell r="J143">
            <v>159.52092114234628</v>
          </cell>
          <cell r="K143">
            <v>4.4803134934957392</v>
          </cell>
          <cell r="L143">
            <v>189.56263327125029</v>
          </cell>
          <cell r="M143">
            <v>42.675536604146671</v>
          </cell>
          <cell r="N143">
            <v>232.23816987539698</v>
          </cell>
        </row>
        <row r="144">
          <cell r="B144" t="str">
            <v>16"</v>
          </cell>
          <cell r="C144">
            <v>16</v>
          </cell>
          <cell r="D144" t="str">
            <v>10</v>
          </cell>
          <cell r="E144">
            <v>0.25</v>
          </cell>
          <cell r="F144">
            <v>0.21875</v>
          </cell>
          <cell r="G144">
            <v>15.5</v>
          </cell>
          <cell r="H144">
            <v>12.370021073509811</v>
          </cell>
          <cell r="I144">
            <v>383.66393485807771</v>
          </cell>
          <cell r="J144">
            <v>47.957991857259714</v>
          </cell>
          <cell r="K144">
            <v>5.5691673524863656</v>
          </cell>
          <cell r="L144">
            <v>42.152592504680491</v>
          </cell>
          <cell r="M144">
            <v>81.910102915777884</v>
          </cell>
          <cell r="N144">
            <v>124.06269542045837</v>
          </cell>
        </row>
        <row r="145">
          <cell r="B145" t="str">
            <v>16"</v>
          </cell>
          <cell r="C145">
            <v>16</v>
          </cell>
          <cell r="D145" t="str">
            <v>20</v>
          </cell>
          <cell r="E145">
            <v>0.312</v>
          </cell>
          <cell r="F145">
            <v>0.27300000000000002</v>
          </cell>
          <cell r="G145">
            <v>15.375999999999999</v>
          </cell>
          <cell r="H145">
            <v>15.377015331449217</v>
          </cell>
          <cell r="I145">
            <v>473.24819051783265</v>
          </cell>
          <cell r="J145">
            <v>59.156023814729082</v>
          </cell>
          <cell r="K145">
            <v>5.5476423821295482</v>
          </cell>
          <cell r="L145">
            <v>52.399349795197352</v>
          </cell>
          <cell r="M145">
            <v>80.604783515712029</v>
          </cell>
          <cell r="N145">
            <v>133.00413331090937</v>
          </cell>
        </row>
        <row r="146">
          <cell r="B146" t="str">
            <v>16"</v>
          </cell>
          <cell r="C146">
            <v>16</v>
          </cell>
          <cell r="D146" t="str">
            <v>Std     30</v>
          </cell>
          <cell r="E146">
            <v>0.375</v>
          </cell>
          <cell r="F146">
            <v>0.328125</v>
          </cell>
          <cell r="G146">
            <v>15.25</v>
          </cell>
          <cell r="H146">
            <v>18.407769454627694</v>
          </cell>
          <cell r="I146">
            <v>562.08411651103393</v>
          </cell>
          <cell r="J146">
            <v>70.260514563879241</v>
          </cell>
          <cell r="K146">
            <v>5.5258624892409332</v>
          </cell>
          <cell r="L146">
            <v>62.727072179584063</v>
          </cell>
          <cell r="M146">
            <v>79.289150090949391</v>
          </cell>
          <cell r="N146">
            <v>142.01622227053346</v>
          </cell>
        </row>
        <row r="147">
          <cell r="B147" t="str">
            <v>16"</v>
          </cell>
          <cell r="C147">
            <v>16</v>
          </cell>
          <cell r="D147" t="str">
            <v>XS      40</v>
          </cell>
          <cell r="E147">
            <v>0.5</v>
          </cell>
          <cell r="F147">
            <v>0.4375</v>
          </cell>
          <cell r="G147">
            <v>15</v>
          </cell>
          <cell r="H147">
            <v>24.347343065320896</v>
          </cell>
          <cell r="I147">
            <v>731.94200090120944</v>
          </cell>
          <cell r="J147">
            <v>91.49275011265118</v>
          </cell>
          <cell r="K147">
            <v>5.4829280498653272</v>
          </cell>
          <cell r="L147">
            <v>82.967007469529861</v>
          </cell>
          <cell r="M147">
            <v>76.710814385223827</v>
          </cell>
          <cell r="N147">
            <v>159.67782185475369</v>
          </cell>
        </row>
        <row r="148">
          <cell r="B148" t="str">
            <v>16"</v>
          </cell>
          <cell r="C148">
            <v>16</v>
          </cell>
          <cell r="E148">
            <v>0.625</v>
          </cell>
          <cell r="F148">
            <v>0.546875</v>
          </cell>
          <cell r="G148">
            <v>14.75</v>
          </cell>
          <cell r="H148">
            <v>30.188741905589417</v>
          </cell>
          <cell r="I148">
            <v>893.51600554160552</v>
          </cell>
          <cell r="J148">
            <v>111.68950069270069</v>
          </cell>
          <cell r="K148">
            <v>5.4403728043214095</v>
          </cell>
          <cell r="L148">
            <v>102.87239837451786</v>
          </cell>
          <cell r="M148">
            <v>74.175095798601149</v>
          </cell>
          <cell r="N148">
            <v>177.04749417311899</v>
          </cell>
        </row>
        <row r="149">
          <cell r="B149" t="str">
            <v>16"</v>
          </cell>
          <cell r="C149">
            <v>16</v>
          </cell>
          <cell r="D149" t="str">
            <v>60</v>
          </cell>
          <cell r="E149">
            <v>0.65600000000000003</v>
          </cell>
          <cell r="F149">
            <v>0.57400000000000007</v>
          </cell>
          <cell r="G149">
            <v>14.688000000000001</v>
          </cell>
          <cell r="H149">
            <v>31.622216075903246</v>
          </cell>
          <cell r="I149">
            <v>932.33626394004375</v>
          </cell>
          <cell r="J149">
            <v>116.54203299250547</v>
          </cell>
          <cell r="K149">
            <v>5.4298788200106269</v>
          </cell>
          <cell r="L149">
            <v>107.75716390629388</v>
          </cell>
          <cell r="M149">
            <v>73.552832673534141</v>
          </cell>
          <cell r="N149">
            <v>181.30999657982801</v>
          </cell>
        </row>
        <row r="150">
          <cell r="B150" t="str">
            <v>16"</v>
          </cell>
          <cell r="C150">
            <v>16</v>
          </cell>
          <cell r="E150">
            <v>0.75</v>
          </cell>
          <cell r="F150">
            <v>0.65625</v>
          </cell>
          <cell r="G150">
            <v>14.5</v>
          </cell>
          <cell r="H150">
            <v>35.931965975433258</v>
          </cell>
          <cell r="I150">
            <v>1047.0799460028597</v>
          </cell>
          <cell r="J150">
            <v>130.88499325035747</v>
          </cell>
          <cell r="K150">
            <v>5.398205720422296</v>
          </cell>
          <cell r="L150">
            <v>122.44324489454809</v>
          </cell>
          <cell r="M150">
            <v>71.68199433108137</v>
          </cell>
          <cell r="N150">
            <v>194.12523922562946</v>
          </cell>
        </row>
        <row r="151">
          <cell r="B151" t="str">
            <v>16"</v>
          </cell>
          <cell r="C151">
            <v>16</v>
          </cell>
          <cell r="D151" t="str">
            <v>80</v>
          </cell>
          <cell r="E151">
            <v>0.84299999999999997</v>
          </cell>
          <cell r="F151">
            <v>0.73762499999999998</v>
          </cell>
          <cell r="G151">
            <v>14.314</v>
          </cell>
          <cell r="H151">
            <v>40.141232033938209</v>
          </cell>
          <cell r="I151">
            <v>1156.2947722685046</v>
          </cell>
          <cell r="J151">
            <v>144.53684653356308</v>
          </cell>
          <cell r="K151">
            <v>5.3670906690682987</v>
          </cell>
          <cell r="L151">
            <v>136.78691301391032</v>
          </cell>
          <cell r="M151">
            <v>69.854775462372814</v>
          </cell>
          <cell r="N151">
            <v>206.64168847628315</v>
          </cell>
        </row>
        <row r="152">
          <cell r="B152" t="str">
            <v>16"</v>
          </cell>
          <cell r="C152">
            <v>16</v>
          </cell>
          <cell r="E152">
            <v>0.875</v>
          </cell>
          <cell r="F152">
            <v>0.765625</v>
          </cell>
          <cell r="G152">
            <v>14.25</v>
          </cell>
          <cell r="H152">
            <v>41.577015274852421</v>
          </cell>
          <cell r="I152">
            <v>1192.9030359132462</v>
          </cell>
          <cell r="J152">
            <v>149.11287948915577</v>
          </cell>
          <cell r="K152">
            <v>5.3564359652664573</v>
          </cell>
          <cell r="L152">
            <v>141.67954702962055</v>
          </cell>
          <cell r="M152">
            <v>69.231509982664491</v>
          </cell>
          <cell r="N152">
            <v>210.91105701228503</v>
          </cell>
        </row>
        <row r="153">
          <cell r="B153" t="str">
            <v>16"</v>
          </cell>
          <cell r="C153">
            <v>16</v>
          </cell>
          <cell r="D153" t="str">
            <v>100</v>
          </cell>
          <cell r="E153">
            <v>1.0309999999999999</v>
          </cell>
          <cell r="F153">
            <v>0.90212499999999995</v>
          </cell>
          <cell r="G153">
            <v>13.938000000000001</v>
          </cell>
          <cell r="H153">
            <v>48.484321944964748</v>
          </cell>
          <cell r="I153">
            <v>1364.4331943725729</v>
          </cell>
          <cell r="J153">
            <v>170.55414929657161</v>
          </cell>
          <cell r="K153">
            <v>5.3048789100223583</v>
          </cell>
          <cell r="L153">
            <v>165.21716928910257</v>
          </cell>
          <cell r="M153">
            <v>66.233086764896086</v>
          </cell>
          <cell r="N153">
            <v>231.45025605399866</v>
          </cell>
        </row>
        <row r="154">
          <cell r="B154" t="str">
            <v>16"</v>
          </cell>
          <cell r="C154">
            <v>16</v>
          </cell>
          <cell r="D154" t="str">
            <v>120</v>
          </cell>
          <cell r="E154">
            <v>1.218</v>
          </cell>
          <cell r="F154">
            <v>1.06575</v>
          </cell>
          <cell r="G154">
            <v>13.564</v>
          </cell>
          <cell r="H154">
            <v>56.562729533333737</v>
          </cell>
          <cell r="I154">
            <v>1555.4117684723299</v>
          </cell>
          <cell r="J154">
            <v>194.42647105904123</v>
          </cell>
          <cell r="K154">
            <v>5.2439375473016456</v>
          </cell>
          <cell r="L154">
            <v>192.74548319702851</v>
          </cell>
          <cell r="M154">
            <v>62.726295184268579</v>
          </cell>
          <cell r="N154">
            <v>255.4717783812971</v>
          </cell>
        </row>
        <row r="155">
          <cell r="B155" t="str">
            <v>16"</v>
          </cell>
          <cell r="C155">
            <v>16</v>
          </cell>
          <cell r="D155" t="str">
            <v>140</v>
          </cell>
          <cell r="E155">
            <v>1.4379999999999999</v>
          </cell>
          <cell r="F155">
            <v>1.2582499999999999</v>
          </cell>
          <cell r="G155">
            <v>13.124000000000001</v>
          </cell>
          <cell r="H155">
            <v>65.785440254624206</v>
          </cell>
          <cell r="I155">
            <v>1760.7447427828472</v>
          </cell>
          <cell r="J155">
            <v>220.0930928478559</v>
          </cell>
          <cell r="K155">
            <v>5.1734863486820961</v>
          </cell>
          <cell r="L155">
            <v>224.17317151807998</v>
          </cell>
          <cell r="M155">
            <v>58.722768009612338</v>
          </cell>
          <cell r="N155">
            <v>282.89593952769235</v>
          </cell>
        </row>
        <row r="156">
          <cell r="B156" t="str">
            <v>16"</v>
          </cell>
          <cell r="C156">
            <v>16</v>
          </cell>
          <cell r="D156" t="str">
            <v>160</v>
          </cell>
          <cell r="E156">
            <v>1.593</v>
          </cell>
          <cell r="F156">
            <v>1.393875</v>
          </cell>
          <cell r="G156">
            <v>12.814</v>
          </cell>
          <cell r="H156">
            <v>72.100654098907157</v>
          </cell>
          <cell r="I156">
            <v>1893.5371014401519</v>
          </cell>
          <cell r="J156">
            <v>236.69213768001899</v>
          </cell>
          <cell r="K156">
            <v>5.1246865513902407</v>
          </cell>
          <cell r="L156">
            <v>245.69315391552666</v>
          </cell>
          <cell r="M156">
            <v>55.981368978090458</v>
          </cell>
          <cell r="N156">
            <v>301.67452289361711</v>
          </cell>
        </row>
        <row r="157">
          <cell r="B157" t="str">
            <v>18"</v>
          </cell>
          <cell r="C157">
            <v>18</v>
          </cell>
          <cell r="D157" t="str">
            <v>10</v>
          </cell>
          <cell r="E157">
            <v>0.25</v>
          </cell>
          <cell r="F157">
            <v>0.21875</v>
          </cell>
          <cell r="G157">
            <v>17.5</v>
          </cell>
          <cell r="H157">
            <v>13.940817400304708</v>
          </cell>
          <cell r="I157">
            <v>549.13751040887757</v>
          </cell>
          <cell r="J157">
            <v>61.015278934319731</v>
          </cell>
          <cell r="K157">
            <v>6.2761951053165959</v>
          </cell>
          <cell r="L157">
            <v>47.505302664005001</v>
          </cell>
          <cell r="M157">
            <v>104.41194180211021</v>
          </cell>
          <cell r="N157">
            <v>151.91724446611522</v>
          </cell>
        </row>
        <row r="158">
          <cell r="B158" t="str">
            <v>18"</v>
          </cell>
          <cell r="C158">
            <v>18</v>
          </cell>
          <cell r="D158" t="str">
            <v>20</v>
          </cell>
          <cell r="E158">
            <v>0.312</v>
          </cell>
          <cell r="F158">
            <v>0.27300000000000002</v>
          </cell>
          <cell r="G158">
            <v>17.376000000000001</v>
          </cell>
          <cell r="H158">
            <v>17.337369147289213</v>
          </cell>
          <cell r="I158">
            <v>678.24370639798781</v>
          </cell>
          <cell r="J158">
            <v>75.360411821998639</v>
          </cell>
          <cell r="K158">
            <v>6.2546251686252168</v>
          </cell>
          <cell r="L158">
            <v>59.079532074034226</v>
          </cell>
          <cell r="M158">
            <v>102.93751767344405</v>
          </cell>
          <cell r="N158">
            <v>162.01704974747827</v>
          </cell>
        </row>
        <row r="159">
          <cell r="B159" t="str">
            <v>18"</v>
          </cell>
          <cell r="C159">
            <v>18</v>
          </cell>
          <cell r="D159" t="str">
            <v>Std</v>
          </cell>
          <cell r="E159">
            <v>0.375</v>
          </cell>
          <cell r="F159">
            <v>0.328125</v>
          </cell>
          <cell r="G159">
            <v>17.25</v>
          </cell>
          <cell r="H159">
            <v>20.763963944820038</v>
          </cell>
          <cell r="I159">
            <v>806.63133371576282</v>
          </cell>
          <cell r="J159">
            <v>89.625703746195867</v>
          </cell>
          <cell r="K159">
            <v>6.2327888019729984</v>
          </cell>
          <cell r="L159">
            <v>70.756137418570816</v>
          </cell>
          <cell r="M159">
            <v>101.4500520244585</v>
          </cell>
          <cell r="N159">
            <v>172.2061894430293</v>
          </cell>
        </row>
        <row r="160">
          <cell r="B160" t="str">
            <v>18"</v>
          </cell>
          <cell r="C160">
            <v>18</v>
          </cell>
          <cell r="D160" t="str">
            <v>30</v>
          </cell>
          <cell r="E160">
            <v>0.438</v>
          </cell>
          <cell r="F160">
            <v>0.38324999999999998</v>
          </cell>
          <cell r="G160">
            <v>17.123999999999999</v>
          </cell>
          <cell r="H160">
            <v>24.165620779866686</v>
          </cell>
          <cell r="I160">
            <v>932.23621036570648</v>
          </cell>
          <cell r="J160">
            <v>103.58180115174517</v>
          </cell>
          <cell r="K160">
            <v>6.2110354209262075</v>
          </cell>
          <cell r="L160">
            <v>82.347763136618042</v>
          </cell>
          <cell r="M160">
            <v>99.973411805598985</v>
          </cell>
          <cell r="N160">
            <v>182.32117494221703</v>
          </cell>
        </row>
        <row r="161">
          <cell r="B161" t="str">
            <v>18"</v>
          </cell>
          <cell r="C161">
            <v>18</v>
          </cell>
          <cell r="D161" t="str">
            <v>XS</v>
          </cell>
          <cell r="E161">
            <v>0.5</v>
          </cell>
          <cell r="F161">
            <v>0.4375</v>
          </cell>
          <cell r="G161">
            <v>17</v>
          </cell>
          <cell r="H161">
            <v>27.488935718910689</v>
          </cell>
          <cell r="I161">
            <v>1053.1698497307657</v>
          </cell>
          <cell r="J161">
            <v>117.0188721923073</v>
          </cell>
          <cell r="K161">
            <v>6.1897092015699737</v>
          </cell>
          <cell r="L161">
            <v>93.672427788178865</v>
          </cell>
          <cell r="M161">
            <v>98.530779365909709</v>
          </cell>
          <cell r="N161">
            <v>192.20320715408857</v>
          </cell>
        </row>
        <row r="162">
          <cell r="B162" t="str">
            <v>18"</v>
          </cell>
          <cell r="C162">
            <v>18</v>
          </cell>
          <cell r="D162" t="str">
            <v>40</v>
          </cell>
          <cell r="E162">
            <v>0.56200000000000006</v>
          </cell>
          <cell r="F162">
            <v>0.49175000000000002</v>
          </cell>
          <cell r="G162">
            <v>16.876000000000001</v>
          </cell>
          <cell r="H162">
            <v>30.788098093633891</v>
          </cell>
          <cell r="I162">
            <v>1171.485931726944</v>
          </cell>
          <cell r="J162">
            <v>130.16510352521601</v>
          </cell>
          <cell r="K162">
            <v>6.1684650440770108</v>
          </cell>
          <cell r="L162">
            <v>104.9147891683299</v>
          </cell>
          <cell r="M162">
            <v>97.098631419393641</v>
          </cell>
          <cell r="N162">
            <v>202.01342058772354</v>
          </cell>
        </row>
        <row r="163">
          <cell r="B163" t="str">
            <v>18"</v>
          </cell>
          <cell r="C163">
            <v>18</v>
          </cell>
          <cell r="E163">
            <v>0.625</v>
          </cell>
          <cell r="F163">
            <v>0.546875</v>
          </cell>
          <cell r="G163">
            <v>16.75</v>
          </cell>
          <cell r="H163">
            <v>34.115732722576659</v>
          </cell>
          <cell r="I163">
            <v>1289.0682915057969</v>
          </cell>
          <cell r="J163">
            <v>143.22981016731077</v>
          </cell>
          <cell r="K163">
            <v>6.1469631729822494</v>
          </cell>
          <cell r="L163">
            <v>116.25417377282912</v>
          </cell>
          <cell r="M163">
            <v>95.654123826463817</v>
          </cell>
          <cell r="N163">
            <v>211.90829759929295</v>
          </cell>
        </row>
        <row r="164">
          <cell r="B164" t="str">
            <v>18"</v>
          </cell>
          <cell r="C164">
            <v>18</v>
          </cell>
          <cell r="D164" t="str">
            <v>60</v>
          </cell>
          <cell r="E164">
            <v>0.75</v>
          </cell>
          <cell r="F164">
            <v>0.65625</v>
          </cell>
          <cell r="G164">
            <v>16.5</v>
          </cell>
          <cell r="H164">
            <v>40.644354955817946</v>
          </cell>
          <cell r="I164">
            <v>1514.6372901504033</v>
          </cell>
          <cell r="J164">
            <v>168.29303223893371</v>
          </cell>
          <cell r="K164">
            <v>6.1045577235373898</v>
          </cell>
          <cell r="L164">
            <v>138.50137537252161</v>
          </cell>
          <cell r="M164">
            <v>92.82008540612081</v>
          </cell>
          <cell r="N164">
            <v>231.3214607786424</v>
          </cell>
        </row>
        <row r="165">
          <cell r="B165" t="str">
            <v>18"</v>
          </cell>
          <cell r="C165">
            <v>18</v>
          </cell>
          <cell r="E165">
            <v>0.875</v>
          </cell>
          <cell r="F165">
            <v>0.765625</v>
          </cell>
          <cell r="G165">
            <v>16.25</v>
          </cell>
          <cell r="H165">
            <v>47.074802418634555</v>
          </cell>
          <cell r="I165">
            <v>1730.1828748317678</v>
          </cell>
          <cell r="J165">
            <v>192.24254164797421</v>
          </cell>
          <cell r="K165">
            <v>6.0625</v>
          </cell>
          <cell r="L165">
            <v>160.41403258725629</v>
          </cell>
          <cell r="M165">
            <v>90.028664104880733</v>
          </cell>
          <cell r="N165">
            <v>250.44269669213702</v>
          </cell>
        </row>
        <row r="166">
          <cell r="B166" t="str">
            <v>18"</v>
          </cell>
          <cell r="C166">
            <v>18</v>
          </cell>
          <cell r="D166" t="str">
            <v>80</v>
          </cell>
          <cell r="E166">
            <v>0.93700000000000006</v>
          </cell>
          <cell r="F166">
            <v>0.81987500000000002</v>
          </cell>
          <cell r="G166">
            <v>16.126000000000001</v>
          </cell>
          <cell r="H166">
            <v>50.227880734965851</v>
          </cell>
          <cell r="I166">
            <v>1833.4679412023829</v>
          </cell>
          <cell r="J166">
            <v>203.71866013359809</v>
          </cell>
          <cell r="K166">
            <v>6.0417706220941563</v>
          </cell>
          <cell r="L166">
            <v>171.15859192259023</v>
          </cell>
          <cell r="M166">
            <v>88.659930431589785</v>
          </cell>
          <cell r="N166">
            <v>259.81852235418</v>
          </cell>
        </row>
        <row r="167">
          <cell r="B167" t="str">
            <v>18"</v>
          </cell>
          <cell r="C167">
            <v>18</v>
          </cell>
          <cell r="D167" t="str">
            <v>100</v>
          </cell>
          <cell r="E167">
            <v>1.1559999999999999</v>
          </cell>
          <cell r="F167">
            <v>1.0114999999999998</v>
          </cell>
          <cell r="G167">
            <v>15.688000000000001</v>
          </cell>
          <cell r="H167">
            <v>61.172036575568839</v>
          </cell>
          <cell r="I167">
            <v>2179.6871457117413</v>
          </cell>
          <cell r="J167">
            <v>242.18746063463792</v>
          </cell>
          <cell r="K167">
            <v>5.9692615958759925</v>
          </cell>
          <cell r="L167">
            <v>208.4523474235065</v>
          </cell>
          <cell r="M167">
            <v>83.909133552492165</v>
          </cell>
          <cell r="N167">
            <v>292.36148097599869</v>
          </cell>
        </row>
        <row r="168">
          <cell r="B168" t="str">
            <v>18"</v>
          </cell>
          <cell r="C168">
            <v>18</v>
          </cell>
          <cell r="D168" t="str">
            <v>120</v>
          </cell>
          <cell r="E168">
            <v>1.375</v>
          </cell>
          <cell r="F168">
            <v>1.203125</v>
          </cell>
          <cell r="G168">
            <v>15.25</v>
          </cell>
          <cell r="H168">
            <v>71.814844565654184</v>
          </cell>
          <cell r="I168">
            <v>2498.090589285744</v>
          </cell>
          <cell r="J168">
            <v>277.56562103174934</v>
          </cell>
          <cell r="K168">
            <v>5.89789422166929</v>
          </cell>
          <cell r="L168">
            <v>244.71921759661731</v>
          </cell>
          <cell r="M168">
            <v>79.289150090949377</v>
          </cell>
          <cell r="N168">
            <v>324.0083676875667</v>
          </cell>
        </row>
        <row r="169">
          <cell r="B169" t="str">
            <v>18"</v>
          </cell>
          <cell r="C169">
            <v>18</v>
          </cell>
          <cell r="D169" t="str">
            <v>140</v>
          </cell>
          <cell r="E169">
            <v>1.5620000000000001</v>
          </cell>
          <cell r="F169">
            <v>1.3667500000000001</v>
          </cell>
          <cell r="G169">
            <v>14.875999999999999</v>
          </cell>
          <cell r="H169">
            <v>80.664023062025507</v>
          </cell>
          <cell r="I169">
            <v>2749.1074240799917</v>
          </cell>
          <cell r="J169">
            <v>305.45638045333243</v>
          </cell>
          <cell r="K169">
            <v>5.8378901154441056</v>
          </cell>
          <cell r="L169">
            <v>274.87404214720186</v>
          </cell>
          <cell r="M169">
            <v>75.447771167308048</v>
          </cell>
          <cell r="N169">
            <v>350.32181331450988</v>
          </cell>
        </row>
        <row r="170">
          <cell r="B170" t="str">
            <v>18"</v>
          </cell>
          <cell r="C170">
            <v>18</v>
          </cell>
          <cell r="D170" t="str">
            <v>160</v>
          </cell>
          <cell r="E170">
            <v>1.7809999999999999</v>
          </cell>
          <cell r="F170">
            <v>1.5583749999999998</v>
          </cell>
          <cell r="G170">
            <v>14.438000000000001</v>
          </cell>
          <cell r="H170">
            <v>90.748167913708244</v>
          </cell>
          <cell r="I170">
            <v>3019.9620211217025</v>
          </cell>
          <cell r="J170">
            <v>335.55133568018914</v>
          </cell>
          <cell r="K170">
            <v>5.76875118634874</v>
          </cell>
          <cell r="L170">
            <v>309.23718883588782</v>
          </cell>
          <cell r="M170">
            <v>71.07030025155187</v>
          </cell>
          <cell r="N170">
            <v>380.30748908743971</v>
          </cell>
        </row>
        <row r="171">
          <cell r="B171" t="str">
            <v>20"</v>
          </cell>
          <cell r="C171">
            <v>20</v>
          </cell>
          <cell r="D171" t="str">
            <v>10</v>
          </cell>
          <cell r="E171">
            <v>0.25</v>
          </cell>
          <cell r="F171">
            <v>0.21875</v>
          </cell>
          <cell r="G171">
            <v>19.5</v>
          </cell>
          <cell r="H171">
            <v>15.511613727099604</v>
          </cell>
          <cell r="I171">
            <v>756.43353816059164</v>
          </cell>
          <cell r="J171">
            <v>75.643353816059161</v>
          </cell>
          <cell r="K171">
            <v>6.9832388617317109</v>
          </cell>
          <cell r="L171">
            <v>52.858012823329503</v>
          </cell>
          <cell r="M171">
            <v>129.64127631102826</v>
          </cell>
          <cell r="N171">
            <v>182.49928913435775</v>
          </cell>
        </row>
        <row r="172">
          <cell r="B172" t="str">
            <v>20"</v>
          </cell>
          <cell r="C172">
            <v>20</v>
          </cell>
          <cell r="D172" t="str">
            <v>Std     20</v>
          </cell>
          <cell r="E172">
            <v>0.375</v>
          </cell>
          <cell r="F172">
            <v>0.328125</v>
          </cell>
          <cell r="G172">
            <v>19.25</v>
          </cell>
          <cell r="H172">
            <v>23.120158435012385</v>
          </cell>
          <cell r="I172">
            <v>1113.4704427549518</v>
          </cell>
          <cell r="J172">
            <v>111.34704427549518</v>
          </cell>
          <cell r="K172">
            <v>6.9397518867752028</v>
          </cell>
          <cell r="L172">
            <v>78.785202657557591</v>
          </cell>
          <cell r="M172">
            <v>126.33844958055334</v>
          </cell>
          <cell r="N172">
            <v>205.12365223811094</v>
          </cell>
        </row>
        <row r="173">
          <cell r="B173" t="str">
            <v>20"</v>
          </cell>
          <cell r="C173">
            <v>20</v>
          </cell>
          <cell r="D173" t="str">
            <v>XS      30</v>
          </cell>
          <cell r="E173">
            <v>0.5</v>
          </cell>
          <cell r="F173">
            <v>0.4375</v>
          </cell>
          <cell r="G173">
            <v>19</v>
          </cell>
          <cell r="H173">
            <v>30.630528372500482</v>
          </cell>
          <cell r="I173">
            <v>1456.8645057170543</v>
          </cell>
          <cell r="J173">
            <v>145.68645057170542</v>
          </cell>
          <cell r="K173">
            <v>6.8965571120668612</v>
          </cell>
          <cell r="L173">
            <v>104.37784810682787</v>
          </cell>
          <cell r="M173">
            <v>123.07823996918134</v>
          </cell>
          <cell r="N173">
            <v>227.45608807600922</v>
          </cell>
        </row>
        <row r="174">
          <cell r="B174" t="str">
            <v>20"</v>
          </cell>
          <cell r="C174">
            <v>20</v>
          </cell>
          <cell r="D174" t="str">
            <v>40</v>
          </cell>
          <cell r="E174">
            <v>0.59299999999999997</v>
          </cell>
          <cell r="F174">
            <v>0.51887499999999998</v>
          </cell>
          <cell r="G174">
            <v>18.814</v>
          </cell>
          <cell r="H174">
            <v>36.154550956532766</v>
          </cell>
          <cell r="I174">
            <v>1703.7077321628469</v>
          </cell>
          <cell r="J174">
            <v>170.3707732162847</v>
          </cell>
          <cell r="K174">
            <v>6.864613044447589</v>
          </cell>
          <cell r="L174">
            <v>123.20173462954476</v>
          </cell>
          <cell r="M174">
            <v>120.68029264144668</v>
          </cell>
          <cell r="N174">
            <v>243.88202727099144</v>
          </cell>
        </row>
        <row r="175">
          <cell r="B175" t="str">
            <v>20"</v>
          </cell>
          <cell r="C175">
            <v>20</v>
          </cell>
          <cell r="E175">
            <v>0.625</v>
          </cell>
          <cell r="F175">
            <v>0.546875</v>
          </cell>
          <cell r="G175">
            <v>18.75</v>
          </cell>
          <cell r="H175">
            <v>38.042723539563902</v>
          </cell>
          <cell r="I175">
            <v>1786.9677756377184</v>
          </cell>
          <cell r="J175">
            <v>178.69677756377183</v>
          </cell>
          <cell r="K175">
            <v>6.8536600623316586</v>
          </cell>
          <cell r="L175">
            <v>129.6359491711404</v>
          </cell>
          <cell r="M175">
            <v>119.86064747691223</v>
          </cell>
          <cell r="N175">
            <v>249.49659664805262</v>
          </cell>
        </row>
        <row r="176">
          <cell r="B176" t="str">
            <v>20"</v>
          </cell>
          <cell r="C176">
            <v>20</v>
          </cell>
          <cell r="E176">
            <v>0.75</v>
          </cell>
          <cell r="F176">
            <v>0.65625</v>
          </cell>
          <cell r="G176">
            <v>18.5</v>
          </cell>
          <cell r="H176">
            <v>45.356743936202641</v>
          </cell>
          <cell r="I176">
            <v>2104.1276991654004</v>
          </cell>
          <cell r="J176">
            <v>210.41276991654004</v>
          </cell>
          <cell r="K176">
            <v>6.811066362912638</v>
          </cell>
          <cell r="L176">
            <v>154.55950585049513</v>
          </cell>
          <cell r="M176">
            <v>116.68567210374603</v>
          </cell>
          <cell r="N176">
            <v>271.24517795424117</v>
          </cell>
        </row>
        <row r="177">
          <cell r="B177" t="str">
            <v>20"</v>
          </cell>
          <cell r="C177">
            <v>20</v>
          </cell>
          <cell r="D177" t="str">
            <v>60</v>
          </cell>
          <cell r="E177">
            <v>0.81200000000000006</v>
          </cell>
          <cell r="F177">
            <v>0.71050000000000002</v>
          </cell>
          <cell r="G177">
            <v>18.376000000000001</v>
          </cell>
          <cell r="H177">
            <v>48.948074427709699</v>
          </cell>
          <cell r="I177">
            <v>2256.7429440053497</v>
          </cell>
          <cell r="J177">
            <v>225.67429440053496</v>
          </cell>
          <cell r="K177">
            <v>6.7900541971327453</v>
          </cell>
          <cell r="L177">
            <v>166.79747132028055</v>
          </cell>
          <cell r="M177">
            <v>115.12669561077973</v>
          </cell>
          <cell r="N177">
            <v>281.92416693106031</v>
          </cell>
        </row>
        <row r="178">
          <cell r="B178" t="str">
            <v>20"</v>
          </cell>
          <cell r="C178">
            <v>20</v>
          </cell>
          <cell r="E178">
            <v>0.875</v>
          </cell>
          <cell r="F178">
            <v>0.765625</v>
          </cell>
          <cell r="G178">
            <v>18.25</v>
          </cell>
          <cell r="H178">
            <v>52.572589562416695</v>
          </cell>
          <cell r="I178">
            <v>2408.6871210061931</v>
          </cell>
          <cell r="J178">
            <v>240.86871210061932</v>
          </cell>
          <cell r="K178">
            <v>6.7687817404611295</v>
          </cell>
          <cell r="L178">
            <v>179.14851814489208</v>
          </cell>
          <cell r="M178">
            <v>113.55331384968272</v>
          </cell>
          <cell r="N178">
            <v>292.70183199457483</v>
          </cell>
        </row>
        <row r="179">
          <cell r="B179" t="str">
            <v>20"</v>
          </cell>
          <cell r="C179">
            <v>20</v>
          </cell>
          <cell r="D179" t="str">
            <v>80</v>
          </cell>
          <cell r="E179">
            <v>1.0309999999999999</v>
          </cell>
          <cell r="F179">
            <v>0.90212499999999995</v>
          </cell>
          <cell r="G179">
            <v>17.937999999999999</v>
          </cell>
          <cell r="H179">
            <v>61.44025004836913</v>
          </cell>
          <cell r="I179">
            <v>2771.6151608270297</v>
          </cell>
          <cell r="J179">
            <v>277.16151608270297</v>
          </cell>
          <cell r="K179">
            <v>6.7164529515213607</v>
          </cell>
          <cell r="L179">
            <v>209.36632268321137</v>
          </cell>
          <cell r="M179">
            <v>109.7039119976675</v>
          </cell>
          <cell r="N179">
            <v>319.07023468087885</v>
          </cell>
        </row>
        <row r="180">
          <cell r="B180" t="str">
            <v>20"</v>
          </cell>
          <cell r="C180">
            <v>20</v>
          </cell>
          <cell r="D180" t="str">
            <v>100</v>
          </cell>
          <cell r="E180">
            <v>1.2809999999999999</v>
          </cell>
          <cell r="F180">
            <v>1.1208749999999998</v>
          </cell>
          <cell r="G180">
            <v>17.437999999999999</v>
          </cell>
          <cell r="H180">
            <v>75.332372762543187</v>
          </cell>
          <cell r="I180">
            <v>3315.0191620182691</v>
          </cell>
          <cell r="J180">
            <v>331.50191620182693</v>
          </cell>
          <cell r="K180">
            <v>6.6336445676566065</v>
          </cell>
          <cell r="L180">
            <v>256.7056913322773</v>
          </cell>
          <cell r="M180">
            <v>103.67341917613047</v>
          </cell>
          <cell r="N180">
            <v>360.37911050840773</v>
          </cell>
        </row>
        <row r="181">
          <cell r="B181" t="str">
            <v>20"</v>
          </cell>
          <cell r="C181">
            <v>20</v>
          </cell>
          <cell r="D181" t="str">
            <v>120</v>
          </cell>
          <cell r="E181">
            <v>1.5</v>
          </cell>
          <cell r="F181">
            <v>1.3125</v>
          </cell>
          <cell r="G181">
            <v>17</v>
          </cell>
          <cell r="H181">
            <v>87.179196137116762</v>
          </cell>
          <cell r="I181">
            <v>3754.1541336545906</v>
          </cell>
          <cell r="J181">
            <v>375.41541336545907</v>
          </cell>
          <cell r="K181">
            <v>6.562202374203344</v>
          </cell>
          <cell r="L181">
            <v>297.0754138425101</v>
          </cell>
          <cell r="M181">
            <v>98.530779365909709</v>
          </cell>
          <cell r="N181">
            <v>395.60619320841982</v>
          </cell>
        </row>
        <row r="182">
          <cell r="B182" t="str">
            <v>20"</v>
          </cell>
          <cell r="C182">
            <v>20</v>
          </cell>
          <cell r="D182" t="str">
            <v>140</v>
          </cell>
          <cell r="E182">
            <v>1.75</v>
          </cell>
          <cell r="F182">
            <v>1.53125</v>
          </cell>
          <cell r="G182">
            <v>16.5</v>
          </cell>
          <cell r="H182">
            <v>100.33461537402401</v>
          </cell>
          <cell r="I182">
            <v>4215.6215740742282</v>
          </cell>
          <cell r="J182">
            <v>421.56215740742283</v>
          </cell>
          <cell r="K182">
            <v>6.4819460812320866</v>
          </cell>
          <cell r="L182">
            <v>341.9043614268528</v>
          </cell>
          <cell r="M182">
            <v>92.820085406120839</v>
          </cell>
          <cell r="N182">
            <v>434.72444683297363</v>
          </cell>
        </row>
        <row r="183">
          <cell r="B183" t="str">
            <v>20"</v>
          </cell>
          <cell r="C183">
            <v>20</v>
          </cell>
          <cell r="D183" t="str">
            <v>160</v>
          </cell>
          <cell r="E183">
            <v>1.968</v>
          </cell>
          <cell r="F183">
            <v>1.722</v>
          </cell>
          <cell r="G183">
            <v>16.064</v>
          </cell>
          <cell r="H183">
            <v>111.4856230997173</v>
          </cell>
          <cell r="I183">
            <v>4585.2092471646865</v>
          </cell>
          <cell r="J183">
            <v>458.52092471646864</v>
          </cell>
          <cell r="K183">
            <v>6.4131315283564865</v>
          </cell>
          <cell r="L183">
            <v>379.90299391780985</v>
          </cell>
          <cell r="M183">
            <v>87.979495279884247</v>
          </cell>
          <cell r="N183">
            <v>467.8824891976941</v>
          </cell>
        </row>
        <row r="184">
          <cell r="B184" t="str">
            <v>24"</v>
          </cell>
          <cell r="C184">
            <v>24</v>
          </cell>
          <cell r="D184" t="str">
            <v>10</v>
          </cell>
          <cell r="E184">
            <v>0.25</v>
          </cell>
          <cell r="F184">
            <v>0.21875</v>
          </cell>
          <cell r="G184">
            <v>23.5</v>
          </cell>
          <cell r="H184">
            <v>18.653206380689397</v>
          </cell>
          <cell r="I184">
            <v>1315.3425061883008</v>
          </cell>
          <cell r="J184">
            <v>109.61187551569174</v>
          </cell>
          <cell r="K184">
            <v>8.3973582155342168</v>
          </cell>
          <cell r="L184">
            <v>63.563433141978514</v>
          </cell>
          <cell r="M184">
            <v>188.28243219662158</v>
          </cell>
          <cell r="N184">
            <v>251.84586533860011</v>
          </cell>
        </row>
        <row r="185">
          <cell r="B185" t="str">
            <v>24"</v>
          </cell>
          <cell r="C185">
            <v>24</v>
          </cell>
          <cell r="D185" t="str">
            <v>Std     20</v>
          </cell>
          <cell r="E185">
            <v>0.375</v>
          </cell>
          <cell r="F185">
            <v>0.328125</v>
          </cell>
          <cell r="G185">
            <v>23.25</v>
          </cell>
          <cell r="H185">
            <v>27.832547415397073</v>
          </cell>
          <cell r="I185">
            <v>1942.2986702190185</v>
          </cell>
          <cell r="J185">
            <v>161.85822251825155</v>
          </cell>
          <cell r="K185">
            <v>8.3537510287295493</v>
          </cell>
          <cell r="L185">
            <v>94.843333135531111</v>
          </cell>
          <cell r="M185">
            <v>184.29773156050021</v>
          </cell>
          <cell r="N185">
            <v>279.14106469603132</v>
          </cell>
        </row>
        <row r="186">
          <cell r="B186" t="str">
            <v>24"</v>
          </cell>
          <cell r="C186">
            <v>24</v>
          </cell>
          <cell r="D186" t="str">
            <v>XS</v>
          </cell>
          <cell r="E186">
            <v>0.5</v>
          </cell>
          <cell r="F186">
            <v>0.4375</v>
          </cell>
          <cell r="G186">
            <v>23</v>
          </cell>
          <cell r="H186">
            <v>36.913713679680072</v>
          </cell>
          <cell r="I186">
            <v>2549.3533510029047</v>
          </cell>
          <cell r="J186">
            <v>212.4461125835754</v>
          </cell>
          <cell r="K186">
            <v>8.3103850692973307</v>
          </cell>
          <cell r="L186">
            <v>125.78868874412593</v>
          </cell>
          <cell r="M186">
            <v>180.35564804348178</v>
          </cell>
          <cell r="N186">
            <v>306.1443367876077</v>
          </cell>
        </row>
        <row r="187">
          <cell r="B187" t="str">
            <v>24"</v>
          </cell>
          <cell r="C187">
            <v>24</v>
          </cell>
          <cell r="D187">
            <v>30</v>
          </cell>
          <cell r="E187">
            <v>0.56200000000000006</v>
          </cell>
          <cell r="F187">
            <v>0.49175000000000002</v>
          </cell>
          <cell r="G187">
            <v>22.876000000000001</v>
          </cell>
          <cell r="H187">
            <v>41.381548521538626</v>
          </cell>
          <cell r="I187">
            <v>2843.2004403889637</v>
          </cell>
          <cell r="J187">
            <v>236.93337003241365</v>
          </cell>
          <cell r="K187">
            <v>8.2889662202231253</v>
          </cell>
          <cell r="L187">
            <v>141.01346648281421</v>
          </cell>
          <cell r="M187">
            <v>178.4161859111648</v>
          </cell>
          <cell r="N187">
            <v>319.42965239397904</v>
          </cell>
        </row>
        <row r="188">
          <cell r="B188" t="str">
            <v>24"</v>
          </cell>
          <cell r="C188">
            <v>24</v>
          </cell>
          <cell r="E188">
            <v>0.625</v>
          </cell>
          <cell r="F188">
            <v>0.546875</v>
          </cell>
          <cell r="G188">
            <v>22.75</v>
          </cell>
          <cell r="H188">
            <v>45.896705173538386</v>
          </cell>
          <cell r="I188">
            <v>3136.9322282085982</v>
          </cell>
          <cell r="J188">
            <v>261.41101901738318</v>
          </cell>
          <cell r="K188">
            <v>8.267264133315205</v>
          </cell>
          <cell r="L188">
            <v>156.39949996776295</v>
          </cell>
          <cell r="M188">
            <v>176.45618164556623</v>
          </cell>
          <cell r="N188">
            <v>332.85568161332918</v>
          </cell>
        </row>
        <row r="189">
          <cell r="B189" t="str">
            <v>24"</v>
          </cell>
          <cell r="C189">
            <v>24</v>
          </cell>
          <cell r="D189" t="str">
            <v>40</v>
          </cell>
          <cell r="E189">
            <v>0.68700000000000006</v>
          </cell>
          <cell r="F189">
            <v>0.60112500000000002</v>
          </cell>
          <cell r="G189">
            <v>22.626000000000001</v>
          </cell>
          <cell r="H189">
            <v>50.315845329266338</v>
          </cell>
          <cell r="I189">
            <v>3421.2758290609936</v>
          </cell>
          <cell r="J189">
            <v>285.10631908841611</v>
          </cell>
          <cell r="K189">
            <v>8.2459682421168718</v>
          </cell>
          <cell r="L189">
            <v>171.45834369151231</v>
          </cell>
          <cell r="M189">
            <v>174.5378576043243</v>
          </cell>
          <cell r="N189">
            <v>345.99620129583661</v>
          </cell>
        </row>
        <row r="190">
          <cell r="B190" t="str">
            <v>24"</v>
          </cell>
          <cell r="C190">
            <v>24</v>
          </cell>
          <cell r="E190">
            <v>0.75</v>
          </cell>
          <cell r="F190">
            <v>0.65625</v>
          </cell>
          <cell r="G190">
            <v>22.5</v>
          </cell>
          <cell r="H190">
            <v>54.781521896972016</v>
          </cell>
          <cell r="I190">
            <v>3705.4563795623731</v>
          </cell>
          <cell r="J190">
            <v>308.78803163019774</v>
          </cell>
          <cell r="K190">
            <v>8.2243920747979899</v>
          </cell>
          <cell r="L190">
            <v>186.67576680644217</v>
          </cell>
          <cell r="M190">
            <v>172.5993323667536</v>
          </cell>
          <cell r="N190">
            <v>359.27509917319577</v>
          </cell>
        </row>
        <row r="191">
          <cell r="B191" t="str">
            <v>24"</v>
          </cell>
          <cell r="C191">
            <v>24</v>
          </cell>
          <cell r="D191" t="str">
            <v>60</v>
          </cell>
          <cell r="E191">
            <v>0.96799999999999997</v>
          </cell>
          <cell r="F191">
            <v>0.84699999999999998</v>
          </cell>
          <cell r="G191">
            <v>22.064</v>
          </cell>
          <cell r="H191">
            <v>70.04173281356077</v>
          </cell>
          <cell r="I191">
            <v>4652.6100745571875</v>
          </cell>
          <cell r="J191">
            <v>387.71750621309894</v>
          </cell>
          <cell r="K191">
            <v>8.150230426190415</v>
          </cell>
          <cell r="L191">
            <v>238.6770890741922</v>
          </cell>
          <cell r="M191">
            <v>165.97496010334595</v>
          </cell>
          <cell r="N191">
            <v>404.65204917753817</v>
          </cell>
        </row>
        <row r="192">
          <cell r="B192" t="str">
            <v>24"</v>
          </cell>
          <cell r="C192">
            <v>24</v>
          </cell>
          <cell r="D192" t="str">
            <v>80</v>
          </cell>
          <cell r="E192">
            <v>1.218</v>
          </cell>
          <cell r="F192">
            <v>1.06575</v>
          </cell>
          <cell r="G192">
            <v>21.564</v>
          </cell>
          <cell r="H192">
            <v>87.174408349912682</v>
          </cell>
          <cell r="I192">
            <v>5671.8181567157753</v>
          </cell>
          <cell r="J192">
            <v>472.65151305964793</v>
          </cell>
          <cell r="K192">
            <v>8.0661565196814777</v>
          </cell>
          <cell r="L192">
            <v>297.0590987819445</v>
          </cell>
          <cell r="M192">
            <v>158.53776141446031</v>
          </cell>
          <cell r="N192">
            <v>455.5968601964048</v>
          </cell>
        </row>
        <row r="193">
          <cell r="B193" t="str">
            <v>24"</v>
          </cell>
          <cell r="C193">
            <v>24</v>
          </cell>
          <cell r="D193" t="str">
            <v>100</v>
          </cell>
          <cell r="E193">
            <v>1.5309999999999999</v>
          </cell>
          <cell r="F193">
            <v>1.3396249999999998</v>
          </cell>
          <cell r="G193">
            <v>20.937999999999999</v>
          </cell>
          <cell r="H193">
            <v>108.0709098056024</v>
          </cell>
          <cell r="I193">
            <v>6851.6946279838203</v>
          </cell>
          <cell r="J193">
            <v>570.97455233198502</v>
          </cell>
          <cell r="K193">
            <v>7.9624110827060406</v>
          </cell>
          <cell r="L193">
            <v>368.26687647291857</v>
          </cell>
          <cell r="M193">
            <v>149.46670693153365</v>
          </cell>
          <cell r="N193">
            <v>517.73358340445225</v>
          </cell>
        </row>
        <row r="194">
          <cell r="B194" t="str">
            <v>24"</v>
          </cell>
          <cell r="C194">
            <v>24</v>
          </cell>
          <cell r="D194" t="str">
            <v>120</v>
          </cell>
          <cell r="E194">
            <v>1.8120000000000001</v>
          </cell>
          <cell r="F194">
            <v>1.5855000000000001</v>
          </cell>
          <cell r="G194">
            <v>20.376000000000001</v>
          </cell>
          <cell r="H194">
            <v>126.30665192970476</v>
          </cell>
          <cell r="I194">
            <v>7824.5500661023643</v>
          </cell>
          <cell r="J194">
            <v>652.04583884186366</v>
          </cell>
          <cell r="K194">
            <v>7.8707582862135972</v>
          </cell>
          <cell r="L194">
            <v>430.40774124669383</v>
          </cell>
          <cell r="M194">
            <v>141.55067320239033</v>
          </cell>
          <cell r="N194">
            <v>571.9584144490841</v>
          </cell>
        </row>
        <row r="195">
          <cell r="B195" t="str">
            <v>24"</v>
          </cell>
          <cell r="C195">
            <v>24</v>
          </cell>
          <cell r="D195" t="str">
            <v>140</v>
          </cell>
          <cell r="E195">
            <v>2.0619999999999998</v>
          </cell>
          <cell r="F195">
            <v>1.8042499999999999</v>
          </cell>
          <cell r="G195">
            <v>19.876000000000001</v>
          </cell>
          <cell r="H195">
            <v>142.11357536624183</v>
          </cell>
          <cell r="I195">
            <v>8625.0094601231431</v>
          </cell>
          <cell r="J195">
            <v>718.75078834359522</v>
          </cell>
          <cell r="K195">
            <v>7.7904403598256238</v>
          </cell>
          <cell r="L195">
            <v>484.27206357997648</v>
          </cell>
          <cell r="M195">
            <v>134.68897608987024</v>
          </cell>
          <cell r="N195">
            <v>618.96103966984674</v>
          </cell>
        </row>
        <row r="196">
          <cell r="B196" t="str">
            <v>24"</v>
          </cell>
          <cell r="C196">
            <v>24</v>
          </cell>
          <cell r="D196" t="str">
            <v>160</v>
          </cell>
          <cell r="E196">
            <v>2.343</v>
          </cell>
          <cell r="F196">
            <v>2.050125</v>
          </cell>
          <cell r="G196">
            <v>19.314</v>
          </cell>
          <cell r="H196">
            <v>159.4117971274747</v>
          </cell>
          <cell r="I196">
            <v>9455.4170523323992</v>
          </cell>
          <cell r="J196">
            <v>787.95142102769989</v>
          </cell>
          <cell r="K196">
            <v>7.7015850478976073</v>
          </cell>
          <cell r="L196">
            <v>543.21819541142008</v>
          </cell>
          <cell r="M196">
            <v>127.17991471006852</v>
          </cell>
          <cell r="N196">
            <v>670.39811012148857</v>
          </cell>
        </row>
        <row r="197">
          <cell r="B197" t="str">
            <v>30"</v>
          </cell>
          <cell r="C197">
            <v>30</v>
          </cell>
          <cell r="D197" t="str">
            <v>10</v>
          </cell>
          <cell r="E197">
            <v>0.312</v>
          </cell>
          <cell r="F197">
            <v>0.27300000000000002</v>
          </cell>
          <cell r="G197">
            <v>29.376000000000001</v>
          </cell>
          <cell r="H197">
            <v>29.099492042329395</v>
          </cell>
          <cell r="I197">
            <v>3206.3082086213481</v>
          </cell>
          <cell r="J197">
            <v>213.75388057475655</v>
          </cell>
          <cell r="K197">
            <v>10.496872677135794</v>
          </cell>
          <cell r="L197">
            <v>99.160625747056116</v>
          </cell>
          <cell r="M197">
            <v>294.21133069413656</v>
          </cell>
          <cell r="N197">
            <v>393.37195644119265</v>
          </cell>
        </row>
        <row r="198">
          <cell r="B198" t="str">
            <v>30"</v>
          </cell>
          <cell r="C198">
            <v>30</v>
          </cell>
          <cell r="E198">
            <v>0.375</v>
          </cell>
          <cell r="F198">
            <v>0.328125</v>
          </cell>
          <cell r="G198">
            <v>29.25</v>
          </cell>
          <cell r="H198">
            <v>34.901130885974105</v>
          </cell>
          <cell r="I198">
            <v>3829.4447869379951</v>
          </cell>
          <cell r="J198">
            <v>255.29631912919967</v>
          </cell>
          <cell r="K198">
            <v>10.474858292597567</v>
          </cell>
          <cell r="L198">
            <v>118.93052885249138</v>
          </cell>
          <cell r="M198">
            <v>291.69287169981357</v>
          </cell>
          <cell r="N198">
            <v>410.62340055230493</v>
          </cell>
        </row>
        <row r="199">
          <cell r="B199" t="str">
            <v>30"</v>
          </cell>
          <cell r="C199">
            <v>30</v>
          </cell>
          <cell r="D199" t="str">
            <v>Std     20</v>
          </cell>
          <cell r="E199">
            <v>0.5</v>
          </cell>
          <cell r="F199">
            <v>0.4375</v>
          </cell>
          <cell r="G199">
            <v>29</v>
          </cell>
          <cell r="H199">
            <v>46.338491640449448</v>
          </cell>
          <cell r="I199">
            <v>5042.2071216264058</v>
          </cell>
          <cell r="J199">
            <v>336.14714144176037</v>
          </cell>
          <cell r="K199">
            <v>10.431323022512533</v>
          </cell>
          <cell r="L199">
            <v>157.90494970007293</v>
          </cell>
          <cell r="M199">
            <v>286.72797732432548</v>
          </cell>
          <cell r="N199">
            <v>444.63292702439844</v>
          </cell>
        </row>
        <row r="200">
          <cell r="B200" t="str">
            <v>30"</v>
          </cell>
          <cell r="C200">
            <v>30</v>
          </cell>
          <cell r="E200">
            <v>0.56200000000000006</v>
          </cell>
          <cell r="F200">
            <v>0.49175000000000002</v>
          </cell>
          <cell r="G200">
            <v>28.876000000000001</v>
          </cell>
          <cell r="H200">
            <v>51.974998949443453</v>
          </cell>
          <cell r="I200">
            <v>5632.2167591325306</v>
          </cell>
          <cell r="J200">
            <v>375.48111727550202</v>
          </cell>
          <cell r="K200">
            <v>10.409801198870225</v>
          </cell>
          <cell r="L200">
            <v>177.11214379729881</v>
          </cell>
          <cell r="M200">
            <v>284.28120100620748</v>
          </cell>
          <cell r="N200">
            <v>461.3933448035063</v>
          </cell>
        </row>
        <row r="201">
          <cell r="B201" t="str">
            <v>30"</v>
          </cell>
          <cell r="C201">
            <v>30</v>
          </cell>
          <cell r="D201" t="str">
            <v>30</v>
          </cell>
          <cell r="E201">
            <v>0.625</v>
          </cell>
          <cell r="F201">
            <v>0.546875</v>
          </cell>
          <cell r="G201">
            <v>28.75</v>
          </cell>
          <cell r="H201">
            <v>57.677677624500106</v>
          </cell>
          <cell r="I201">
            <v>6224.0072045969355</v>
          </cell>
          <cell r="J201">
            <v>414.93381363979569</v>
          </cell>
          <cell r="K201">
            <v>10.387981336621664</v>
          </cell>
          <cell r="L201">
            <v>196.54482616269672</v>
          </cell>
          <cell r="M201">
            <v>281.80570006794028</v>
          </cell>
          <cell r="N201">
            <v>478.350526230637</v>
          </cell>
        </row>
        <row r="202">
          <cell r="B202" t="str">
            <v>30"</v>
          </cell>
          <cell r="C202">
            <v>30</v>
          </cell>
          <cell r="E202">
            <v>0.75</v>
          </cell>
          <cell r="F202">
            <v>0.65625</v>
          </cell>
          <cell r="G202">
            <v>28.5</v>
          </cell>
          <cell r="H202">
            <v>68.918688838126087</v>
          </cell>
          <cell r="I202">
            <v>7375.376560192587</v>
          </cell>
          <cell r="J202">
            <v>491.69177067950579</v>
          </cell>
          <cell r="K202">
            <v>10.344835668100291</v>
          </cell>
          <cell r="L202">
            <v>234.85015824036273</v>
          </cell>
          <cell r="M202">
            <v>276.92603993065796</v>
          </cell>
          <cell r="N202">
            <v>511.77619817102072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 Cliente"/>
      <sheetName val="Custos"/>
      <sheetName val="Equip. AT"/>
      <sheetName val="Plan Cliente SPE"/>
      <sheetName val="SPE"/>
      <sheetName val="Painéis"/>
      <sheetName val="PNs FCAC"/>
      <sheetName val="Equip. Div"/>
      <sheetName val="Incêndio"/>
      <sheetName val="FCAC"/>
      <sheetName val="Coord&amp;Eng.Eletr"/>
      <sheetName val="Eng. Automação"/>
      <sheetName val="Superv.Comiss."/>
      <sheetName val="Hardware-software Altern"/>
      <sheetName val="Treinamento"/>
      <sheetName val="Sobressalentes"/>
      <sheetName val="Transporte"/>
      <sheetName val="Seguros"/>
      <sheetName val="Quant. AT"/>
      <sheetName val="Ajuda"/>
      <sheetName val="CASH_FLOW"/>
      <sheetName val="16-CUSTO_EQUIPTO"/>
      <sheetName val="DADOS"/>
      <sheetName val="15-DIVERSOS"/>
      <sheetName val="ÍNDICE"/>
      <sheetName val="13-MAT-FERR"/>
      <sheetName val="14-MAT.SEG "/>
      <sheetName val="16-EQUIP."/>
      <sheetName val="-17-MOI"/>
      <sheetName val="-18-CANTEIRO"/>
      <sheetName val="-19-TRANSP.PESSOAL"/>
      <sheetName val="-01-MOD"/>
      <sheetName val="-20-MOB-DESMOB "/>
      <sheetName val="-21-REFEICAO"/>
      <sheetName val="-22-VARIOS"/>
      <sheetName val="-23-TERCEIROS"/>
      <sheetName val="ENG"/>
      <sheetName val="samarco"/>
      <sheetName val="plan2"/>
      <sheetName val="Plan3"/>
      <sheetName val="erection"/>
      <sheetName val="Plan_Cliente"/>
      <sheetName val="Equip__AT"/>
      <sheetName val="Plan_Cliente_SPE"/>
      <sheetName val="PNs_FCAC"/>
      <sheetName val="Equip__Div"/>
      <sheetName val="Coord&amp;Eng_Eletr"/>
      <sheetName val="Eng__Automação"/>
      <sheetName val="Superv_Comiss_"/>
      <sheetName val="Hardware-software_Altern"/>
      <sheetName val="Quant__AT"/>
      <sheetName val="14-MAT_SEG_"/>
      <sheetName val="16-EQUIP_"/>
      <sheetName val="-19-TRANSP_PESSOAL"/>
      <sheetName val="-20-MOB-DESMOB_"/>
    </sheetNames>
    <sheetDataSet>
      <sheetData sheetId="0" refreshError="1"/>
      <sheetData sheetId="1">
        <row r="1">
          <cell r="F1" t="str">
            <v>BARRO ALTO PROJECT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1">
          <cell r="P1">
            <v>38765</v>
          </cell>
        </row>
        <row r="2">
          <cell r="P2">
            <v>2.16</v>
          </cell>
        </row>
        <row r="3">
          <cell r="L3">
            <v>140</v>
          </cell>
        </row>
      </sheetData>
      <sheetData sheetId="10" refreshError="1"/>
      <sheetData sheetId="11"/>
      <sheetData sheetId="12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imate"/>
      <sheetName val="ANTECEDENTES DISPONIBLES"/>
      <sheetName val="Rates Sheet"/>
      <sheetName val="Cash Flow"/>
      <sheetName val="Manpower Curves"/>
      <sheetName val="Pelambres175tmpdvalorizadoJRI"/>
      <sheetName val="ANTECEDENTES_DISPONIBLES"/>
      <sheetName val="Rates_Sheet"/>
      <sheetName val="Cash_Flow"/>
      <sheetName val="Manpower_Curves"/>
      <sheetName val="MEDIÇÃO 01"/>
      <sheetName val="RESUMO"/>
      <sheetName val="ESCOPO DE CONTRATO"/>
      <sheetName val="OMISSOS"/>
      <sheetName val="16-equip."/>
      <sheetName val="costomat.xls"/>
      <sheetName val="Referência"/>
      <sheetName val="Dados Iniciais"/>
      <sheetName val="ENG"/>
      <sheetName val="Component Schedule Details"/>
      <sheetName val="ANTECEDENTES_DISPONIBLES1"/>
      <sheetName val="Rates_Sheet1"/>
      <sheetName val="Cash_Flow1"/>
      <sheetName val="Manpower_Curves1"/>
      <sheetName val="J&amp;T"/>
      <sheetName val="MEDIÇÃO_01"/>
      <sheetName val="ESCOPO_DE_CONTRATO"/>
      <sheetName val="16-equip_"/>
    </sheetNames>
    <sheetDataSet>
      <sheetData sheetId="0" refreshError="1">
        <row r="350">
          <cell r="F350" t="str">
            <v>DETALLE DE COSTOS</v>
          </cell>
        </row>
        <row r="351">
          <cell r="D351" t="str">
            <v xml:space="preserve"> </v>
          </cell>
          <cell r="E351" t="str">
            <v xml:space="preserve"> </v>
          </cell>
          <cell r="F351" t="str">
            <v xml:space="preserve"> </v>
          </cell>
          <cell r="G351" t="str">
            <v xml:space="preserve"> </v>
          </cell>
          <cell r="H351" t="str">
            <v xml:space="preserve"> </v>
          </cell>
          <cell r="I351" t="str">
            <v xml:space="preserve"> </v>
          </cell>
          <cell r="J351" t="str">
            <v>Labour</v>
          </cell>
          <cell r="K351" t="str">
            <v xml:space="preserve"> </v>
          </cell>
          <cell r="M351" t="str">
            <v xml:space="preserve">                 Precio Unitario US$/Unidad</v>
          </cell>
          <cell r="P351" t="str">
            <v xml:space="preserve">                 Costo Estimado Miles US$</v>
          </cell>
          <cell r="V351" t="str">
            <v>COSTO</v>
          </cell>
        </row>
        <row r="352">
          <cell r="D352" t="str">
            <v xml:space="preserve"> </v>
          </cell>
          <cell r="E352" t="str">
            <v xml:space="preserve"> </v>
          </cell>
          <cell r="F352" t="str">
            <v xml:space="preserve"> </v>
          </cell>
          <cell r="H352" t="str">
            <v xml:space="preserve"> </v>
          </cell>
          <cell r="I352" t="str">
            <v>Horas</v>
          </cell>
          <cell r="J352" t="str">
            <v xml:space="preserve"> </v>
          </cell>
          <cell r="K352" t="str">
            <v>Costo US$/</v>
          </cell>
          <cell r="M352" t="str">
            <v xml:space="preserve"> </v>
          </cell>
          <cell r="V352" t="str">
            <v>TOTAL</v>
          </cell>
        </row>
        <row r="353">
          <cell r="D353" t="str">
            <v>Code</v>
          </cell>
          <cell r="E353" t="str">
            <v>Nos.</v>
          </cell>
          <cell r="I353" t="str">
            <v>Hombre</v>
          </cell>
          <cell r="J353" t="str">
            <v>Total</v>
          </cell>
          <cell r="K353" t="str">
            <v>Hombre</v>
          </cell>
          <cell r="N353" t="str">
            <v>Constrccion Y</v>
          </cell>
          <cell r="O353" t="str">
            <v>Total US$</v>
          </cell>
          <cell r="P353" t="str">
            <v xml:space="preserve">                Equipos</v>
          </cell>
          <cell r="R353" t="str">
            <v>Materiales</v>
          </cell>
          <cell r="T353" t="str">
            <v>Constrccion</v>
          </cell>
          <cell r="V353" t="str">
            <v>Miles US$</v>
          </cell>
        </row>
        <row r="354">
          <cell r="D354" t="str">
            <v>Cont.</v>
          </cell>
          <cell r="E354" t="str">
            <v>Equip.</v>
          </cell>
          <cell r="F354" t="str">
            <v>Descripcion Item</v>
          </cell>
          <cell r="G354" t="str">
            <v>Unidad</v>
          </cell>
          <cell r="H354" t="str">
            <v>Cantidad</v>
          </cell>
          <cell r="I354" t="str">
            <v>/Unidad</v>
          </cell>
          <cell r="J354" t="str">
            <v>Horas</v>
          </cell>
          <cell r="K354" t="str">
            <v>-Horas</v>
          </cell>
          <cell r="L354" t="str">
            <v>Equipos</v>
          </cell>
          <cell r="M354" t="str">
            <v>Material</v>
          </cell>
          <cell r="N354" t="str">
            <v xml:space="preserve"> Montaje</v>
          </cell>
          <cell r="O354" t="str">
            <v>Labor</v>
          </cell>
          <cell r="P354" t="str">
            <v>Eq. Nacional</v>
          </cell>
          <cell r="Q354" t="str">
            <v>Eq. Importado</v>
          </cell>
          <cell r="R354" t="str">
            <v>Mat. Nacional</v>
          </cell>
          <cell r="S354" t="str">
            <v>Mat. Importado</v>
          </cell>
          <cell r="T354" t="str">
            <v>y Montaje</v>
          </cell>
          <cell r="V354" t="str">
            <v>TOTAL</v>
          </cell>
        </row>
        <row r="357">
          <cell r="D357" t="str">
            <v>EXCAVACIONES Y RELLENOS</v>
          </cell>
        </row>
        <row r="358">
          <cell r="D358">
            <v>1</v>
          </cell>
          <cell r="F358" t="str">
            <v>Excavacion estructural en roca</v>
          </cell>
          <cell r="G358" t="str">
            <v>m3</v>
          </cell>
          <cell r="H358">
            <v>369.59999999999997</v>
          </cell>
          <cell r="N358">
            <v>89</v>
          </cell>
          <cell r="P358">
            <v>0</v>
          </cell>
          <cell r="Q358">
            <v>0</v>
          </cell>
          <cell r="T358">
            <v>32.894399999999997</v>
          </cell>
          <cell r="V358">
            <v>32.894399999999997</v>
          </cell>
        </row>
        <row r="359">
          <cell r="D359">
            <v>1</v>
          </cell>
          <cell r="F359" t="str">
            <v>Excavación estructural en terreno duro</v>
          </cell>
          <cell r="G359" t="str">
            <v>m3</v>
          </cell>
          <cell r="H359">
            <v>554.4</v>
          </cell>
          <cell r="N359">
            <v>53</v>
          </cell>
          <cell r="P359">
            <v>0</v>
          </cell>
          <cell r="Q359">
            <v>0</v>
          </cell>
          <cell r="T359">
            <v>29.383199999999999</v>
          </cell>
          <cell r="V359">
            <v>29.383199999999999</v>
          </cell>
        </row>
        <row r="360">
          <cell r="D360">
            <v>1</v>
          </cell>
          <cell r="F360" t="str">
            <v>Relleno compactado material emprestito</v>
          </cell>
          <cell r="G360" t="str">
            <v>m3</v>
          </cell>
          <cell r="H360">
            <v>110.25</v>
          </cell>
          <cell r="N360">
            <v>14</v>
          </cell>
          <cell r="P360">
            <v>0</v>
          </cell>
          <cell r="Q360">
            <v>0</v>
          </cell>
          <cell r="T360">
            <v>1.5435000000000001</v>
          </cell>
          <cell r="V360">
            <v>1.5435000000000001</v>
          </cell>
        </row>
        <row r="361">
          <cell r="D361" t="str">
            <v>HORMIGONES</v>
          </cell>
        </row>
        <row r="362">
          <cell r="D362">
            <v>2</v>
          </cell>
          <cell r="F362" t="str">
            <v>Hormigon armado           Fundaciones</v>
          </cell>
          <cell r="G362" t="str">
            <v>m3</v>
          </cell>
          <cell r="H362">
            <v>206.99999999999997</v>
          </cell>
          <cell r="N362">
            <v>503</v>
          </cell>
          <cell r="P362">
            <v>0</v>
          </cell>
          <cell r="Q362">
            <v>0</v>
          </cell>
          <cell r="T362">
            <v>104.12099999999998</v>
          </cell>
          <cell r="V362">
            <v>104.12099999999998</v>
          </cell>
        </row>
        <row r="363">
          <cell r="D363">
            <v>2</v>
          </cell>
          <cell r="F363" t="str">
            <v>Hormigón armado           Muro contencion</v>
          </cell>
          <cell r="G363" t="str">
            <v>m3</v>
          </cell>
          <cell r="H363">
            <v>661.25</v>
          </cell>
          <cell r="N363">
            <v>503</v>
          </cell>
          <cell r="P363">
            <v>0</v>
          </cell>
          <cell r="Q363">
            <v>0</v>
          </cell>
          <cell r="T363">
            <v>332.60874999999999</v>
          </cell>
          <cell r="V363">
            <v>332.60874999999999</v>
          </cell>
        </row>
        <row r="364">
          <cell r="D364" t="str">
            <v>ESTRUCTURAS METALICAS</v>
          </cell>
        </row>
        <row r="365">
          <cell r="D365">
            <v>3</v>
          </cell>
          <cell r="F365" t="str">
            <v>Estructuras metálicas     Correas reversibles</v>
          </cell>
          <cell r="G365" t="str">
            <v>ton</v>
          </cell>
          <cell r="H365">
            <v>43.699999999999996</v>
          </cell>
          <cell r="M365">
            <v>1900</v>
          </cell>
          <cell r="N365">
            <v>870</v>
          </cell>
          <cell r="P365">
            <v>0</v>
          </cell>
          <cell r="Q365">
            <v>0</v>
          </cell>
          <cell r="R365">
            <v>83.029999999999987</v>
          </cell>
          <cell r="T365">
            <v>38.018999999999991</v>
          </cell>
          <cell r="V365">
            <v>121.04899999999998</v>
          </cell>
        </row>
        <row r="366">
          <cell r="D366">
            <v>3</v>
          </cell>
          <cell r="F366" t="str">
            <v>Estructuras metálicas     Soporte correa y techumbre acopio</v>
          </cell>
          <cell r="G366" t="str">
            <v>ton</v>
          </cell>
          <cell r="H366">
            <v>463.45</v>
          </cell>
          <cell r="M366">
            <v>1900</v>
          </cell>
          <cell r="N366">
            <v>870</v>
          </cell>
          <cell r="P366">
            <v>0</v>
          </cell>
          <cell r="Q366">
            <v>0</v>
          </cell>
          <cell r="R366">
            <v>880.55499999999995</v>
          </cell>
          <cell r="T366">
            <v>403.20150000000001</v>
          </cell>
          <cell r="V366">
            <v>1283.7565</v>
          </cell>
        </row>
        <row r="367">
          <cell r="D367">
            <v>3</v>
          </cell>
          <cell r="F367" t="str">
            <v>Cubierta Acero                Acopio</v>
          </cell>
          <cell r="G367" t="str">
            <v>m2</v>
          </cell>
          <cell r="H367">
            <v>1163.8</v>
          </cell>
          <cell r="N367">
            <v>61</v>
          </cell>
          <cell r="P367">
            <v>0</v>
          </cell>
          <cell r="Q367">
            <v>0</v>
          </cell>
          <cell r="R367">
            <v>0</v>
          </cell>
          <cell r="T367">
            <v>70.991799999999998</v>
          </cell>
          <cell r="V367">
            <v>70.991799999999998</v>
          </cell>
        </row>
        <row r="368">
          <cell r="D368" t="str">
            <v>MECANICA</v>
          </cell>
        </row>
        <row r="369">
          <cell r="D369">
            <v>5</v>
          </cell>
          <cell r="F369" t="str">
            <v>Modif.sistema motriz correa CV-001 ( 2 motores, 1 VDF, 1Transf)</v>
          </cell>
          <cell r="G369" t="str">
            <v>un</v>
          </cell>
          <cell r="H369">
            <v>1</v>
          </cell>
          <cell r="L369">
            <v>635000</v>
          </cell>
          <cell r="N369">
            <v>63500</v>
          </cell>
          <cell r="P369">
            <v>0</v>
          </cell>
          <cell r="Q369">
            <v>635</v>
          </cell>
          <cell r="R369">
            <v>0</v>
          </cell>
          <cell r="T369">
            <v>63.5</v>
          </cell>
          <cell r="V369">
            <v>698.5</v>
          </cell>
        </row>
        <row r="370">
          <cell r="D370">
            <v>5</v>
          </cell>
          <cell r="F370" t="str">
            <v>Correa distrib.acopio mina rever.CV-001A A=3 m; L=30m; V=3.6m/s 250 HP</v>
          </cell>
          <cell r="G370" t="str">
            <v>un</v>
          </cell>
          <cell r="H370">
            <v>1</v>
          </cell>
          <cell r="L370">
            <v>1498000</v>
          </cell>
          <cell r="N370">
            <v>149800</v>
          </cell>
          <cell r="P370">
            <v>0</v>
          </cell>
          <cell r="Q370">
            <v>1498</v>
          </cell>
          <cell r="R370">
            <v>0</v>
          </cell>
          <cell r="T370">
            <v>149.80000000000001</v>
          </cell>
          <cell r="V370">
            <v>1647.8</v>
          </cell>
        </row>
        <row r="371">
          <cell r="D371">
            <v>5</v>
          </cell>
          <cell r="F371" t="str">
            <v>Chancador giratorio 60x110" OSS, 1000HP modif.veloc.concavas y excentr. 175K</v>
          </cell>
          <cell r="G371" t="str">
            <v>un</v>
          </cell>
          <cell r="H371">
            <v>1</v>
          </cell>
          <cell r="L371">
            <v>600000</v>
          </cell>
          <cell r="N371">
            <v>60000</v>
          </cell>
          <cell r="P371">
            <v>0</v>
          </cell>
          <cell r="Q371">
            <v>600</v>
          </cell>
          <cell r="R371">
            <v>0</v>
          </cell>
          <cell r="T371">
            <v>60</v>
          </cell>
          <cell r="V371">
            <v>660</v>
          </cell>
        </row>
        <row r="372">
          <cell r="D372">
            <v>5</v>
          </cell>
          <cell r="F372" t="str">
            <v>Carro elevador accionado por huinche 20HP</v>
          </cell>
          <cell r="G372" t="str">
            <v>un</v>
          </cell>
          <cell r="H372">
            <v>1</v>
          </cell>
          <cell r="L372">
            <v>15000</v>
          </cell>
          <cell r="N372">
            <v>1500</v>
          </cell>
          <cell r="P372">
            <v>0</v>
          </cell>
          <cell r="Q372">
            <v>15</v>
          </cell>
          <cell r="R372">
            <v>0</v>
          </cell>
          <cell r="T372">
            <v>1.5</v>
          </cell>
          <cell r="V372">
            <v>16.5</v>
          </cell>
        </row>
        <row r="373">
          <cell r="D373">
            <v>5</v>
          </cell>
          <cell r="F373" t="str">
            <v>Chute movil hidraulico</v>
          </cell>
          <cell r="G373" t="str">
            <v>ton</v>
          </cell>
          <cell r="H373">
            <v>15</v>
          </cell>
          <cell r="M373">
            <v>6450</v>
          </cell>
          <cell r="N373">
            <v>2175</v>
          </cell>
          <cell r="P373">
            <v>0</v>
          </cell>
          <cell r="Q373">
            <v>0</v>
          </cell>
          <cell r="R373">
            <v>0</v>
          </cell>
          <cell r="S373">
            <v>96.75</v>
          </cell>
          <cell r="T373">
            <v>32.625</v>
          </cell>
          <cell r="V373">
            <v>129.375</v>
          </cell>
        </row>
        <row r="374">
          <cell r="D374">
            <v>5</v>
          </cell>
          <cell r="F374" t="str">
            <v>tecle mantencion correa</v>
          </cell>
          <cell r="G374" t="str">
            <v>un</v>
          </cell>
          <cell r="H374">
            <v>1</v>
          </cell>
          <cell r="L374">
            <v>13060</v>
          </cell>
          <cell r="N374">
            <v>1306</v>
          </cell>
          <cell r="P374">
            <v>13.06</v>
          </cell>
          <cell r="Q374">
            <v>0</v>
          </cell>
          <cell r="R374">
            <v>0</v>
          </cell>
          <cell r="T374">
            <v>1.306</v>
          </cell>
          <cell r="V374">
            <v>14.366</v>
          </cell>
        </row>
        <row r="375">
          <cell r="D375" t="str">
            <v>CAÑERIAS</v>
          </cell>
        </row>
        <row r="376">
          <cell r="D376">
            <v>6</v>
          </cell>
          <cell r="F376" t="str">
            <v>Global tuberías válvulas y fittings (se aplica 1% equipos mecànicos)</v>
          </cell>
          <cell r="G376" t="str">
            <v>gl</v>
          </cell>
          <cell r="H376">
            <v>1</v>
          </cell>
          <cell r="N376">
            <v>30063</v>
          </cell>
          <cell r="P376">
            <v>0</v>
          </cell>
          <cell r="Q376">
            <v>0</v>
          </cell>
          <cell r="R376">
            <v>0</v>
          </cell>
          <cell r="T376">
            <v>30.062999999999999</v>
          </cell>
          <cell r="V376">
            <v>30.062999999999999</v>
          </cell>
        </row>
        <row r="377">
          <cell r="D377" t="str">
            <v>ELECTRICIDAD</v>
          </cell>
        </row>
        <row r="378">
          <cell r="D378">
            <v>7</v>
          </cell>
          <cell r="F378" t="str">
            <v>Global equipos eléctricos (se aplica 8.6% equipos mecánicos)</v>
          </cell>
          <cell r="G378" t="str">
            <v>gl</v>
          </cell>
          <cell r="H378">
            <v>1</v>
          </cell>
          <cell r="N378">
            <v>258542</v>
          </cell>
          <cell r="P378">
            <v>0</v>
          </cell>
          <cell r="Q378">
            <v>0</v>
          </cell>
          <cell r="R378">
            <v>0</v>
          </cell>
          <cell r="T378">
            <v>258.54199999999997</v>
          </cell>
          <cell r="V378">
            <v>258.54199999999997</v>
          </cell>
        </row>
        <row r="379">
          <cell r="D379" t="str">
            <v>INSTRUMENTACION</v>
          </cell>
        </row>
        <row r="380">
          <cell r="D380">
            <v>8</v>
          </cell>
          <cell r="F380" t="str">
            <v>Global instrumentos (se aplica 2.8% equipos mecánicos)</v>
          </cell>
          <cell r="G380" t="str">
            <v>gl</v>
          </cell>
          <cell r="H380">
            <v>1</v>
          </cell>
          <cell r="N380">
            <v>84176</v>
          </cell>
          <cell r="P380">
            <v>0</v>
          </cell>
          <cell r="Q380">
            <v>0</v>
          </cell>
          <cell r="R380">
            <v>0</v>
          </cell>
          <cell r="T380">
            <v>84.176000000000002</v>
          </cell>
          <cell r="V380">
            <v>84.176000000000002</v>
          </cell>
        </row>
        <row r="381">
          <cell r="E381" t="str">
            <v>CHANCADO PRIMARIO</v>
          </cell>
          <cell r="P381">
            <v>13.06</v>
          </cell>
          <cell r="Q381">
            <v>2748</v>
          </cell>
          <cell r="R381">
            <v>963.58499999999992</v>
          </cell>
          <cell r="S381">
            <v>96.75</v>
          </cell>
          <cell r="T381">
            <v>1694.2751499999999</v>
          </cell>
          <cell r="V381">
            <v>5515.6701500000008</v>
          </cell>
        </row>
        <row r="385">
          <cell r="D385" t="str">
            <v>HORMIGONES</v>
          </cell>
          <cell r="P385">
            <v>0</v>
          </cell>
          <cell r="Q385">
            <v>0</v>
          </cell>
          <cell r="R385">
            <v>0</v>
          </cell>
          <cell r="T385">
            <v>0</v>
          </cell>
        </row>
        <row r="386">
          <cell r="D386">
            <v>1</v>
          </cell>
          <cell r="F386" t="str">
            <v>Hormigon armado           Base motores</v>
          </cell>
          <cell r="G386" t="str">
            <v>m3</v>
          </cell>
          <cell r="H386">
            <v>51.749999999999993</v>
          </cell>
          <cell r="N386">
            <v>503</v>
          </cell>
          <cell r="P386">
            <v>0</v>
          </cell>
          <cell r="Q386">
            <v>0</v>
          </cell>
          <cell r="R386">
            <v>0</v>
          </cell>
          <cell r="T386">
            <v>26.030249999999995</v>
          </cell>
          <cell r="V386">
            <v>26.030249999999995</v>
          </cell>
        </row>
        <row r="387">
          <cell r="D387" t="str">
            <v>ESTRUCTURAS METÁLICAS</v>
          </cell>
        </row>
        <row r="388">
          <cell r="D388">
            <v>3</v>
          </cell>
          <cell r="F388" t="str">
            <v>Estructuras metálicas     Correa</v>
          </cell>
          <cell r="G388" t="str">
            <v>ton</v>
          </cell>
          <cell r="H388">
            <v>18.399999999999999</v>
          </cell>
          <cell r="M388">
            <v>1900</v>
          </cell>
          <cell r="N388">
            <v>870</v>
          </cell>
          <cell r="P388">
            <v>0</v>
          </cell>
          <cell r="Q388">
            <v>0</v>
          </cell>
          <cell r="R388">
            <v>34.96</v>
          </cell>
          <cell r="T388">
            <v>16.007999999999999</v>
          </cell>
          <cell r="V388">
            <v>50.968000000000004</v>
          </cell>
        </row>
        <row r="389">
          <cell r="D389">
            <v>3</v>
          </cell>
          <cell r="F389" t="str">
            <v>Calderería chutes de traspaso</v>
          </cell>
          <cell r="G389" t="str">
            <v>ton</v>
          </cell>
          <cell r="H389">
            <v>11.5</v>
          </cell>
          <cell r="M389">
            <v>4300</v>
          </cell>
          <cell r="N389">
            <v>1450</v>
          </cell>
          <cell r="P389">
            <v>0</v>
          </cell>
          <cell r="Q389">
            <v>0</v>
          </cell>
          <cell r="R389">
            <v>49.45</v>
          </cell>
          <cell r="T389">
            <v>16.675000000000001</v>
          </cell>
          <cell r="V389">
            <v>66.125</v>
          </cell>
        </row>
        <row r="390">
          <cell r="D390" t="str">
            <v>MECANICA</v>
          </cell>
        </row>
        <row r="391">
          <cell r="D391">
            <v>5</v>
          </cell>
          <cell r="F391" t="str">
            <v>Repotenciamiento y reemplazo bomba sis.hidraulico alimentador A=1.8; L=8m</v>
          </cell>
          <cell r="G391" t="str">
            <v>un</v>
          </cell>
          <cell r="H391">
            <v>4</v>
          </cell>
          <cell r="L391">
            <v>19440</v>
          </cell>
          <cell r="N391">
            <v>1944</v>
          </cell>
          <cell r="P391">
            <v>0</v>
          </cell>
          <cell r="Q391">
            <v>77.760000000000005</v>
          </cell>
          <cell r="R391">
            <v>0</v>
          </cell>
          <cell r="T391">
            <v>7.7759999999999998</v>
          </cell>
          <cell r="V391">
            <v>85.536000000000001</v>
          </cell>
        </row>
        <row r="392">
          <cell r="D392">
            <v>5</v>
          </cell>
          <cell r="F392" t="str">
            <v>Sistema accionamiento 3350 HP, correa N1 CV-005 A=1.8m; L=5968m</v>
          </cell>
          <cell r="G392" t="str">
            <v>un</v>
          </cell>
          <cell r="H392">
            <v>1</v>
          </cell>
          <cell r="L392">
            <v>1021950</v>
          </cell>
          <cell r="N392">
            <v>51098</v>
          </cell>
          <cell r="P392">
            <v>0</v>
          </cell>
          <cell r="Q392">
            <v>1021.95</v>
          </cell>
          <cell r="R392">
            <v>0</v>
          </cell>
          <cell r="T392">
            <v>51.097999999999999</v>
          </cell>
          <cell r="V392">
            <v>1073.048</v>
          </cell>
        </row>
        <row r="393">
          <cell r="D393">
            <v>5</v>
          </cell>
          <cell r="F393" t="str">
            <v>Reemplazo reductor sist.enfriamiento frenos, ajuste aceleracion CV-005</v>
          </cell>
          <cell r="G393" t="str">
            <v>un</v>
          </cell>
          <cell r="H393">
            <v>3</v>
          </cell>
          <cell r="L393">
            <v>340909</v>
          </cell>
          <cell r="N393">
            <v>34091</v>
          </cell>
          <cell r="P393">
            <v>0</v>
          </cell>
          <cell r="Q393">
            <v>1022.727</v>
          </cell>
          <cell r="R393">
            <v>0</v>
          </cell>
          <cell r="T393">
            <v>102.273</v>
          </cell>
          <cell r="V393">
            <v>1125</v>
          </cell>
        </row>
        <row r="394">
          <cell r="D394">
            <v>5</v>
          </cell>
          <cell r="F394" t="str">
            <v>Sistema de accionamiento 3350 HP, correa Nº2 CV-006 A=1.8m; L=5337m</v>
          </cell>
          <cell r="G394" t="str">
            <v>un</v>
          </cell>
          <cell r="H394">
            <v>1</v>
          </cell>
          <cell r="L394">
            <v>853450</v>
          </cell>
          <cell r="N394">
            <v>42673</v>
          </cell>
          <cell r="P394">
            <v>0</v>
          </cell>
          <cell r="Q394">
            <v>853.45</v>
          </cell>
          <cell r="R394">
            <v>0</v>
          </cell>
          <cell r="T394">
            <v>42.673000000000002</v>
          </cell>
          <cell r="V394">
            <v>896.12300000000005</v>
          </cell>
        </row>
        <row r="395">
          <cell r="D395">
            <v>5</v>
          </cell>
          <cell r="F395" t="str">
            <v>Reemplazo reductor sist.enfriamiento frenos, ajuste aceleracion CV-006</v>
          </cell>
          <cell r="G395" t="str">
            <v>un</v>
          </cell>
          <cell r="H395">
            <v>3</v>
          </cell>
          <cell r="L395">
            <v>340909</v>
          </cell>
          <cell r="N395">
            <v>34091</v>
          </cell>
          <cell r="P395">
            <v>0</v>
          </cell>
          <cell r="Q395">
            <v>1022.727</v>
          </cell>
          <cell r="R395">
            <v>0</v>
          </cell>
          <cell r="T395">
            <v>102.273</v>
          </cell>
          <cell r="V395">
            <v>1125</v>
          </cell>
        </row>
        <row r="396">
          <cell r="D396">
            <v>5</v>
          </cell>
          <cell r="F396" t="str">
            <v>Sistema de accionamiento 3350 HP, correa Nº3 CV-007 A=1.8m; L=1470m</v>
          </cell>
          <cell r="G396" t="str">
            <v>un</v>
          </cell>
          <cell r="H396">
            <v>1</v>
          </cell>
          <cell r="L396">
            <v>1294200</v>
          </cell>
          <cell r="N396">
            <v>64710</v>
          </cell>
          <cell r="P396">
            <v>0</v>
          </cell>
          <cell r="Q396">
            <v>1294.2</v>
          </cell>
          <cell r="R396">
            <v>0</v>
          </cell>
          <cell r="T396">
            <v>64.709999999999994</v>
          </cell>
          <cell r="V396">
            <v>1358.91</v>
          </cell>
        </row>
        <row r="397">
          <cell r="D397">
            <v>5</v>
          </cell>
          <cell r="F397" t="str">
            <v>Reemplazo reductor sist.enfriamiento frenos, ajuste aceleracion CV-007</v>
          </cell>
          <cell r="G397" t="str">
            <v>un</v>
          </cell>
          <cell r="H397">
            <v>2</v>
          </cell>
          <cell r="L397">
            <v>340909</v>
          </cell>
          <cell r="N397">
            <v>34091</v>
          </cell>
          <cell r="P397">
            <v>0</v>
          </cell>
          <cell r="Q397">
            <v>681.81799999999998</v>
          </cell>
          <cell r="R397">
            <v>0</v>
          </cell>
          <cell r="T397">
            <v>68.182000000000002</v>
          </cell>
          <cell r="V397">
            <v>750</v>
          </cell>
        </row>
        <row r="398">
          <cell r="D398">
            <v>5</v>
          </cell>
          <cell r="F398" t="str">
            <v>Correa transportadora CV-007 A=1.8m L=1470m; se alarga en 32m</v>
          </cell>
          <cell r="G398" t="str">
            <v>m</v>
          </cell>
          <cell r="H398">
            <v>32</v>
          </cell>
          <cell r="L398">
            <v>4135</v>
          </cell>
          <cell r="N398">
            <v>600</v>
          </cell>
          <cell r="P398">
            <v>132.32</v>
          </cell>
          <cell r="Q398">
            <v>0</v>
          </cell>
          <cell r="R398">
            <v>0</v>
          </cell>
          <cell r="T398">
            <v>19.2</v>
          </cell>
          <cell r="V398">
            <v>151.51999999999998</v>
          </cell>
        </row>
        <row r="399">
          <cell r="D399" t="str">
            <v>CAÑERIAS</v>
          </cell>
        </row>
        <row r="400">
          <cell r="D400">
            <v>6</v>
          </cell>
          <cell r="F400" t="str">
            <v>Global tuberías válvulas y fittings (se aplica 4% equipos mecànicos)</v>
          </cell>
          <cell r="G400" t="str">
            <v>gl</v>
          </cell>
          <cell r="H400">
            <v>1</v>
          </cell>
          <cell r="L400">
            <v>120</v>
          </cell>
          <cell r="N400">
            <v>262606</v>
          </cell>
          <cell r="P400">
            <v>0.12</v>
          </cell>
          <cell r="Q400">
            <v>0.12</v>
          </cell>
          <cell r="R400">
            <v>0</v>
          </cell>
          <cell r="T400">
            <v>262.60599999999999</v>
          </cell>
          <cell r="V400">
            <v>262.846</v>
          </cell>
        </row>
        <row r="401">
          <cell r="D401" t="str">
            <v>ELECTRICIDAD</v>
          </cell>
        </row>
        <row r="402">
          <cell r="D402">
            <v>7</v>
          </cell>
          <cell r="F402" t="str">
            <v>Global equipos eléctricos (se aplica 3% equipos mecánicos)</v>
          </cell>
          <cell r="G402" t="str">
            <v>gl</v>
          </cell>
          <cell r="H402">
            <v>1</v>
          </cell>
          <cell r="N402">
            <v>196954</v>
          </cell>
          <cell r="P402">
            <v>0</v>
          </cell>
          <cell r="Q402">
            <v>0</v>
          </cell>
          <cell r="R402">
            <v>0</v>
          </cell>
          <cell r="T402">
            <v>196.95400000000001</v>
          </cell>
          <cell r="V402">
            <v>196.95400000000001</v>
          </cell>
        </row>
        <row r="403">
          <cell r="E403" t="str">
            <v>SISTEMA DE TRANSPORTE DE MINERAL</v>
          </cell>
          <cell r="P403">
            <v>132.44</v>
          </cell>
          <cell r="Q403">
            <v>5974.7519999999995</v>
          </cell>
          <cell r="R403">
            <v>84.41</v>
          </cell>
          <cell r="S403">
            <v>0</v>
          </cell>
          <cell r="T403">
            <v>976.45824999999991</v>
          </cell>
          <cell r="V403">
            <v>7168.0602499999986</v>
          </cell>
        </row>
        <row r="408">
          <cell r="D408">
            <v>5</v>
          </cell>
          <cell r="F408" t="str">
            <v>Tractor para movimiento de carga tipo D-9</v>
          </cell>
          <cell r="G408" t="str">
            <v>un</v>
          </cell>
          <cell r="H408">
            <v>1</v>
          </cell>
          <cell r="L408">
            <v>780000</v>
          </cell>
          <cell r="P408">
            <v>0</v>
          </cell>
          <cell r="Q408">
            <v>780</v>
          </cell>
          <cell r="R408">
            <v>0</v>
          </cell>
          <cell r="T408">
            <v>0</v>
          </cell>
          <cell r="V408">
            <v>780</v>
          </cell>
        </row>
        <row r="410">
          <cell r="E410" t="str">
            <v>EQUIPOS MOVILES MINA</v>
          </cell>
          <cell r="P410">
            <v>0</v>
          </cell>
          <cell r="Q410">
            <v>780</v>
          </cell>
          <cell r="R410">
            <v>0</v>
          </cell>
          <cell r="S410">
            <v>0</v>
          </cell>
          <cell r="T410">
            <v>0</v>
          </cell>
          <cell r="V410">
            <v>780</v>
          </cell>
        </row>
        <row r="412">
          <cell r="E412" t="str">
            <v xml:space="preserve"> </v>
          </cell>
        </row>
        <row r="413">
          <cell r="E413" t="str">
            <v>Total: INSTALACIONES MINA</v>
          </cell>
          <cell r="P413">
            <v>145.5</v>
          </cell>
          <cell r="Q413">
            <v>9502.7520000000004</v>
          </cell>
          <cell r="R413">
            <v>1047.9949999999999</v>
          </cell>
          <cell r="S413">
            <v>96.75</v>
          </cell>
          <cell r="T413">
            <v>2670.7334000000001</v>
          </cell>
          <cell r="V413">
            <v>13463.7304</v>
          </cell>
          <cell r="AA413" t="str">
            <v xml:space="preserve"> </v>
          </cell>
        </row>
        <row r="417">
          <cell r="E417" t="str">
            <v>CONCENTRADOR</v>
          </cell>
        </row>
        <row r="420">
          <cell r="D420" t="str">
            <v>EXCAVACIONES Y RELLENOS</v>
          </cell>
        </row>
        <row r="421">
          <cell r="D421">
            <v>1</v>
          </cell>
          <cell r="F421" t="str">
            <v>Excavación estructural en terreno duro          tunel</v>
          </cell>
          <cell r="G421" t="str">
            <v>m3</v>
          </cell>
          <cell r="H421">
            <v>15600</v>
          </cell>
          <cell r="N421">
            <v>53</v>
          </cell>
          <cell r="P421">
            <v>0</v>
          </cell>
          <cell r="Q421">
            <v>0</v>
          </cell>
          <cell r="T421">
            <v>826.8</v>
          </cell>
          <cell r="V421">
            <v>826.8</v>
          </cell>
        </row>
        <row r="422">
          <cell r="D422">
            <v>1</v>
          </cell>
          <cell r="F422" t="str">
            <v>Excavación estructural en terreno duro          ampliacion edificio</v>
          </cell>
          <cell r="G422" t="str">
            <v>m3</v>
          </cell>
          <cell r="H422">
            <v>1080</v>
          </cell>
          <cell r="N422">
            <v>53</v>
          </cell>
          <cell r="P422">
            <v>0</v>
          </cell>
          <cell r="Q422">
            <v>0</v>
          </cell>
          <cell r="T422">
            <v>57.24</v>
          </cell>
          <cell r="V422">
            <v>57.24</v>
          </cell>
        </row>
        <row r="423">
          <cell r="D423" t="str">
            <v>HORMIGONES</v>
          </cell>
        </row>
        <row r="424">
          <cell r="D424">
            <v>2</v>
          </cell>
          <cell r="F424" t="str">
            <v>Hormigon armado           tunel</v>
          </cell>
          <cell r="G424" t="str">
            <v>m3</v>
          </cell>
          <cell r="H424">
            <v>3495.9999999999995</v>
          </cell>
          <cell r="N424">
            <v>503</v>
          </cell>
          <cell r="T424">
            <v>1758.4879999999998</v>
          </cell>
          <cell r="V424">
            <v>1758.4879999999998</v>
          </cell>
        </row>
        <row r="425">
          <cell r="D425">
            <v>2</v>
          </cell>
          <cell r="F425" t="str">
            <v>Hormigon armado           Fundaciones edificio</v>
          </cell>
          <cell r="G425" t="str">
            <v>m3</v>
          </cell>
          <cell r="H425">
            <v>690</v>
          </cell>
          <cell r="N425">
            <v>503</v>
          </cell>
          <cell r="P425">
            <v>0</v>
          </cell>
          <cell r="Q425">
            <v>0</v>
          </cell>
          <cell r="T425">
            <v>347.07</v>
          </cell>
          <cell r="V425">
            <v>347.07</v>
          </cell>
        </row>
        <row r="426">
          <cell r="D426" t="str">
            <v>ESTRUCTURAS METALICAS</v>
          </cell>
        </row>
        <row r="427">
          <cell r="D427">
            <v>3</v>
          </cell>
          <cell r="F427" t="str">
            <v>Estructuras metálicas     ampliacion edificio</v>
          </cell>
          <cell r="G427" t="str">
            <v>ton</v>
          </cell>
          <cell r="H427">
            <v>517.5</v>
          </cell>
          <cell r="M427">
            <v>1900</v>
          </cell>
          <cell r="N427">
            <v>870</v>
          </cell>
          <cell r="P427">
            <v>0</v>
          </cell>
          <cell r="Q427">
            <v>0</v>
          </cell>
          <cell r="R427">
            <v>983.25</v>
          </cell>
          <cell r="T427">
            <v>450.22500000000002</v>
          </cell>
          <cell r="V427">
            <v>1433.4749999999999</v>
          </cell>
        </row>
        <row r="428">
          <cell r="D428">
            <v>3</v>
          </cell>
          <cell r="F428" t="str">
            <v>Cubierta de acero</v>
          </cell>
          <cell r="G428" t="str">
            <v>m2</v>
          </cell>
          <cell r="H428">
            <v>2300</v>
          </cell>
          <cell r="N428">
            <v>61</v>
          </cell>
          <cell r="P428">
            <v>0</v>
          </cell>
          <cell r="Q428">
            <v>0</v>
          </cell>
          <cell r="R428">
            <v>0</v>
          </cell>
          <cell r="T428">
            <v>140.30000000000001</v>
          </cell>
          <cell r="V428">
            <v>140.30000000000001</v>
          </cell>
        </row>
        <row r="429">
          <cell r="E429" t="str">
            <v>ACOPIO DE MINERAL GRUESO</v>
          </cell>
          <cell r="P429">
            <v>0</v>
          </cell>
          <cell r="Q429">
            <v>0</v>
          </cell>
          <cell r="R429">
            <v>983.25</v>
          </cell>
          <cell r="S429">
            <v>0</v>
          </cell>
          <cell r="T429">
            <v>3580.123</v>
          </cell>
          <cell r="U429">
            <v>0</v>
          </cell>
          <cell r="V429">
            <v>4563.3730000000005</v>
          </cell>
        </row>
        <row r="433">
          <cell r="D433" t="str">
            <v>EXCAVACIONES Y RELLENOS</v>
          </cell>
        </row>
        <row r="434">
          <cell r="D434">
            <v>1</v>
          </cell>
          <cell r="F434" t="str">
            <v>Excavación estructural en terreno duro          Galerias correas  022A Y 022B</v>
          </cell>
          <cell r="G434" t="str">
            <v>m3</v>
          </cell>
          <cell r="H434">
            <v>76.8</v>
          </cell>
          <cell r="N434">
            <v>53</v>
          </cell>
          <cell r="P434">
            <v>0</v>
          </cell>
          <cell r="Q434">
            <v>0</v>
          </cell>
          <cell r="T434">
            <v>4.0703999999999994</v>
          </cell>
          <cell r="V434">
            <v>4.0703999999999994</v>
          </cell>
        </row>
        <row r="435">
          <cell r="D435" t="str">
            <v>HORMIGONES</v>
          </cell>
        </row>
        <row r="436">
          <cell r="D436">
            <v>2</v>
          </cell>
          <cell r="F436" t="str">
            <v>Hormigon armado           Galerias correas</v>
          </cell>
          <cell r="G436" t="str">
            <v>m3</v>
          </cell>
          <cell r="H436">
            <v>36.799999999999997</v>
          </cell>
          <cell r="N436">
            <v>503</v>
          </cell>
          <cell r="P436">
            <v>0</v>
          </cell>
          <cell r="Q436">
            <v>0</v>
          </cell>
          <cell r="T436">
            <v>18.510399999999997</v>
          </cell>
          <cell r="V436">
            <v>18.510399999999997</v>
          </cell>
        </row>
        <row r="437">
          <cell r="D437" t="str">
            <v>ESTRUCTURAS METALICAS</v>
          </cell>
        </row>
        <row r="438">
          <cell r="D438">
            <v>3</v>
          </cell>
          <cell r="F438" t="str">
            <v>Estructuras metálicas     Galerias correas</v>
          </cell>
          <cell r="G438" t="str">
            <v>ton</v>
          </cell>
          <cell r="H438">
            <v>18.399999999999999</v>
          </cell>
          <cell r="M438">
            <v>1900</v>
          </cell>
          <cell r="N438">
            <v>870</v>
          </cell>
          <cell r="P438">
            <v>0</v>
          </cell>
          <cell r="Q438">
            <v>0</v>
          </cell>
          <cell r="R438">
            <v>34.96</v>
          </cell>
          <cell r="T438">
            <v>16.007999999999999</v>
          </cell>
          <cell r="V438">
            <v>50.968000000000004</v>
          </cell>
        </row>
        <row r="439">
          <cell r="D439" t="str">
            <v>MECANICA</v>
          </cell>
        </row>
        <row r="440">
          <cell r="D440">
            <v>5</v>
          </cell>
          <cell r="F440" t="str">
            <v xml:space="preserve">Cambio m, 215 HP alimen.correa(CV-020/CV-021) cap=4.800 tph,A </v>
          </cell>
          <cell r="G440" t="str">
            <v>un</v>
          </cell>
          <cell r="H440">
            <v>2</v>
          </cell>
          <cell r="L440">
            <v>36000</v>
          </cell>
          <cell r="N440">
            <v>3600</v>
          </cell>
          <cell r="P440">
            <v>0</v>
          </cell>
          <cell r="Q440">
            <v>72</v>
          </cell>
          <cell r="R440">
            <v>0</v>
          </cell>
          <cell r="T440">
            <v>7.2</v>
          </cell>
          <cell r="V440">
            <v>79.2</v>
          </cell>
        </row>
        <row r="441">
          <cell r="D441">
            <v>5</v>
          </cell>
          <cell r="F441" t="str">
            <v>Alimentador de correa A=72" L=171m V= 3.3 ms 215 HP</v>
          </cell>
          <cell r="G441" t="str">
            <v>un</v>
          </cell>
          <cell r="H441">
            <v>4</v>
          </cell>
          <cell r="L441">
            <v>106000</v>
          </cell>
          <cell r="N441">
            <v>10600</v>
          </cell>
          <cell r="P441">
            <v>0</v>
          </cell>
          <cell r="Q441">
            <v>424</v>
          </cell>
          <cell r="R441">
            <v>0</v>
          </cell>
          <cell r="T441">
            <v>42.4</v>
          </cell>
          <cell r="V441">
            <v>466.4</v>
          </cell>
        </row>
        <row r="442">
          <cell r="D442">
            <v>5</v>
          </cell>
          <cell r="F442" t="str">
            <v>Correa alimentación 3ºSAG CV-022 A=60" L= 171m v=3.3 m/s 215 HP</v>
          </cell>
          <cell r="G442" t="str">
            <v>m</v>
          </cell>
          <cell r="H442">
            <v>171</v>
          </cell>
          <cell r="L442">
            <v>4135</v>
          </cell>
          <cell r="N442">
            <v>600</v>
          </cell>
          <cell r="P442">
            <v>707.08500000000004</v>
          </cell>
          <cell r="Q442">
            <v>0</v>
          </cell>
          <cell r="R442">
            <v>0</v>
          </cell>
          <cell r="T442">
            <v>102.6</v>
          </cell>
          <cell r="V442">
            <v>809.68500000000006</v>
          </cell>
        </row>
        <row r="443">
          <cell r="D443" t="str">
            <v>CAÑERIAS</v>
          </cell>
        </row>
        <row r="444">
          <cell r="D444">
            <v>6</v>
          </cell>
          <cell r="F444" t="str">
            <v>Global tuberías válvulas y fittings (se aplica 3% equipos mecànicos)</v>
          </cell>
          <cell r="G444" t="str">
            <v>gl</v>
          </cell>
          <cell r="H444">
            <v>1</v>
          </cell>
          <cell r="N444">
            <v>40659</v>
          </cell>
          <cell r="P444">
            <v>0</v>
          </cell>
          <cell r="Q444">
            <v>0</v>
          </cell>
          <cell r="R444">
            <v>0</v>
          </cell>
          <cell r="T444">
            <v>40.658999999999999</v>
          </cell>
          <cell r="V444">
            <v>40.658999999999999</v>
          </cell>
        </row>
        <row r="445">
          <cell r="D445" t="str">
            <v>ELECTRICIDAD</v>
          </cell>
        </row>
        <row r="446">
          <cell r="D446">
            <v>7</v>
          </cell>
          <cell r="F446" t="str">
            <v>Global equipos eléctricos (se aplica 14.8% equipos mecánicos)</v>
          </cell>
          <cell r="G446" t="str">
            <v>gl</v>
          </cell>
          <cell r="H446">
            <v>1</v>
          </cell>
          <cell r="N446">
            <v>200585</v>
          </cell>
          <cell r="P446">
            <v>0</v>
          </cell>
          <cell r="Q446">
            <v>0</v>
          </cell>
          <cell r="R446">
            <v>0</v>
          </cell>
          <cell r="T446">
            <v>200.58500000000001</v>
          </cell>
          <cell r="V446">
            <v>200.58500000000001</v>
          </cell>
        </row>
        <row r="447">
          <cell r="E447" t="str">
            <v>SISTEMA DE RECUPERACION DE MINERAL GRUESO</v>
          </cell>
          <cell r="P447">
            <v>707.08500000000004</v>
          </cell>
          <cell r="Q447">
            <v>496</v>
          </cell>
          <cell r="R447">
            <v>34.96</v>
          </cell>
          <cell r="S447">
            <v>0</v>
          </cell>
          <cell r="T447">
            <v>432.03279999999995</v>
          </cell>
          <cell r="V447">
            <v>1670.0778</v>
          </cell>
        </row>
        <row r="452">
          <cell r="D452" t="str">
            <v>EXCAVACIONES Y RELLENOS</v>
          </cell>
        </row>
        <row r="453">
          <cell r="D453">
            <v>1</v>
          </cell>
          <cell r="F453" t="str">
            <v>Excavación estructural en terreno duro    edificios</v>
          </cell>
          <cell r="G453" t="str">
            <v>m3</v>
          </cell>
          <cell r="H453">
            <v>259.2</v>
          </cell>
          <cell r="N453">
            <v>53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14</v>
          </cell>
          <cell r="V453">
            <v>14</v>
          </cell>
        </row>
        <row r="454">
          <cell r="D454">
            <v>1</v>
          </cell>
          <cell r="F454" t="str">
            <v>Excavación estructural en terreno duro    harneros</v>
          </cell>
          <cell r="G454" t="str">
            <v>m3</v>
          </cell>
          <cell r="H454">
            <v>230.39999999999998</v>
          </cell>
          <cell r="N454">
            <v>53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12</v>
          </cell>
          <cell r="V454">
            <v>12</v>
          </cell>
        </row>
        <row r="455">
          <cell r="D455">
            <v>1</v>
          </cell>
          <cell r="F455" t="str">
            <v>Excavación estructural en terreno duro    ciclones</v>
          </cell>
          <cell r="G455" t="str">
            <v>m3</v>
          </cell>
          <cell r="H455">
            <v>114</v>
          </cell>
          <cell r="N455">
            <v>53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6</v>
          </cell>
          <cell r="V455">
            <v>6</v>
          </cell>
        </row>
        <row r="456">
          <cell r="D456">
            <v>1</v>
          </cell>
          <cell r="F456" t="str">
            <v>Excavación estructural en terreno duro    molinos bolas y obras anexas</v>
          </cell>
          <cell r="G456" t="str">
            <v>m3</v>
          </cell>
          <cell r="H456">
            <v>636</v>
          </cell>
          <cell r="N456">
            <v>53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34</v>
          </cell>
          <cell r="V456">
            <v>34</v>
          </cell>
        </row>
        <row r="457">
          <cell r="D457" t="str">
            <v>HORMIGONES</v>
          </cell>
        </row>
        <row r="458">
          <cell r="D458">
            <v>2</v>
          </cell>
          <cell r="F458" t="str">
            <v>Hormigon armado           molino bolas y edificio</v>
          </cell>
          <cell r="G458" t="str">
            <v>m3</v>
          </cell>
          <cell r="H458">
            <v>1092.5</v>
          </cell>
          <cell r="N458">
            <v>503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550</v>
          </cell>
          <cell r="V458">
            <v>550</v>
          </cell>
        </row>
        <row r="459">
          <cell r="D459">
            <v>2</v>
          </cell>
          <cell r="F459" t="str">
            <v>Hormigón armado           base harneros</v>
          </cell>
          <cell r="G459" t="str">
            <v>m3</v>
          </cell>
          <cell r="H459">
            <v>413.99999999999994</v>
          </cell>
          <cell r="N459">
            <v>503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208</v>
          </cell>
          <cell r="V459">
            <v>208</v>
          </cell>
        </row>
        <row r="460">
          <cell r="D460" t="str">
            <v>ESTRUCTURAS METALICAS</v>
          </cell>
        </row>
        <row r="461">
          <cell r="D461">
            <v>3</v>
          </cell>
          <cell r="F461" t="str">
            <v>Estructuras metálicas     soporte harneros</v>
          </cell>
          <cell r="G461" t="str">
            <v>ton</v>
          </cell>
          <cell r="H461">
            <v>86.25</v>
          </cell>
          <cell r="M461">
            <v>1900</v>
          </cell>
          <cell r="N461">
            <v>870</v>
          </cell>
          <cell r="P461">
            <v>0</v>
          </cell>
          <cell r="Q461">
            <v>0</v>
          </cell>
          <cell r="R461">
            <v>164</v>
          </cell>
          <cell r="S461">
            <v>0</v>
          </cell>
          <cell r="T461">
            <v>75</v>
          </cell>
          <cell r="V461">
            <v>239</v>
          </cell>
        </row>
        <row r="462">
          <cell r="D462">
            <v>3</v>
          </cell>
          <cell r="F462" t="str">
            <v>Estructuras metálicas     plataforma molinos</v>
          </cell>
          <cell r="G462" t="str">
            <v>ton</v>
          </cell>
          <cell r="H462">
            <v>486.45</v>
          </cell>
          <cell r="M462">
            <v>1900</v>
          </cell>
          <cell r="N462">
            <v>870</v>
          </cell>
          <cell r="P462">
            <v>0</v>
          </cell>
          <cell r="Q462">
            <v>0</v>
          </cell>
          <cell r="R462">
            <v>924</v>
          </cell>
          <cell r="S462">
            <v>0</v>
          </cell>
          <cell r="T462">
            <v>423</v>
          </cell>
          <cell r="V462">
            <v>1347</v>
          </cell>
        </row>
        <row r="463">
          <cell r="D463">
            <v>3</v>
          </cell>
          <cell r="F463" t="str">
            <v>Estructuras metálicas     edificio molino bolas</v>
          </cell>
          <cell r="G463" t="str">
            <v>ton</v>
          </cell>
          <cell r="H463">
            <v>1288</v>
          </cell>
          <cell r="M463">
            <v>1900</v>
          </cell>
          <cell r="N463">
            <v>870</v>
          </cell>
          <cell r="P463">
            <v>0</v>
          </cell>
          <cell r="Q463">
            <v>0</v>
          </cell>
          <cell r="R463">
            <v>2447</v>
          </cell>
          <cell r="S463">
            <v>0</v>
          </cell>
          <cell r="T463">
            <v>1121</v>
          </cell>
          <cell r="V463">
            <v>3568</v>
          </cell>
        </row>
        <row r="464">
          <cell r="D464">
            <v>3</v>
          </cell>
          <cell r="F464" t="str">
            <v>Estructuras metálicas     plataforma ciclones</v>
          </cell>
          <cell r="G464" t="str">
            <v>ton</v>
          </cell>
          <cell r="H464">
            <v>379.49999999999994</v>
          </cell>
          <cell r="I464">
            <v>2240.1999999999998</v>
          </cell>
          <cell r="M464">
            <v>1900</v>
          </cell>
          <cell r="N464">
            <v>870</v>
          </cell>
          <cell r="P464">
            <v>0</v>
          </cell>
          <cell r="Q464">
            <v>0</v>
          </cell>
          <cell r="R464">
            <v>721</v>
          </cell>
          <cell r="S464">
            <v>0</v>
          </cell>
          <cell r="T464">
            <v>330</v>
          </cell>
          <cell r="V464">
            <v>1051</v>
          </cell>
        </row>
        <row r="465">
          <cell r="D465" t="str">
            <v>CONSTRUCCIONES VARIAS</v>
          </cell>
        </row>
        <row r="466">
          <cell r="D466">
            <v>4</v>
          </cell>
          <cell r="F466" t="str">
            <v>Construccion salas electricas</v>
          </cell>
          <cell r="G466" t="str">
            <v>m2</v>
          </cell>
          <cell r="H466">
            <v>1440</v>
          </cell>
          <cell r="N466">
            <v>400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576</v>
          </cell>
          <cell r="V466">
            <v>576</v>
          </cell>
        </row>
        <row r="467">
          <cell r="D467" t="str">
            <v>MECANICA</v>
          </cell>
        </row>
        <row r="468">
          <cell r="D468">
            <v>5</v>
          </cell>
          <cell r="F468" t="str">
            <v>Sistema de lavado de trommel con monitoreo</v>
          </cell>
          <cell r="G468" t="str">
            <v>un</v>
          </cell>
          <cell r="H468">
            <v>1</v>
          </cell>
          <cell r="L468">
            <v>20000</v>
          </cell>
          <cell r="N468">
            <v>10000</v>
          </cell>
          <cell r="P468">
            <v>0</v>
          </cell>
          <cell r="Q468">
            <v>20</v>
          </cell>
          <cell r="R468">
            <v>0</v>
          </cell>
          <cell r="T468">
            <v>10</v>
          </cell>
          <cell r="V468">
            <v>30</v>
          </cell>
        </row>
        <row r="469">
          <cell r="D469">
            <v>5</v>
          </cell>
          <cell r="F469" t="str">
            <v>molino semiautogeno tipo gearles tamaño 36"x17"(largo efectivo=17") 17.000 HP SAG</v>
          </cell>
          <cell r="G469" t="str">
            <v>un</v>
          </cell>
          <cell r="H469">
            <v>1</v>
          </cell>
          <cell r="L469">
            <v>9252100</v>
          </cell>
          <cell r="N469">
            <v>925210</v>
          </cell>
          <cell r="P469">
            <v>0</v>
          </cell>
          <cell r="Q469">
            <v>9252</v>
          </cell>
          <cell r="R469">
            <v>0</v>
          </cell>
          <cell r="T469">
            <v>925</v>
          </cell>
          <cell r="V469">
            <v>10177</v>
          </cell>
        </row>
        <row r="470">
          <cell r="D470">
            <v>5</v>
          </cell>
          <cell r="F470" t="str">
            <v>Bateria de 32 ciclones conicos tipo DS-26</v>
          </cell>
          <cell r="G470" t="str">
            <v>un</v>
          </cell>
          <cell r="H470">
            <v>3</v>
          </cell>
          <cell r="L470">
            <v>635189</v>
          </cell>
          <cell r="N470">
            <v>63519</v>
          </cell>
          <cell r="P470">
            <v>1906</v>
          </cell>
          <cell r="Q470">
            <v>0</v>
          </cell>
          <cell r="R470">
            <v>0</v>
          </cell>
          <cell r="T470">
            <v>191</v>
          </cell>
          <cell r="V470">
            <v>2097</v>
          </cell>
        </row>
        <row r="471">
          <cell r="D471">
            <v>5</v>
          </cell>
          <cell r="F471" t="str">
            <v>Bomba alimentacion ciclones 33"x30" 3000 HP, baja velocodad (Bba, motor, variador)</v>
          </cell>
          <cell r="G471" t="str">
            <v>un</v>
          </cell>
          <cell r="H471">
            <v>3</v>
          </cell>
          <cell r="L471">
            <v>893884</v>
          </cell>
          <cell r="N471">
            <v>89388</v>
          </cell>
          <cell r="P471">
            <v>0</v>
          </cell>
          <cell r="Q471">
            <v>2682</v>
          </cell>
          <cell r="R471">
            <v>0</v>
          </cell>
          <cell r="T471">
            <v>268</v>
          </cell>
          <cell r="V471">
            <v>2950</v>
          </cell>
        </row>
        <row r="472">
          <cell r="D472">
            <v>5</v>
          </cell>
          <cell r="F472" t="str">
            <v>Bomba de piso vertical 3ªcircuito de molienda tamaño 6" 50 HP</v>
          </cell>
          <cell r="G472" t="str">
            <v>un</v>
          </cell>
          <cell r="H472">
            <v>2</v>
          </cell>
          <cell r="L472">
            <v>30588</v>
          </cell>
          <cell r="N472">
            <v>3059</v>
          </cell>
          <cell r="P472">
            <v>0</v>
          </cell>
          <cell r="Q472">
            <v>61</v>
          </cell>
          <cell r="R472">
            <v>0</v>
          </cell>
          <cell r="T472">
            <v>6</v>
          </cell>
          <cell r="V472">
            <v>67</v>
          </cell>
        </row>
        <row r="473">
          <cell r="D473">
            <v>5</v>
          </cell>
          <cell r="F473" t="str">
            <v>Cajon alimentador ciclones capacidad util=485 m3</v>
          </cell>
          <cell r="G473" t="str">
            <v>ton</v>
          </cell>
          <cell r="H473">
            <v>60</v>
          </cell>
          <cell r="M473">
            <v>4300</v>
          </cell>
          <cell r="N473">
            <v>1450</v>
          </cell>
          <cell r="P473">
            <v>0</v>
          </cell>
          <cell r="Q473">
            <v>0</v>
          </cell>
          <cell r="R473">
            <v>258</v>
          </cell>
          <cell r="T473">
            <v>87</v>
          </cell>
          <cell r="V473">
            <v>345</v>
          </cell>
        </row>
        <row r="474">
          <cell r="D474">
            <v>5</v>
          </cell>
          <cell r="F474" t="str">
            <v>Harnero descarga molino SAG tamaño 12'x24' 60HP</v>
          </cell>
          <cell r="G474" t="str">
            <v>un</v>
          </cell>
          <cell r="H474">
            <v>2</v>
          </cell>
          <cell r="L474">
            <v>232426</v>
          </cell>
          <cell r="N474">
            <v>23243</v>
          </cell>
          <cell r="P474">
            <v>0</v>
          </cell>
          <cell r="Q474">
            <v>465</v>
          </cell>
          <cell r="R474">
            <v>0</v>
          </cell>
          <cell r="T474">
            <v>46</v>
          </cell>
          <cell r="V474">
            <v>511</v>
          </cell>
        </row>
        <row r="475">
          <cell r="D475">
            <v>5</v>
          </cell>
          <cell r="F475" t="str">
            <v>Molino bolas Gearless 25' x 40' 20.000 HP</v>
          </cell>
          <cell r="G475" t="str">
            <v>un</v>
          </cell>
          <cell r="H475">
            <v>2</v>
          </cell>
          <cell r="L475">
            <v>9144273</v>
          </cell>
          <cell r="N475">
            <v>914427</v>
          </cell>
          <cell r="P475">
            <v>0</v>
          </cell>
          <cell r="Q475">
            <v>18289</v>
          </cell>
          <cell r="R475">
            <v>0</v>
          </cell>
          <cell r="T475">
            <v>1829</v>
          </cell>
          <cell r="V475">
            <v>20118</v>
          </cell>
        </row>
        <row r="476">
          <cell r="D476">
            <v>5</v>
          </cell>
          <cell r="F476" t="str">
            <v>Puente grua mantencion molino SAG cap 30/8 ton LUZ=36m</v>
          </cell>
          <cell r="G476" t="str">
            <v>un</v>
          </cell>
          <cell r="H476">
            <v>1</v>
          </cell>
          <cell r="L476">
            <v>186310</v>
          </cell>
          <cell r="N476">
            <v>18631</v>
          </cell>
          <cell r="P476">
            <v>93</v>
          </cell>
          <cell r="Q476">
            <v>93</v>
          </cell>
          <cell r="R476">
            <v>0</v>
          </cell>
          <cell r="T476">
            <v>19</v>
          </cell>
          <cell r="V476">
            <v>205</v>
          </cell>
        </row>
        <row r="477">
          <cell r="D477">
            <v>5</v>
          </cell>
          <cell r="F477" t="str">
            <v>Puente grua mantencion baterias cap=10ton luz=15.6 m</v>
          </cell>
          <cell r="G477" t="str">
            <v>un</v>
          </cell>
          <cell r="H477">
            <v>1</v>
          </cell>
          <cell r="L477">
            <v>151160</v>
          </cell>
          <cell r="N477">
            <v>19058</v>
          </cell>
          <cell r="P477">
            <v>75.5</v>
          </cell>
          <cell r="Q477">
            <v>75.5</v>
          </cell>
          <cell r="R477">
            <v>0</v>
          </cell>
          <cell r="T477">
            <v>19</v>
          </cell>
          <cell r="V477">
            <v>170</v>
          </cell>
        </row>
        <row r="478">
          <cell r="D478">
            <v>5</v>
          </cell>
          <cell r="F478" t="str">
            <v>Puente grua mantencion molino de bolas cap:30/8 ton luz=31.3 m</v>
          </cell>
          <cell r="G478" t="str">
            <v>un</v>
          </cell>
          <cell r="H478">
            <v>1</v>
          </cell>
          <cell r="L478">
            <v>186310</v>
          </cell>
          <cell r="N478">
            <v>18631</v>
          </cell>
          <cell r="P478">
            <v>93</v>
          </cell>
          <cell r="Q478">
            <v>93</v>
          </cell>
          <cell r="R478">
            <v>0</v>
          </cell>
          <cell r="T478">
            <v>19</v>
          </cell>
          <cell r="V478">
            <v>205</v>
          </cell>
        </row>
        <row r="479">
          <cell r="D479">
            <v>5</v>
          </cell>
          <cell r="F479" t="str">
            <v>Maquina enlainadora (a definir 1 o 2)</v>
          </cell>
          <cell r="G479" t="str">
            <v>gl</v>
          </cell>
          <cell r="H479">
            <v>1</v>
          </cell>
          <cell r="M479">
            <v>622000</v>
          </cell>
          <cell r="R479">
            <v>622</v>
          </cell>
          <cell r="S479">
            <v>0</v>
          </cell>
          <cell r="V479">
            <v>622</v>
          </cell>
        </row>
        <row r="480">
          <cell r="D480" t="str">
            <v>CAÑERIAS</v>
          </cell>
        </row>
        <row r="481">
          <cell r="D481">
            <v>6</v>
          </cell>
          <cell r="F481" t="str">
            <v>Global tuberías válvulas y fittings (se aplica 7.7% equipos mecànicos)</v>
          </cell>
          <cell r="G481" t="str">
            <v>gl</v>
          </cell>
          <cell r="H481">
            <v>1</v>
          </cell>
          <cell r="N481">
            <v>2839230</v>
          </cell>
          <cell r="P481">
            <v>0</v>
          </cell>
          <cell r="Q481">
            <v>0</v>
          </cell>
          <cell r="R481">
            <v>0</v>
          </cell>
          <cell r="T481">
            <v>2839</v>
          </cell>
          <cell r="V481">
            <v>2839</v>
          </cell>
        </row>
        <row r="482">
          <cell r="D482" t="str">
            <v>ELECTRICIDAD</v>
          </cell>
        </row>
        <row r="483">
          <cell r="D483">
            <v>7</v>
          </cell>
          <cell r="F483" t="str">
            <v>Global equipos eléctricos (se aplica 8.9% equipos mecánicos)</v>
          </cell>
          <cell r="G483" t="str">
            <v>gl</v>
          </cell>
          <cell r="H483">
            <v>1</v>
          </cell>
          <cell r="N483">
            <v>3281707</v>
          </cell>
          <cell r="P483">
            <v>0</v>
          </cell>
          <cell r="Q483">
            <v>0</v>
          </cell>
          <cell r="R483">
            <v>0</v>
          </cell>
          <cell r="T483">
            <v>3282</v>
          </cell>
          <cell r="V483">
            <v>3282</v>
          </cell>
        </row>
        <row r="484">
          <cell r="E484" t="str">
            <v>MOLIENDA</v>
          </cell>
          <cell r="P484">
            <v>2167.5</v>
          </cell>
          <cell r="Q484">
            <v>31030.5</v>
          </cell>
          <cell r="R484">
            <v>5136</v>
          </cell>
          <cell r="S484">
            <v>0</v>
          </cell>
          <cell r="T484">
            <v>12889</v>
          </cell>
          <cell r="V484">
            <v>51223</v>
          </cell>
        </row>
        <row r="488">
          <cell r="D488" t="str">
            <v>EXCAVACIONES Y RELLENOS</v>
          </cell>
        </row>
        <row r="489">
          <cell r="D489">
            <v>1</v>
          </cell>
          <cell r="F489" t="str">
            <v>Excavaciones</v>
          </cell>
          <cell r="G489" t="str">
            <v>m3</v>
          </cell>
          <cell r="H489">
            <v>1200</v>
          </cell>
          <cell r="N489">
            <v>11</v>
          </cell>
          <cell r="P489">
            <v>0</v>
          </cell>
          <cell r="Q489">
            <v>0</v>
          </cell>
          <cell r="R489">
            <v>0</v>
          </cell>
          <cell r="T489">
            <v>13</v>
          </cell>
          <cell r="V489">
            <v>13</v>
          </cell>
        </row>
        <row r="490">
          <cell r="D490">
            <v>1</v>
          </cell>
          <cell r="F490" t="str">
            <v>Excavación estructurales</v>
          </cell>
          <cell r="G490" t="str">
            <v>m3</v>
          </cell>
          <cell r="H490">
            <v>240</v>
          </cell>
          <cell r="N490">
            <v>17</v>
          </cell>
          <cell r="P490">
            <v>0</v>
          </cell>
          <cell r="Q490">
            <v>0</v>
          </cell>
          <cell r="R490">
            <v>0</v>
          </cell>
          <cell r="T490">
            <v>4</v>
          </cell>
          <cell r="V490">
            <v>4</v>
          </cell>
        </row>
        <row r="491">
          <cell r="D491">
            <v>4</v>
          </cell>
          <cell r="F491" t="str">
            <v>Relleno compactado</v>
          </cell>
          <cell r="G491" t="str">
            <v>m3</v>
          </cell>
          <cell r="H491">
            <v>525</v>
          </cell>
          <cell r="N491">
            <v>14</v>
          </cell>
          <cell r="P491">
            <v>0</v>
          </cell>
          <cell r="Q491">
            <v>0</v>
          </cell>
          <cell r="R491">
            <v>0</v>
          </cell>
          <cell r="T491">
            <v>7</v>
          </cell>
          <cell r="V491">
            <v>7</v>
          </cell>
        </row>
        <row r="492">
          <cell r="D492">
            <v>1</v>
          </cell>
          <cell r="F492" t="str">
            <v>Construccion salas electricas</v>
          </cell>
          <cell r="G492" t="str">
            <v>m2</v>
          </cell>
          <cell r="H492">
            <v>180</v>
          </cell>
          <cell r="N492">
            <v>400</v>
          </cell>
          <cell r="P492">
            <v>0</v>
          </cell>
          <cell r="Q492">
            <v>0</v>
          </cell>
          <cell r="R492">
            <v>0</v>
          </cell>
          <cell r="T492">
            <v>72</v>
          </cell>
          <cell r="V492">
            <v>72</v>
          </cell>
        </row>
        <row r="493">
          <cell r="D493" t="str">
            <v>HORMIGONES</v>
          </cell>
        </row>
        <row r="494">
          <cell r="D494">
            <v>2</v>
          </cell>
          <cell r="F494" t="str">
            <v xml:space="preserve">Hormigon armado        </v>
          </cell>
          <cell r="G494" t="str">
            <v>m3</v>
          </cell>
          <cell r="H494">
            <v>1380</v>
          </cell>
          <cell r="N494">
            <v>503</v>
          </cell>
          <cell r="P494">
            <v>0</v>
          </cell>
          <cell r="Q494">
            <v>0</v>
          </cell>
          <cell r="R494">
            <v>0</v>
          </cell>
          <cell r="T494">
            <v>694</v>
          </cell>
          <cell r="V494">
            <v>694</v>
          </cell>
        </row>
        <row r="495">
          <cell r="D495" t="str">
            <v>ESTRUCTURAS METALICAS</v>
          </cell>
        </row>
        <row r="496">
          <cell r="D496">
            <v>3</v>
          </cell>
          <cell r="F496" t="str">
            <v xml:space="preserve">Estructuras metálicas  </v>
          </cell>
          <cell r="G496" t="str">
            <v>ton</v>
          </cell>
          <cell r="H496">
            <v>172.5</v>
          </cell>
          <cell r="M496">
            <v>1900</v>
          </cell>
          <cell r="N496">
            <v>870</v>
          </cell>
          <cell r="P496">
            <v>0</v>
          </cell>
          <cell r="Q496">
            <v>0</v>
          </cell>
          <cell r="R496">
            <v>328</v>
          </cell>
          <cell r="T496">
            <v>150</v>
          </cell>
          <cell r="V496">
            <v>478</v>
          </cell>
        </row>
        <row r="497">
          <cell r="D497">
            <v>3</v>
          </cell>
          <cell r="F497" t="str">
            <v>Caldererìa</v>
          </cell>
          <cell r="G497" t="str">
            <v>ton</v>
          </cell>
          <cell r="H497">
            <v>34.5</v>
          </cell>
          <cell r="M497">
            <v>4300</v>
          </cell>
          <cell r="N497">
            <v>1450</v>
          </cell>
          <cell r="P497">
            <v>0</v>
          </cell>
          <cell r="Q497">
            <v>0</v>
          </cell>
          <cell r="R497">
            <v>148</v>
          </cell>
          <cell r="T497">
            <v>50</v>
          </cell>
          <cell r="V497">
            <v>198</v>
          </cell>
        </row>
        <row r="498">
          <cell r="D498" t="str">
            <v>CONSTRUCCIONES VARIAS</v>
          </cell>
        </row>
        <row r="499">
          <cell r="D499" t="str">
            <v>MECANICA</v>
          </cell>
        </row>
        <row r="500">
          <cell r="D500">
            <v>5</v>
          </cell>
          <cell r="F500" t="str">
            <v>Alimentadores chancadores A=60", L=9, 75HP</v>
          </cell>
          <cell r="G500" t="str">
            <v>un</v>
          </cell>
          <cell r="H500">
            <v>3</v>
          </cell>
          <cell r="L500">
            <v>37216</v>
          </cell>
          <cell r="N500">
            <v>5400</v>
          </cell>
          <cell r="P500">
            <v>0</v>
          </cell>
          <cell r="Q500">
            <v>112</v>
          </cell>
          <cell r="R500">
            <v>0</v>
          </cell>
          <cell r="T500">
            <v>16</v>
          </cell>
          <cell r="V500">
            <v>128</v>
          </cell>
        </row>
        <row r="501">
          <cell r="D501">
            <v>5</v>
          </cell>
          <cell r="F501" t="str">
            <v>Correa alta pendiente de Pebbles SAG1, 2 y 3 (CV-02/CV-02A) A=60", L=65m  42HP</v>
          </cell>
          <cell r="G501" t="str">
            <v>un</v>
          </cell>
          <cell r="H501">
            <v>1</v>
          </cell>
          <cell r="L501">
            <v>983935</v>
          </cell>
          <cell r="N501">
            <v>147590</v>
          </cell>
          <cell r="P501">
            <v>0</v>
          </cell>
          <cell r="Q501">
            <v>984</v>
          </cell>
          <cell r="R501">
            <v>0</v>
          </cell>
          <cell r="T501">
            <v>148</v>
          </cell>
          <cell r="V501">
            <v>1132</v>
          </cell>
        </row>
        <row r="502">
          <cell r="D502">
            <v>5</v>
          </cell>
          <cell r="F502" t="str">
            <v>Correa alimentacion tolva pebbles CV-06 A=60"; L=91m, 335HP</v>
          </cell>
          <cell r="G502" t="str">
            <v>mt</v>
          </cell>
          <cell r="H502">
            <v>91</v>
          </cell>
          <cell r="L502">
            <v>4135</v>
          </cell>
          <cell r="N502">
            <v>600</v>
          </cell>
          <cell r="P502">
            <v>376</v>
          </cell>
          <cell r="Q502">
            <v>0</v>
          </cell>
          <cell r="R502">
            <v>0</v>
          </cell>
          <cell r="T502">
            <v>55</v>
          </cell>
          <cell r="V502">
            <v>431</v>
          </cell>
        </row>
        <row r="503">
          <cell r="D503">
            <v>5</v>
          </cell>
          <cell r="F503" t="str">
            <v>Repotenciamiento Motor 335HP Correa Pebbles CV-06</v>
          </cell>
          <cell r="G503" t="str">
            <v>un</v>
          </cell>
          <cell r="H503">
            <v>1</v>
          </cell>
          <cell r="L503">
            <v>20100</v>
          </cell>
          <cell r="N503">
            <v>2010</v>
          </cell>
          <cell r="Q503">
            <v>20</v>
          </cell>
          <cell r="R503">
            <v>0</v>
          </cell>
          <cell r="T503">
            <v>2</v>
          </cell>
          <cell r="V503">
            <v>22</v>
          </cell>
        </row>
        <row r="504">
          <cell r="D504">
            <v>5</v>
          </cell>
          <cell r="F504" t="str">
            <v>Correa retorno Pebbles CV-07 A=60", L=80m, 335HP</v>
          </cell>
          <cell r="G504" t="str">
            <v>mt</v>
          </cell>
          <cell r="H504">
            <v>80</v>
          </cell>
          <cell r="L504">
            <v>4135</v>
          </cell>
          <cell r="N504">
            <v>600</v>
          </cell>
          <cell r="P504">
            <v>331</v>
          </cell>
          <cell r="Q504">
            <v>0</v>
          </cell>
          <cell r="R504">
            <v>0</v>
          </cell>
          <cell r="T504">
            <v>48</v>
          </cell>
          <cell r="V504">
            <v>379</v>
          </cell>
        </row>
        <row r="505">
          <cell r="D505">
            <v>5</v>
          </cell>
          <cell r="F505" t="str">
            <v>Repotenciamiento Motor 335HP Correa Pebbles CV-07</v>
          </cell>
          <cell r="G505" t="str">
            <v>un</v>
          </cell>
          <cell r="H505">
            <v>1</v>
          </cell>
          <cell r="L505">
            <v>20100</v>
          </cell>
          <cell r="N505">
            <v>2010</v>
          </cell>
          <cell r="P505">
            <v>0</v>
          </cell>
          <cell r="Q505">
            <v>20</v>
          </cell>
          <cell r="R505">
            <v>0</v>
          </cell>
          <cell r="T505">
            <v>2</v>
          </cell>
          <cell r="V505">
            <v>22</v>
          </cell>
        </row>
        <row r="506">
          <cell r="D506">
            <v>5</v>
          </cell>
          <cell r="F506" t="str">
            <v>Repotenciamiento Motor 50HP Correa Pebbles CV-08</v>
          </cell>
          <cell r="G506" t="str">
            <v>un</v>
          </cell>
          <cell r="H506">
            <v>1</v>
          </cell>
          <cell r="L506">
            <v>5000</v>
          </cell>
          <cell r="N506">
            <v>500</v>
          </cell>
          <cell r="P506">
            <v>0</v>
          </cell>
          <cell r="Q506">
            <v>5</v>
          </cell>
          <cell r="R506">
            <v>0</v>
          </cell>
          <cell r="T506">
            <v>1</v>
          </cell>
          <cell r="V506">
            <v>6</v>
          </cell>
        </row>
        <row r="507">
          <cell r="D507">
            <v>5</v>
          </cell>
          <cell r="F507" t="str">
            <v>Correa recolectora de Pebbles CV-013 A=48", L=27; 20HP</v>
          </cell>
          <cell r="G507" t="str">
            <v>mt</v>
          </cell>
          <cell r="H507">
            <v>27</v>
          </cell>
          <cell r="L507">
            <v>4135</v>
          </cell>
          <cell r="N507">
            <v>600</v>
          </cell>
          <cell r="P507">
            <v>112</v>
          </cell>
          <cell r="Q507">
            <v>0</v>
          </cell>
          <cell r="R507">
            <v>0</v>
          </cell>
          <cell r="T507">
            <v>16</v>
          </cell>
          <cell r="V507">
            <v>128</v>
          </cell>
        </row>
        <row r="508">
          <cell r="D508">
            <v>5</v>
          </cell>
          <cell r="F508" t="str">
            <v>Correa retorno Pebbles CV-22 A=48", L=21m, v=1.5m/s, 40HP</v>
          </cell>
          <cell r="G508" t="str">
            <v>mt</v>
          </cell>
          <cell r="H508">
            <v>21</v>
          </cell>
          <cell r="L508">
            <v>4135</v>
          </cell>
          <cell r="N508">
            <v>600</v>
          </cell>
          <cell r="P508">
            <v>87</v>
          </cell>
          <cell r="Q508">
            <v>0</v>
          </cell>
          <cell r="R508">
            <v>0</v>
          </cell>
          <cell r="T508">
            <v>13</v>
          </cell>
          <cell r="V508">
            <v>100</v>
          </cell>
        </row>
        <row r="509">
          <cell r="D509">
            <v>5</v>
          </cell>
          <cell r="F509" t="str">
            <v>Chancador cono tipo MP c.s.s. 10@ 13mm.1000HP</v>
          </cell>
          <cell r="G509" t="str">
            <v>un</v>
          </cell>
          <cell r="H509">
            <v>2</v>
          </cell>
          <cell r="L509">
            <v>1713158</v>
          </cell>
          <cell r="N509">
            <v>171316</v>
          </cell>
          <cell r="P509">
            <v>0</v>
          </cell>
          <cell r="Q509">
            <v>3426</v>
          </cell>
          <cell r="R509">
            <v>0</v>
          </cell>
          <cell r="T509">
            <v>343</v>
          </cell>
          <cell r="V509">
            <v>3769</v>
          </cell>
        </row>
        <row r="510">
          <cell r="D510">
            <v>5</v>
          </cell>
          <cell r="F510" t="str">
            <v>Electroiman permanente</v>
          </cell>
          <cell r="G510" t="str">
            <v>un</v>
          </cell>
          <cell r="H510">
            <v>1</v>
          </cell>
          <cell r="L510">
            <v>83969</v>
          </cell>
          <cell r="N510">
            <v>8397</v>
          </cell>
          <cell r="P510">
            <v>0</v>
          </cell>
          <cell r="Q510">
            <v>84</v>
          </cell>
          <cell r="R510">
            <v>0</v>
          </cell>
          <cell r="T510">
            <v>8</v>
          </cell>
          <cell r="V510">
            <v>92</v>
          </cell>
        </row>
        <row r="511">
          <cell r="D511">
            <v>5</v>
          </cell>
          <cell r="F511" t="str">
            <v>Tolva de Pebbles cap: 750 ton</v>
          </cell>
          <cell r="G511" t="str">
            <v>un</v>
          </cell>
          <cell r="H511">
            <v>2</v>
          </cell>
          <cell r="M511">
            <v>353500</v>
          </cell>
          <cell r="N511">
            <v>108860</v>
          </cell>
          <cell r="P511">
            <v>0</v>
          </cell>
          <cell r="Q511">
            <v>0</v>
          </cell>
          <cell r="R511">
            <v>707</v>
          </cell>
          <cell r="T511">
            <v>218</v>
          </cell>
          <cell r="V511">
            <v>925</v>
          </cell>
        </row>
        <row r="512">
          <cell r="D512">
            <v>5</v>
          </cell>
          <cell r="F512" t="str">
            <v>Sistema supresor de polvo</v>
          </cell>
          <cell r="G512" t="str">
            <v>gl</v>
          </cell>
          <cell r="H512">
            <v>1</v>
          </cell>
          <cell r="M512">
            <v>24000</v>
          </cell>
          <cell r="N512">
            <v>5400</v>
          </cell>
          <cell r="P512">
            <v>0</v>
          </cell>
          <cell r="Q512">
            <v>0</v>
          </cell>
          <cell r="R512">
            <v>12</v>
          </cell>
          <cell r="S512">
            <v>12</v>
          </cell>
          <cell r="T512">
            <v>5</v>
          </cell>
          <cell r="V512">
            <v>29</v>
          </cell>
        </row>
        <row r="513">
          <cell r="D513" t="str">
            <v>CAÑERIAS</v>
          </cell>
        </row>
        <row r="514">
          <cell r="D514">
            <v>6</v>
          </cell>
          <cell r="F514" t="str">
            <v>Global tuberías válvulas y fittings (se aplica 7.7% equipos mecànicos)</v>
          </cell>
          <cell r="G514" t="str">
            <v>gl</v>
          </cell>
          <cell r="H514">
            <v>1</v>
          </cell>
          <cell r="N514">
            <v>540694</v>
          </cell>
          <cell r="P514">
            <v>0</v>
          </cell>
          <cell r="Q514">
            <v>0</v>
          </cell>
          <cell r="R514">
            <v>0</v>
          </cell>
          <cell r="T514">
            <v>541</v>
          </cell>
          <cell r="V514">
            <v>541</v>
          </cell>
        </row>
        <row r="515">
          <cell r="D515" t="str">
            <v>ELECTRICIDAD</v>
          </cell>
        </row>
        <row r="516">
          <cell r="D516">
            <v>7</v>
          </cell>
          <cell r="F516" t="str">
            <v>Global equipos eléctricos (se aplica 8.9% equipos mecánicos)</v>
          </cell>
          <cell r="G516" t="str">
            <v>gl</v>
          </cell>
          <cell r="H516">
            <v>1</v>
          </cell>
          <cell r="N516">
            <v>624958</v>
          </cell>
          <cell r="P516">
            <v>0</v>
          </cell>
          <cell r="Q516">
            <v>0</v>
          </cell>
          <cell r="R516">
            <v>0</v>
          </cell>
          <cell r="T516">
            <v>625</v>
          </cell>
          <cell r="V516">
            <v>625</v>
          </cell>
        </row>
        <row r="517">
          <cell r="E517" t="str">
            <v>CHANCADO DE PEBBLES</v>
          </cell>
          <cell r="P517">
            <v>906</v>
          </cell>
          <cell r="Q517">
            <v>4651</v>
          </cell>
          <cell r="R517">
            <v>1195</v>
          </cell>
          <cell r="S517">
            <v>12</v>
          </cell>
          <cell r="T517">
            <v>3031</v>
          </cell>
          <cell r="V517">
            <v>9795</v>
          </cell>
        </row>
        <row r="518">
          <cell r="E518" t="str">
            <v>MOLIENDA</v>
          </cell>
          <cell r="P518">
            <v>3073.5</v>
          </cell>
          <cell r="Q518">
            <v>35681.5</v>
          </cell>
          <cell r="R518">
            <v>6331</v>
          </cell>
          <cell r="S518">
            <v>12</v>
          </cell>
          <cell r="T518">
            <v>15920</v>
          </cell>
          <cell r="V518">
            <v>61018</v>
          </cell>
        </row>
        <row r="523">
          <cell r="D523" t="str">
            <v>EXCAVACIONES Y RELLENOS</v>
          </cell>
        </row>
        <row r="524">
          <cell r="D524">
            <v>1</v>
          </cell>
          <cell r="F524" t="str">
            <v>Excavación estructural en terreno duro</v>
          </cell>
          <cell r="G524" t="str">
            <v>m3</v>
          </cell>
          <cell r="H524">
            <v>3517.2</v>
          </cell>
          <cell r="N524">
            <v>53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186.41159999999996</v>
          </cell>
          <cell r="V524">
            <v>186.41159999999996</v>
          </cell>
        </row>
        <row r="525">
          <cell r="D525">
            <v>1</v>
          </cell>
          <cell r="F525" t="str">
            <v>Excavación  riel grúa portal</v>
          </cell>
          <cell r="G525" t="str">
            <v>m3</v>
          </cell>
          <cell r="H525">
            <v>94.8</v>
          </cell>
          <cell r="N525">
            <v>11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T525">
            <v>1.0427999999999999</v>
          </cell>
          <cell r="V525">
            <v>1.0427999999999999</v>
          </cell>
        </row>
        <row r="526">
          <cell r="D526" t="str">
            <v>HORMIGONES</v>
          </cell>
        </row>
        <row r="527">
          <cell r="D527">
            <v>2</v>
          </cell>
          <cell r="F527" t="str">
            <v>Hormigon armado           celdas y obras anexas</v>
          </cell>
          <cell r="G527" t="str">
            <v>m3</v>
          </cell>
          <cell r="H527">
            <v>1120.0999999999999</v>
          </cell>
          <cell r="N527">
            <v>503</v>
          </cell>
          <cell r="P527">
            <v>0</v>
          </cell>
          <cell r="Q527">
            <v>0</v>
          </cell>
          <cell r="R527">
            <v>0</v>
          </cell>
          <cell r="S527">
            <v>0</v>
          </cell>
          <cell r="T527">
            <v>563.41029999999989</v>
          </cell>
          <cell r="V527">
            <v>563.41029999999989</v>
          </cell>
        </row>
        <row r="528">
          <cell r="D528">
            <v>2</v>
          </cell>
          <cell r="F528" t="str">
            <v>Hormigón armado           riel grúa portal</v>
          </cell>
          <cell r="G528" t="str">
            <v>m3</v>
          </cell>
          <cell r="H528">
            <v>650.9</v>
          </cell>
          <cell r="N528">
            <v>503</v>
          </cell>
          <cell r="P528">
            <v>0</v>
          </cell>
          <cell r="Q528">
            <v>0</v>
          </cell>
          <cell r="R528">
            <v>0</v>
          </cell>
          <cell r="S528">
            <v>0</v>
          </cell>
          <cell r="T528">
            <v>327.40270000000004</v>
          </cell>
          <cell r="V528">
            <v>327.40270000000004</v>
          </cell>
        </row>
        <row r="529">
          <cell r="D529">
            <v>4</v>
          </cell>
          <cell r="F529" t="str">
            <v>Modificación canal de relaves</v>
          </cell>
          <cell r="G529" t="str">
            <v>gl</v>
          </cell>
          <cell r="H529">
            <v>1</v>
          </cell>
          <cell r="N529">
            <v>200000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  <cell r="T529">
            <v>200</v>
          </cell>
          <cell r="V529">
            <v>200</v>
          </cell>
        </row>
        <row r="530">
          <cell r="D530" t="str">
            <v>ESTRUCTURAS METALICAS</v>
          </cell>
        </row>
        <row r="531">
          <cell r="D531">
            <v>3</v>
          </cell>
          <cell r="F531" t="str">
            <v>Estructuras metálicas     plataformas</v>
          </cell>
          <cell r="G531" t="str">
            <v>ton</v>
          </cell>
          <cell r="H531">
            <v>63.249999999999993</v>
          </cell>
          <cell r="M531">
            <v>1900</v>
          </cell>
          <cell r="N531">
            <v>870</v>
          </cell>
          <cell r="P531">
            <v>0</v>
          </cell>
          <cell r="Q531">
            <v>0</v>
          </cell>
          <cell r="R531">
            <v>120.17499999999998</v>
          </cell>
          <cell r="S531">
            <v>0</v>
          </cell>
          <cell r="T531">
            <v>55.027499999999989</v>
          </cell>
          <cell r="V531">
            <v>175.20249999999999</v>
          </cell>
        </row>
        <row r="532">
          <cell r="D532" t="str">
            <v>CONSTRUCCIONES VARIAS</v>
          </cell>
        </row>
        <row r="533">
          <cell r="D533">
            <v>4</v>
          </cell>
          <cell r="F533" t="str">
            <v>Construcción salas eléctricas</v>
          </cell>
          <cell r="G533" t="str">
            <v>m2</v>
          </cell>
          <cell r="H533">
            <v>302.39999999999998</v>
          </cell>
          <cell r="N533">
            <v>400</v>
          </cell>
          <cell r="P533">
            <v>0</v>
          </cell>
          <cell r="Q533">
            <v>0</v>
          </cell>
          <cell r="R533">
            <v>0</v>
          </cell>
          <cell r="S533">
            <v>0</v>
          </cell>
          <cell r="T533">
            <v>120.95999999999998</v>
          </cell>
          <cell r="V533">
            <v>120.95999999999998</v>
          </cell>
        </row>
        <row r="534">
          <cell r="D534" t="str">
            <v>MECANICA</v>
          </cell>
        </row>
        <row r="535">
          <cell r="D535">
            <v>5</v>
          </cell>
          <cell r="F535" t="str">
            <v>Bomba de piso vertical tamaño 6" 60HP</v>
          </cell>
          <cell r="G535" t="str">
            <v>un</v>
          </cell>
          <cell r="H535">
            <v>1</v>
          </cell>
          <cell r="L535">
            <v>40614</v>
          </cell>
          <cell r="N535">
            <v>4061</v>
          </cell>
          <cell r="P535">
            <v>0</v>
          </cell>
          <cell r="Q535">
            <v>40.613999999999997</v>
          </cell>
          <cell r="R535">
            <v>0</v>
          </cell>
          <cell r="T535">
            <v>4.0609999999999999</v>
          </cell>
          <cell r="V535">
            <v>44.674999999999997</v>
          </cell>
        </row>
        <row r="536">
          <cell r="D536">
            <v>5</v>
          </cell>
          <cell r="F536" t="str">
            <v>Bomba de piso vertical tamaño 8" 100HP</v>
          </cell>
          <cell r="G536" t="str">
            <v>un</v>
          </cell>
          <cell r="H536">
            <v>1</v>
          </cell>
          <cell r="L536">
            <v>50994</v>
          </cell>
          <cell r="N536">
            <v>5099</v>
          </cell>
          <cell r="P536">
            <v>0</v>
          </cell>
          <cell r="Q536">
            <v>50.994</v>
          </cell>
          <cell r="R536">
            <v>0</v>
          </cell>
          <cell r="T536">
            <v>5.0990000000000002</v>
          </cell>
          <cell r="V536">
            <v>56.093000000000004</v>
          </cell>
        </row>
        <row r="537">
          <cell r="D537">
            <v>5</v>
          </cell>
          <cell r="F537" t="str">
            <v>Cajon muestreador y distribuidor flotacion primaria con dos tapones 200m3</v>
          </cell>
          <cell r="G537" t="str">
            <v>ton</v>
          </cell>
          <cell r="H537">
            <v>30</v>
          </cell>
          <cell r="L537">
            <v>0</v>
          </cell>
          <cell r="M537">
            <v>4300</v>
          </cell>
          <cell r="N537">
            <v>1450</v>
          </cell>
          <cell r="P537">
            <v>0</v>
          </cell>
          <cell r="Q537">
            <v>0</v>
          </cell>
          <cell r="R537">
            <v>129</v>
          </cell>
          <cell r="T537">
            <v>43.5</v>
          </cell>
          <cell r="V537">
            <v>172.5</v>
          </cell>
        </row>
        <row r="538">
          <cell r="D538">
            <v>5</v>
          </cell>
          <cell r="F538" t="str">
            <v>Celda de flotación primaria cap=5650 pie3 250 HP</v>
          </cell>
          <cell r="G538" t="str">
            <v>un</v>
          </cell>
          <cell r="H538">
            <v>27</v>
          </cell>
          <cell r="L538">
            <v>240921</v>
          </cell>
          <cell r="N538">
            <v>24092</v>
          </cell>
          <cell r="P538">
            <v>3252.4335000000001</v>
          </cell>
          <cell r="Q538">
            <v>3252.4335000000001</v>
          </cell>
          <cell r="R538">
            <v>0</v>
          </cell>
          <cell r="T538">
            <v>650.48400000000004</v>
          </cell>
          <cell r="V538">
            <v>7155.3510000000006</v>
          </cell>
        </row>
        <row r="539">
          <cell r="D539">
            <v>5</v>
          </cell>
          <cell r="F539" t="str">
            <v>Grúa portal Biviga 20/8 ton</v>
          </cell>
          <cell r="G539" t="str">
            <v>un</v>
          </cell>
          <cell r="H539">
            <v>1</v>
          </cell>
          <cell r="L539">
            <v>166416</v>
          </cell>
          <cell r="N539">
            <v>16642</v>
          </cell>
          <cell r="P539">
            <v>83.207999999999998</v>
          </cell>
          <cell r="Q539">
            <v>83.207999999999998</v>
          </cell>
          <cell r="R539">
            <v>0</v>
          </cell>
          <cell r="T539">
            <v>16.641999999999999</v>
          </cell>
          <cell r="V539">
            <v>183.05799999999999</v>
          </cell>
        </row>
        <row r="540">
          <cell r="D540" t="str">
            <v>CAÑERIAS</v>
          </cell>
        </row>
        <row r="541">
          <cell r="D541">
            <v>6</v>
          </cell>
          <cell r="F541" t="str">
            <v>Global tuberías válvulas y fittings (se aplica 23% equipos mecànicos)</v>
          </cell>
          <cell r="G541" t="str">
            <v>gl</v>
          </cell>
          <cell r="H541">
            <v>1</v>
          </cell>
          <cell r="N541">
            <v>1750683</v>
          </cell>
          <cell r="P541">
            <v>0</v>
          </cell>
          <cell r="Q541">
            <v>0</v>
          </cell>
          <cell r="R541">
            <v>0</v>
          </cell>
          <cell r="T541">
            <v>1750.683</v>
          </cell>
          <cell r="V541">
            <v>1750.683</v>
          </cell>
        </row>
        <row r="542">
          <cell r="D542" t="str">
            <v>ELECTRICIDAD</v>
          </cell>
        </row>
        <row r="543">
          <cell r="D543">
            <v>7</v>
          </cell>
          <cell r="F543" t="str">
            <v>Global equipos eléctricos (se aplica 14% equipos mecánicos)</v>
          </cell>
          <cell r="G543" t="str">
            <v>gl</v>
          </cell>
          <cell r="H543">
            <v>1</v>
          </cell>
          <cell r="N543">
            <v>1065633</v>
          </cell>
          <cell r="P543">
            <v>0</v>
          </cell>
          <cell r="Q543">
            <v>0</v>
          </cell>
          <cell r="R543">
            <v>0</v>
          </cell>
          <cell r="T543">
            <v>1065.633</v>
          </cell>
          <cell r="V543">
            <v>1065.633</v>
          </cell>
        </row>
        <row r="544">
          <cell r="E544" t="str">
            <v>FLOTACION PRIMARIA</v>
          </cell>
          <cell r="P544">
            <v>3335.6415000000002</v>
          </cell>
          <cell r="Q544">
            <v>3427.2495000000004</v>
          </cell>
          <cell r="R544">
            <v>249.17499999999998</v>
          </cell>
          <cell r="S544">
            <v>0</v>
          </cell>
          <cell r="T544">
            <v>4990.3568999999998</v>
          </cell>
          <cell r="V544">
            <v>12002.422900000003</v>
          </cell>
        </row>
        <row r="548">
          <cell r="D548" t="str">
            <v>EXCAVACIONES Y RELLENOS</v>
          </cell>
        </row>
        <row r="549">
          <cell r="D549">
            <v>1</v>
          </cell>
          <cell r="F549" t="str">
            <v>Excavaciones</v>
          </cell>
          <cell r="G549" t="str">
            <v>m3</v>
          </cell>
          <cell r="H549">
            <v>94.8</v>
          </cell>
          <cell r="N549">
            <v>11</v>
          </cell>
          <cell r="P549">
            <v>0</v>
          </cell>
          <cell r="Q549">
            <v>0</v>
          </cell>
          <cell r="T549">
            <v>1.0427999999999999</v>
          </cell>
          <cell r="V549">
            <v>1.0427999999999999</v>
          </cell>
        </row>
        <row r="550">
          <cell r="D550">
            <v>1</v>
          </cell>
          <cell r="F550" t="str">
            <v>Excavación estructural en terreno duro</v>
          </cell>
          <cell r="G550" t="str">
            <v>m3</v>
          </cell>
          <cell r="H550">
            <v>909.6</v>
          </cell>
          <cell r="N550">
            <v>53</v>
          </cell>
          <cell r="P550">
            <v>0</v>
          </cell>
          <cell r="Q550">
            <v>0</v>
          </cell>
          <cell r="T550">
            <v>48.208800000000004</v>
          </cell>
          <cell r="V550">
            <v>48.208800000000004</v>
          </cell>
        </row>
        <row r="551">
          <cell r="D551" t="str">
            <v>HORMIGONES</v>
          </cell>
        </row>
        <row r="552">
          <cell r="D552">
            <v>2</v>
          </cell>
          <cell r="F552" t="str">
            <v xml:space="preserve">Hormigon armado         </v>
          </cell>
          <cell r="G552" t="str">
            <v>m3</v>
          </cell>
          <cell r="H552">
            <v>2472.5</v>
          </cell>
          <cell r="N552">
            <v>503</v>
          </cell>
          <cell r="P552">
            <v>0</v>
          </cell>
          <cell r="Q552">
            <v>0</v>
          </cell>
          <cell r="T552">
            <v>1243.6675</v>
          </cell>
          <cell r="V552">
            <v>1243.6675</v>
          </cell>
        </row>
        <row r="553">
          <cell r="D553" t="str">
            <v>ESTRUCTURAS METALICAS</v>
          </cell>
        </row>
        <row r="554">
          <cell r="D554">
            <v>3</v>
          </cell>
          <cell r="F554" t="str">
            <v xml:space="preserve">Estructuras metálicas </v>
          </cell>
          <cell r="G554" t="str">
            <v>ton</v>
          </cell>
          <cell r="H554">
            <v>570.4</v>
          </cell>
          <cell r="M554">
            <v>1900</v>
          </cell>
          <cell r="N554">
            <v>870</v>
          </cell>
          <cell r="P554">
            <v>0</v>
          </cell>
          <cell r="Q554">
            <v>0</v>
          </cell>
          <cell r="R554">
            <v>1083.76</v>
          </cell>
          <cell r="T554">
            <v>496.24799999999999</v>
          </cell>
          <cell r="V554">
            <v>1580.008</v>
          </cell>
        </row>
        <row r="555">
          <cell r="D555" t="str">
            <v>MECANICA</v>
          </cell>
        </row>
        <row r="556">
          <cell r="D556">
            <v>5</v>
          </cell>
          <cell r="F556" t="str">
            <v>Celda de flotación de barrido cap=4.500 pie 3 200 HP</v>
          </cell>
          <cell r="G556" t="str">
            <v>un</v>
          </cell>
          <cell r="H556">
            <v>4</v>
          </cell>
          <cell r="L556">
            <v>209376</v>
          </cell>
          <cell r="N556">
            <v>20938</v>
          </cell>
          <cell r="P556">
            <v>418.75200000000001</v>
          </cell>
          <cell r="Q556">
            <v>418.75200000000001</v>
          </cell>
          <cell r="R556">
            <v>0</v>
          </cell>
          <cell r="T556">
            <v>83.751999999999995</v>
          </cell>
          <cell r="V556">
            <v>921.25599999999997</v>
          </cell>
        </row>
        <row r="557">
          <cell r="D557" t="str">
            <v>CAÑERIAS</v>
          </cell>
        </row>
        <row r="558">
          <cell r="D558">
            <v>6</v>
          </cell>
          <cell r="F558" t="str">
            <v>Global tuberías válvulas y fittings (se aplica 23% equipos mecànicos)</v>
          </cell>
          <cell r="G558" t="str">
            <v>gl</v>
          </cell>
          <cell r="H558">
            <v>1</v>
          </cell>
          <cell r="N558">
            <v>211892</v>
          </cell>
          <cell r="P558">
            <v>0</v>
          </cell>
          <cell r="Q558">
            <v>0</v>
          </cell>
          <cell r="R558">
            <v>0</v>
          </cell>
          <cell r="T558">
            <v>211.892</v>
          </cell>
          <cell r="V558">
            <v>211.892</v>
          </cell>
        </row>
        <row r="559">
          <cell r="D559" t="str">
            <v>ELECTRICIDAD</v>
          </cell>
        </row>
        <row r="560">
          <cell r="D560">
            <v>7</v>
          </cell>
          <cell r="F560" t="str">
            <v>Global equipos eléctricos (se aplica 14% equipos mecánicos)</v>
          </cell>
          <cell r="G560" t="str">
            <v>gl</v>
          </cell>
          <cell r="H560">
            <v>1</v>
          </cell>
          <cell r="N560">
            <v>128978</v>
          </cell>
          <cell r="P560">
            <v>0</v>
          </cell>
          <cell r="Q560">
            <v>0</v>
          </cell>
          <cell r="R560">
            <v>0</v>
          </cell>
          <cell r="T560">
            <v>128.97800000000001</v>
          </cell>
          <cell r="V560">
            <v>128.97800000000001</v>
          </cell>
        </row>
        <row r="561">
          <cell r="E561" t="str">
            <v>FLOTACION DE BARRIDO</v>
          </cell>
          <cell r="P561">
            <v>418.75200000000001</v>
          </cell>
          <cell r="Q561">
            <v>418.75200000000001</v>
          </cell>
          <cell r="R561">
            <v>1083.76</v>
          </cell>
          <cell r="S561">
            <v>0</v>
          </cell>
          <cell r="T561">
            <v>2213.7891</v>
          </cell>
          <cell r="V561">
            <v>4135.0530999999992</v>
          </cell>
        </row>
        <row r="565">
          <cell r="D565" t="str">
            <v>EXCAVACIONES Y RELLENOS</v>
          </cell>
        </row>
        <row r="566">
          <cell r="D566">
            <v>1</v>
          </cell>
          <cell r="F566" t="str">
            <v>Excavaciones</v>
          </cell>
          <cell r="G566" t="str">
            <v>m3</v>
          </cell>
          <cell r="H566">
            <v>278.39999999999998</v>
          </cell>
          <cell r="N566">
            <v>11</v>
          </cell>
          <cell r="P566">
            <v>0</v>
          </cell>
          <cell r="Q566">
            <v>0</v>
          </cell>
          <cell r="T566">
            <v>3.0623999999999998</v>
          </cell>
          <cell r="V566">
            <v>3.0623999999999998</v>
          </cell>
        </row>
        <row r="567">
          <cell r="D567" t="str">
            <v>HORMIGONES</v>
          </cell>
        </row>
        <row r="568">
          <cell r="D568">
            <v>2</v>
          </cell>
          <cell r="F568" t="str">
            <v xml:space="preserve">Hormigon armado   </v>
          </cell>
          <cell r="G568" t="str">
            <v>m3</v>
          </cell>
          <cell r="H568">
            <v>212.74999999999997</v>
          </cell>
          <cell r="N568">
            <v>503</v>
          </cell>
          <cell r="P568">
            <v>0</v>
          </cell>
          <cell r="Q568">
            <v>0</v>
          </cell>
          <cell r="T568">
            <v>107.01324999999999</v>
          </cell>
          <cell r="V568">
            <v>107.01324999999999</v>
          </cell>
        </row>
        <row r="569">
          <cell r="D569" t="str">
            <v>ESTRUCTURAS METALICAS</v>
          </cell>
        </row>
        <row r="570">
          <cell r="D570">
            <v>3</v>
          </cell>
          <cell r="F570" t="str">
            <v xml:space="preserve">Estructuras metálicas  </v>
          </cell>
          <cell r="G570" t="str">
            <v>ton</v>
          </cell>
          <cell r="H570">
            <v>98.899999999999991</v>
          </cell>
          <cell r="M570">
            <v>1900</v>
          </cell>
          <cell r="N570">
            <v>870</v>
          </cell>
          <cell r="P570">
            <v>0</v>
          </cell>
          <cell r="Q570">
            <v>0</v>
          </cell>
          <cell r="R570">
            <v>187.90999999999997</v>
          </cell>
          <cell r="T570">
            <v>86.042999999999992</v>
          </cell>
          <cell r="V570">
            <v>273.95299999999997</v>
          </cell>
        </row>
        <row r="571">
          <cell r="D571" t="str">
            <v>MECANICA</v>
          </cell>
        </row>
        <row r="572">
          <cell r="D572">
            <v>5</v>
          </cell>
          <cell r="F572" t="str">
            <v>Batería de 30 ciclones cónicos tipo D20-LB</v>
          </cell>
          <cell r="G572" t="str">
            <v>un</v>
          </cell>
          <cell r="H572">
            <v>1</v>
          </cell>
          <cell r="L572">
            <v>379936</v>
          </cell>
          <cell r="N572">
            <v>37994</v>
          </cell>
          <cell r="P572">
            <v>379.93599999999998</v>
          </cell>
          <cell r="Q572">
            <v>0</v>
          </cell>
          <cell r="R572">
            <v>0</v>
          </cell>
          <cell r="T572">
            <v>37.994</v>
          </cell>
          <cell r="V572">
            <v>417.92999999999995</v>
          </cell>
        </row>
        <row r="573">
          <cell r="D573">
            <v>5</v>
          </cell>
          <cell r="F573" t="str">
            <v>Bomba alimentacion molino remol. Tipo centrof.horiz.12"x10" 100HP</v>
          </cell>
          <cell r="G573" t="str">
            <v>un</v>
          </cell>
          <cell r="H573">
            <v>1</v>
          </cell>
          <cell r="L573">
            <v>20621</v>
          </cell>
          <cell r="N573">
            <v>2062</v>
          </cell>
          <cell r="P573">
            <v>0</v>
          </cell>
          <cell r="Q573">
            <v>20.620999999999999</v>
          </cell>
          <cell r="R573">
            <v>0</v>
          </cell>
          <cell r="T573">
            <v>2.0619999999999998</v>
          </cell>
          <cell r="V573">
            <v>22.683</v>
          </cell>
        </row>
        <row r="574">
          <cell r="D574">
            <v>5</v>
          </cell>
          <cell r="F574" t="str">
            <v>Bomba alimentacion molino remol. Primaria Tipo centrof.horiz.12"x10" 100HP</v>
          </cell>
          <cell r="G574" t="str">
            <v>un</v>
          </cell>
          <cell r="H574">
            <v>2</v>
          </cell>
          <cell r="L574">
            <v>20621</v>
          </cell>
          <cell r="N574">
            <v>2062</v>
          </cell>
          <cell r="P574">
            <v>0</v>
          </cell>
          <cell r="Q574">
            <v>41.241999999999997</v>
          </cell>
          <cell r="R574">
            <v>0</v>
          </cell>
          <cell r="T574">
            <v>4.1239999999999997</v>
          </cell>
          <cell r="V574">
            <v>45.366</v>
          </cell>
        </row>
        <row r="575">
          <cell r="D575">
            <v>5</v>
          </cell>
          <cell r="F575" t="str">
            <v>Molino de remolienda primaria tipo vertical 1.250 HP</v>
          </cell>
          <cell r="G575" t="str">
            <v>un</v>
          </cell>
          <cell r="H575">
            <v>1</v>
          </cell>
          <cell r="L575">
            <v>1690941</v>
          </cell>
          <cell r="N575">
            <v>169094</v>
          </cell>
          <cell r="P575">
            <v>0</v>
          </cell>
          <cell r="Q575">
            <v>1690.941</v>
          </cell>
          <cell r="R575">
            <v>0</v>
          </cell>
          <cell r="T575">
            <v>169.09399999999999</v>
          </cell>
          <cell r="V575">
            <v>1860.0350000000001</v>
          </cell>
        </row>
        <row r="576">
          <cell r="D576">
            <v>5</v>
          </cell>
          <cell r="F576" t="str">
            <v>Cajón alimentación molino remolienda primaria vol.útil=15 m3</v>
          </cell>
          <cell r="G576" t="str">
            <v>ton</v>
          </cell>
          <cell r="H576">
            <v>5</v>
          </cell>
          <cell r="M576">
            <v>4300</v>
          </cell>
          <cell r="N576">
            <v>1450</v>
          </cell>
          <cell r="P576">
            <v>0</v>
          </cell>
          <cell r="Q576">
            <v>0</v>
          </cell>
          <cell r="R576">
            <v>21.5</v>
          </cell>
          <cell r="T576">
            <v>7.25</v>
          </cell>
          <cell r="V576">
            <v>28.75</v>
          </cell>
        </row>
        <row r="577">
          <cell r="D577">
            <v>5</v>
          </cell>
          <cell r="F577" t="str">
            <v>Cajón distribuidor con dos tapones cap 45m3</v>
          </cell>
          <cell r="G577" t="str">
            <v>ton</v>
          </cell>
          <cell r="H577">
            <v>1</v>
          </cell>
          <cell r="M577">
            <v>4300</v>
          </cell>
          <cell r="N577">
            <v>1450</v>
          </cell>
          <cell r="P577">
            <v>0</v>
          </cell>
          <cell r="Q577">
            <v>0</v>
          </cell>
          <cell r="R577">
            <v>4.3</v>
          </cell>
          <cell r="T577">
            <v>1.45</v>
          </cell>
          <cell r="V577">
            <v>5.75</v>
          </cell>
        </row>
        <row r="578">
          <cell r="D578" t="str">
            <v>CAÑERIAS</v>
          </cell>
        </row>
        <row r="579">
          <cell r="D579">
            <v>6</v>
          </cell>
          <cell r="F579" t="str">
            <v>Global tuberías válvulas y fittings (se aplica 23% equipos mecànicos)</v>
          </cell>
          <cell r="G579" t="str">
            <v>gl</v>
          </cell>
          <cell r="H579">
            <v>1</v>
          </cell>
          <cell r="N579">
            <v>547518</v>
          </cell>
          <cell r="P579">
            <v>0</v>
          </cell>
          <cell r="Q579">
            <v>0</v>
          </cell>
          <cell r="R579">
            <v>0</v>
          </cell>
          <cell r="T579">
            <v>547.51800000000003</v>
          </cell>
          <cell r="V579">
            <v>547.51800000000003</v>
          </cell>
        </row>
        <row r="580">
          <cell r="D580" t="str">
            <v>ELECTRICIDAD</v>
          </cell>
        </row>
        <row r="581">
          <cell r="D581">
            <v>7</v>
          </cell>
          <cell r="F581" t="str">
            <v>Global equipos eléctricos (se aplica 14% equipos mecánicos)</v>
          </cell>
          <cell r="G581" t="str">
            <v>gl</v>
          </cell>
          <cell r="H581">
            <v>1</v>
          </cell>
          <cell r="N581">
            <v>333272</v>
          </cell>
          <cell r="P581">
            <v>0</v>
          </cell>
          <cell r="Q581">
            <v>0</v>
          </cell>
          <cell r="R581">
            <v>0</v>
          </cell>
          <cell r="T581">
            <v>333.27199999999999</v>
          </cell>
          <cell r="V581">
            <v>333.27199999999999</v>
          </cell>
        </row>
        <row r="582">
          <cell r="E582" t="str">
            <v>REMOLIENDA PRIMARIA</v>
          </cell>
          <cell r="P582">
            <v>379.93599999999998</v>
          </cell>
          <cell r="Q582">
            <v>1752.8040000000001</v>
          </cell>
          <cell r="R582">
            <v>213.70999999999998</v>
          </cell>
          <cell r="S582">
            <v>0</v>
          </cell>
          <cell r="T582">
            <v>1298.88265</v>
          </cell>
          <cell r="V582">
            <v>3645.3326499999998</v>
          </cell>
        </row>
        <row r="586">
          <cell r="D586" t="str">
            <v>EXCAVACIONES Y RELLENOS</v>
          </cell>
        </row>
        <row r="587">
          <cell r="D587">
            <v>1</v>
          </cell>
          <cell r="F587" t="str">
            <v>Excavación estructural en terreno duro</v>
          </cell>
          <cell r="G587" t="str">
            <v>m3</v>
          </cell>
          <cell r="H587">
            <v>134.4</v>
          </cell>
          <cell r="N587">
            <v>53</v>
          </cell>
          <cell r="P587">
            <v>0</v>
          </cell>
          <cell r="Q587">
            <v>0</v>
          </cell>
          <cell r="T587">
            <v>7.1232000000000006</v>
          </cell>
          <cell r="V587">
            <v>7.1232000000000006</v>
          </cell>
        </row>
        <row r="588">
          <cell r="D588" t="str">
            <v>HORMIGONES</v>
          </cell>
        </row>
        <row r="589">
          <cell r="D589">
            <v>2</v>
          </cell>
          <cell r="F589" t="str">
            <v xml:space="preserve">Hormigon armado   </v>
          </cell>
          <cell r="G589" t="str">
            <v>m3</v>
          </cell>
          <cell r="H589">
            <v>261.04999999999995</v>
          </cell>
          <cell r="N589">
            <v>503</v>
          </cell>
          <cell r="P589">
            <v>0</v>
          </cell>
          <cell r="Q589">
            <v>0</v>
          </cell>
          <cell r="T589">
            <v>131.30814999999996</v>
          </cell>
          <cell r="V589">
            <v>131.30814999999996</v>
          </cell>
        </row>
        <row r="590">
          <cell r="D590" t="str">
            <v>ESTRUCTURAS METALICAS</v>
          </cell>
        </row>
        <row r="591">
          <cell r="D591">
            <v>3</v>
          </cell>
          <cell r="F591" t="str">
            <v xml:space="preserve">Estructuras metálicas  </v>
          </cell>
          <cell r="G591" t="str">
            <v>ton</v>
          </cell>
          <cell r="H591">
            <v>78.199999999999989</v>
          </cell>
          <cell r="M591">
            <v>1900</v>
          </cell>
          <cell r="N591">
            <v>870</v>
          </cell>
          <cell r="P591">
            <v>0</v>
          </cell>
          <cell r="Q591">
            <v>0</v>
          </cell>
          <cell r="R591">
            <v>148.57999999999998</v>
          </cell>
          <cell r="T591">
            <v>68.033999999999992</v>
          </cell>
          <cell r="V591">
            <v>216.61399999999998</v>
          </cell>
        </row>
        <row r="592">
          <cell r="D592" t="str">
            <v>MECANICA</v>
          </cell>
        </row>
        <row r="593">
          <cell r="D593">
            <v>5</v>
          </cell>
          <cell r="F593" t="str">
            <v>Cajón distrib.flotación 1ra. limpieza de 12 salidas con tapones</v>
          </cell>
          <cell r="G593" t="str">
            <v>ton</v>
          </cell>
          <cell r="H593">
            <v>1</v>
          </cell>
          <cell r="M593">
            <v>4300</v>
          </cell>
          <cell r="N593">
            <v>1450</v>
          </cell>
          <cell r="P593">
            <v>0</v>
          </cell>
          <cell r="Q593">
            <v>0</v>
          </cell>
          <cell r="R593">
            <v>4.3</v>
          </cell>
          <cell r="T593">
            <v>1.45</v>
          </cell>
          <cell r="V593">
            <v>5.75</v>
          </cell>
        </row>
        <row r="594">
          <cell r="D594">
            <v>5</v>
          </cell>
          <cell r="F594" t="str">
            <v>celda columna de flotación 1ra limpieza 4m diámetro x 14 m alto</v>
          </cell>
          <cell r="G594" t="str">
            <v>un</v>
          </cell>
          <cell r="H594">
            <v>3</v>
          </cell>
          <cell r="L594">
            <v>188850</v>
          </cell>
          <cell r="N594">
            <v>18885</v>
          </cell>
          <cell r="P594">
            <v>283.27499999999998</v>
          </cell>
          <cell r="Q594">
            <v>283.27499999999998</v>
          </cell>
          <cell r="R594">
            <v>0</v>
          </cell>
          <cell r="T594">
            <v>56.655000000000001</v>
          </cell>
          <cell r="V594">
            <v>623.20499999999993</v>
          </cell>
        </row>
        <row r="595">
          <cell r="D595">
            <v>5</v>
          </cell>
          <cell r="F595" t="str">
            <v>Compresor de aire celdas de columna</v>
          </cell>
          <cell r="G595" t="str">
            <v>un</v>
          </cell>
          <cell r="H595">
            <v>1</v>
          </cell>
          <cell r="L595">
            <v>212289</v>
          </cell>
          <cell r="N595">
            <v>21229</v>
          </cell>
          <cell r="P595">
            <v>0</v>
          </cell>
          <cell r="Q595">
            <v>212.28899999999999</v>
          </cell>
          <cell r="R595">
            <v>0</v>
          </cell>
          <cell r="T595">
            <v>21.228999999999999</v>
          </cell>
          <cell r="V595">
            <v>233.51799999999997</v>
          </cell>
        </row>
        <row r="596">
          <cell r="D596" t="str">
            <v>CAÑERIAS</v>
          </cell>
        </row>
        <row r="597">
          <cell r="D597">
            <v>6</v>
          </cell>
          <cell r="F597" t="str">
            <v>Global tuberías válvulas y fittings (se aplica 23% equipos mecànicos)</v>
          </cell>
          <cell r="G597" t="str">
            <v>gl</v>
          </cell>
          <cell r="H597">
            <v>1</v>
          </cell>
          <cell r="N597">
            <v>198369</v>
          </cell>
          <cell r="P597">
            <v>0</v>
          </cell>
          <cell r="Q597">
            <v>0</v>
          </cell>
          <cell r="R597">
            <v>0</v>
          </cell>
          <cell r="T597">
            <v>198.369</v>
          </cell>
          <cell r="V597">
            <v>198.369</v>
          </cell>
        </row>
        <row r="598">
          <cell r="D598" t="str">
            <v>ELECTRICIDAD</v>
          </cell>
        </row>
        <row r="599">
          <cell r="D599">
            <v>7</v>
          </cell>
          <cell r="F599" t="str">
            <v>Global equipos eléctricos (se aplica 14% equipos mecánicos)</v>
          </cell>
          <cell r="G599" t="str">
            <v>gl</v>
          </cell>
          <cell r="H599">
            <v>1</v>
          </cell>
          <cell r="N599">
            <v>120746</v>
          </cell>
          <cell r="P599">
            <v>0</v>
          </cell>
          <cell r="Q599">
            <v>0</v>
          </cell>
          <cell r="R599">
            <v>0</v>
          </cell>
          <cell r="T599">
            <v>120.746</v>
          </cell>
          <cell r="V599">
            <v>120.746</v>
          </cell>
        </row>
        <row r="600">
          <cell r="E600" t="str">
            <v>FLOTACION PRIMERA LIMPIEZA</v>
          </cell>
          <cell r="P600">
            <v>283.27499999999998</v>
          </cell>
          <cell r="Q600">
            <v>495.56399999999996</v>
          </cell>
          <cell r="R600">
            <v>152.88</v>
          </cell>
          <cell r="S600">
            <v>0</v>
          </cell>
          <cell r="T600">
            <v>604.9143499999999</v>
          </cell>
          <cell r="V600">
            <v>1536.6333499999998</v>
          </cell>
        </row>
        <row r="604">
          <cell r="D604" t="str">
            <v>EXCAVACIONES Y RELLENOS</v>
          </cell>
        </row>
        <row r="605">
          <cell r="D605">
            <v>1</v>
          </cell>
          <cell r="F605" t="str">
            <v>Excavación estructural en terreno duro</v>
          </cell>
          <cell r="G605" t="str">
            <v>m3</v>
          </cell>
          <cell r="H605">
            <v>104.39999999999999</v>
          </cell>
          <cell r="N605">
            <v>53</v>
          </cell>
          <cell r="P605">
            <v>0</v>
          </cell>
          <cell r="Q605">
            <v>0</v>
          </cell>
          <cell r="T605">
            <v>5.5331999999999999</v>
          </cell>
          <cell r="V605">
            <v>5.5331999999999999</v>
          </cell>
        </row>
        <row r="606">
          <cell r="D606" t="str">
            <v>HORMIGONES</v>
          </cell>
          <cell r="R606">
            <v>51.6</v>
          </cell>
        </row>
        <row r="607">
          <cell r="D607">
            <v>2</v>
          </cell>
          <cell r="F607" t="str">
            <v xml:space="preserve">Hormigon armado   </v>
          </cell>
          <cell r="G607" t="str">
            <v>m3</v>
          </cell>
          <cell r="H607">
            <v>186.29999999999998</v>
          </cell>
          <cell r="N607">
            <v>503</v>
          </cell>
          <cell r="P607">
            <v>0</v>
          </cell>
          <cell r="Q607">
            <v>0</v>
          </cell>
          <cell r="T607">
            <v>93.7089</v>
          </cell>
          <cell r="V607">
            <v>93.7089</v>
          </cell>
        </row>
        <row r="608">
          <cell r="D608" t="str">
            <v>ESTRUCTURAS METALICAS</v>
          </cell>
        </row>
        <row r="609">
          <cell r="D609">
            <v>3</v>
          </cell>
          <cell r="F609" t="str">
            <v xml:space="preserve">Estructuras metálicas  </v>
          </cell>
          <cell r="G609" t="str">
            <v>ton</v>
          </cell>
          <cell r="H609">
            <v>51.749999999999993</v>
          </cell>
          <cell r="M609">
            <v>1900</v>
          </cell>
          <cell r="N609">
            <v>870</v>
          </cell>
          <cell r="P609">
            <v>0</v>
          </cell>
          <cell r="Q609">
            <v>0</v>
          </cell>
          <cell r="R609">
            <v>98.324999999999989</v>
          </cell>
          <cell r="T609">
            <v>45.022499999999994</v>
          </cell>
          <cell r="V609">
            <v>143.34749999999997</v>
          </cell>
        </row>
        <row r="610">
          <cell r="D610" t="str">
            <v>MECANICA</v>
          </cell>
        </row>
        <row r="611">
          <cell r="D611">
            <v>5</v>
          </cell>
          <cell r="F611" t="str">
            <v>Repotenciamiento Bba alimentación flotación 2da limpieza a motor 450HP</v>
          </cell>
          <cell r="G611" t="str">
            <v>un</v>
          </cell>
          <cell r="H611">
            <v>1</v>
          </cell>
          <cell r="L611">
            <v>27659</v>
          </cell>
          <cell r="N611">
            <v>2766</v>
          </cell>
          <cell r="P611">
            <v>0</v>
          </cell>
          <cell r="Q611">
            <v>27.658999999999999</v>
          </cell>
          <cell r="R611">
            <v>0</v>
          </cell>
          <cell r="T611">
            <v>2.766</v>
          </cell>
          <cell r="V611">
            <v>30.424999999999997</v>
          </cell>
        </row>
        <row r="612">
          <cell r="D612" t="str">
            <v>CAÑERIAS</v>
          </cell>
        </row>
        <row r="613">
          <cell r="D613">
            <v>6</v>
          </cell>
          <cell r="F613" t="str">
            <v>Global tuberías válvulas y fittings (se aplica 23% equipos mecànicos)</v>
          </cell>
          <cell r="G613" t="str">
            <v>gl</v>
          </cell>
          <cell r="H613">
            <v>1</v>
          </cell>
          <cell r="N613">
            <v>6998</v>
          </cell>
          <cell r="P613">
            <v>0</v>
          </cell>
          <cell r="Q613">
            <v>0</v>
          </cell>
          <cell r="R613">
            <v>0</v>
          </cell>
          <cell r="T613">
            <v>6.9980000000000002</v>
          </cell>
          <cell r="V613">
            <v>6.9980000000000002</v>
          </cell>
        </row>
        <row r="614">
          <cell r="D614" t="str">
            <v>ELECTRICIDAD</v>
          </cell>
        </row>
        <row r="615">
          <cell r="D615">
            <v>7</v>
          </cell>
          <cell r="F615" t="str">
            <v>Global equipos eléctricos (se aplica 14% equipos mecánicos)</v>
          </cell>
          <cell r="G615" t="str">
            <v>gl</v>
          </cell>
          <cell r="H615">
            <v>1</v>
          </cell>
          <cell r="N615">
            <v>980</v>
          </cell>
          <cell r="P615">
            <v>0</v>
          </cell>
          <cell r="Q615">
            <v>0</v>
          </cell>
          <cell r="R615">
            <v>0</v>
          </cell>
          <cell r="T615">
            <v>0.98</v>
          </cell>
          <cell r="V615">
            <v>0.98</v>
          </cell>
        </row>
        <row r="616">
          <cell r="E616" t="str">
            <v>REMOLIENDA SECUNDARIA</v>
          </cell>
          <cell r="P616">
            <v>0</v>
          </cell>
          <cell r="Q616">
            <v>27.658999999999999</v>
          </cell>
          <cell r="R616">
            <v>98.324999999999989</v>
          </cell>
          <cell r="S616">
            <v>0</v>
          </cell>
          <cell r="T616">
            <v>155.00859999999994</v>
          </cell>
          <cell r="V616">
            <v>280.99259999999998</v>
          </cell>
        </row>
        <row r="620">
          <cell r="D620" t="str">
            <v>EXCAVACIONES Y RELLENOS</v>
          </cell>
        </row>
        <row r="621">
          <cell r="D621">
            <v>1</v>
          </cell>
          <cell r="F621" t="str">
            <v>Excavaciónes</v>
          </cell>
          <cell r="G621" t="str">
            <v>m3</v>
          </cell>
          <cell r="H621">
            <v>259.2</v>
          </cell>
          <cell r="N621">
            <v>11</v>
          </cell>
          <cell r="P621">
            <v>0</v>
          </cell>
          <cell r="Q621">
            <v>0</v>
          </cell>
          <cell r="T621">
            <v>2.8512</v>
          </cell>
          <cell r="V621">
            <v>2.8512</v>
          </cell>
        </row>
        <row r="622">
          <cell r="D622" t="str">
            <v>HORMIGONES</v>
          </cell>
        </row>
        <row r="623">
          <cell r="D623">
            <v>2</v>
          </cell>
          <cell r="F623" t="str">
            <v xml:space="preserve">Hormigon armado   </v>
          </cell>
          <cell r="G623" t="str">
            <v>m3</v>
          </cell>
          <cell r="H623">
            <v>217.35</v>
          </cell>
          <cell r="N623">
            <v>503</v>
          </cell>
          <cell r="P623">
            <v>0</v>
          </cell>
          <cell r="Q623">
            <v>0</v>
          </cell>
          <cell r="T623">
            <v>109.32705</v>
          </cell>
          <cell r="V623">
            <v>109.32705</v>
          </cell>
        </row>
        <row r="624">
          <cell r="D624" t="str">
            <v>ESTRUCTURAS METALICAS</v>
          </cell>
        </row>
        <row r="625">
          <cell r="D625">
            <v>3</v>
          </cell>
          <cell r="F625" t="str">
            <v xml:space="preserve">Estructuras metálicas  </v>
          </cell>
          <cell r="G625" t="str">
            <v>ton</v>
          </cell>
          <cell r="H625">
            <v>25.299999999999997</v>
          </cell>
          <cell r="M625">
            <v>1900</v>
          </cell>
          <cell r="N625">
            <v>870</v>
          </cell>
          <cell r="P625">
            <v>0</v>
          </cell>
          <cell r="Q625">
            <v>0</v>
          </cell>
          <cell r="R625">
            <v>48.069999999999993</v>
          </cell>
          <cell r="T625">
            <v>22.010999999999996</v>
          </cell>
          <cell r="V625">
            <v>70.080999999999989</v>
          </cell>
        </row>
        <row r="626">
          <cell r="D626" t="str">
            <v>MECANICA</v>
          </cell>
        </row>
        <row r="627">
          <cell r="D627">
            <v>5</v>
          </cell>
          <cell r="F627" t="str">
            <v>Celda columna de flotacion 2da limpieza 4m diámetro x 14 de alto</v>
          </cell>
          <cell r="G627" t="str">
            <v>un</v>
          </cell>
          <cell r="H627">
            <v>1</v>
          </cell>
          <cell r="L627">
            <v>188850</v>
          </cell>
          <cell r="N627">
            <v>18885</v>
          </cell>
          <cell r="P627">
            <v>94.424999999999997</v>
          </cell>
          <cell r="Q627">
            <v>94.424999999999997</v>
          </cell>
          <cell r="R627">
            <v>0</v>
          </cell>
          <cell r="T627">
            <v>18.885000000000002</v>
          </cell>
          <cell r="V627">
            <v>207.73499999999999</v>
          </cell>
        </row>
        <row r="628">
          <cell r="D628" t="str">
            <v>CAÑERIAS</v>
          </cell>
        </row>
        <row r="629">
          <cell r="D629">
            <v>6</v>
          </cell>
          <cell r="F629" t="str">
            <v>Global tuberías válvulas y fittings (se aplica 23% equipos mecànicos)</v>
          </cell>
          <cell r="G629" t="str">
            <v>gl</v>
          </cell>
          <cell r="H629">
            <v>1</v>
          </cell>
          <cell r="N629">
            <v>47779</v>
          </cell>
          <cell r="P629">
            <v>0</v>
          </cell>
          <cell r="Q629">
            <v>0</v>
          </cell>
          <cell r="R629">
            <v>0</v>
          </cell>
          <cell r="T629">
            <v>47.779000000000003</v>
          </cell>
          <cell r="V629">
            <v>47.779000000000003</v>
          </cell>
        </row>
        <row r="630">
          <cell r="D630" t="str">
            <v>ELECTRICIDAD</v>
          </cell>
        </row>
        <row r="631">
          <cell r="D631">
            <v>7</v>
          </cell>
          <cell r="F631" t="str">
            <v>Global equipos eléctricos (se aplica 14% equipos mecánicos)</v>
          </cell>
          <cell r="G631" t="str">
            <v>gl</v>
          </cell>
          <cell r="H631">
            <v>1</v>
          </cell>
          <cell r="N631">
            <v>29083</v>
          </cell>
          <cell r="P631">
            <v>0</v>
          </cell>
          <cell r="Q631">
            <v>0</v>
          </cell>
          <cell r="R631">
            <v>0</v>
          </cell>
          <cell r="T631">
            <v>29.082999999999998</v>
          </cell>
          <cell r="V631">
            <v>29.082999999999998</v>
          </cell>
        </row>
        <row r="632">
          <cell r="E632" t="str">
            <v>FLOTACION SEGUNDA LIMPIEZA</v>
          </cell>
          <cell r="P632">
            <v>94.424999999999997</v>
          </cell>
          <cell r="Q632">
            <v>94.424999999999997</v>
          </cell>
          <cell r="R632">
            <v>48.069999999999993</v>
          </cell>
          <cell r="S632">
            <v>0</v>
          </cell>
          <cell r="T632">
            <v>229.93625</v>
          </cell>
          <cell r="V632">
            <v>466.85624999999993</v>
          </cell>
        </row>
        <row r="633">
          <cell r="E633" t="str">
            <v>FLOTACION</v>
          </cell>
          <cell r="P633">
            <v>4512.0294999999996</v>
          </cell>
          <cell r="Q633">
            <v>6216.4535000000005</v>
          </cell>
          <cell r="R633">
            <v>1845.92</v>
          </cell>
          <cell r="S633">
            <v>0</v>
          </cell>
          <cell r="T633">
            <v>9492.8878499999992</v>
          </cell>
          <cell r="V633">
            <v>22067.290850000005</v>
          </cell>
        </row>
        <row r="638">
          <cell r="D638" t="str">
            <v>EXCAVACIONES Y RELLENOS</v>
          </cell>
        </row>
        <row r="639">
          <cell r="D639">
            <v>1</v>
          </cell>
          <cell r="F639" t="str">
            <v>Excavaciones</v>
          </cell>
          <cell r="G639" t="str">
            <v>m3</v>
          </cell>
          <cell r="H639">
            <v>302.39999999999998</v>
          </cell>
          <cell r="N639">
            <v>11</v>
          </cell>
          <cell r="P639">
            <v>0</v>
          </cell>
          <cell r="Q639">
            <v>0</v>
          </cell>
          <cell r="T639">
            <v>3.3263999999999996</v>
          </cell>
          <cell r="V639">
            <v>3.3263999999999996</v>
          </cell>
        </row>
        <row r="640">
          <cell r="D640" t="str">
            <v>HORMIGONES</v>
          </cell>
        </row>
        <row r="641">
          <cell r="D641">
            <v>2</v>
          </cell>
          <cell r="F641" t="str">
            <v xml:space="preserve">Hormigon armado   </v>
          </cell>
          <cell r="G641" t="str">
            <v>m3</v>
          </cell>
          <cell r="H641">
            <v>151.79999999999998</v>
          </cell>
          <cell r="N641">
            <v>503</v>
          </cell>
          <cell r="P641">
            <v>0</v>
          </cell>
          <cell r="Q641">
            <v>0</v>
          </cell>
          <cell r="T641">
            <v>76.355399999999989</v>
          </cell>
          <cell r="V641">
            <v>76.355399999999989</v>
          </cell>
        </row>
        <row r="642">
          <cell r="D642" t="str">
            <v>CONSTRUCCIONES VARIAS</v>
          </cell>
        </row>
        <row r="643">
          <cell r="D643">
            <v>4</v>
          </cell>
          <cell r="F643" t="str">
            <v>Ampliación salas eléctricas</v>
          </cell>
          <cell r="G643" t="str">
            <v>m2</v>
          </cell>
          <cell r="H643">
            <v>58.8</v>
          </cell>
          <cell r="N643">
            <v>400</v>
          </cell>
          <cell r="T643">
            <v>23.52</v>
          </cell>
          <cell r="V643">
            <v>23.52</v>
          </cell>
        </row>
        <row r="644">
          <cell r="D644" t="str">
            <v>MECANICA</v>
          </cell>
        </row>
        <row r="645">
          <cell r="D645">
            <v>5</v>
          </cell>
          <cell r="F645" t="str">
            <v>Estanque almacenamiento concebtrado Cu-Mo con meca,agitador Vol útil=1.045m3 75HP</v>
          </cell>
          <cell r="G645" t="str">
            <v>ton</v>
          </cell>
          <cell r="H645">
            <v>45</v>
          </cell>
          <cell r="M645">
            <v>4300</v>
          </cell>
          <cell r="N645">
            <v>1450</v>
          </cell>
          <cell r="P645">
            <v>0</v>
          </cell>
          <cell r="Q645">
            <v>0</v>
          </cell>
          <cell r="R645">
            <v>193.5</v>
          </cell>
          <cell r="T645">
            <v>65.25</v>
          </cell>
          <cell r="V645">
            <v>258.75</v>
          </cell>
        </row>
        <row r="646">
          <cell r="D646">
            <v>5</v>
          </cell>
          <cell r="F646" t="str">
            <v>Agitador 75HP estanque concentrado Cu-Mo 1050 m3</v>
          </cell>
          <cell r="G646" t="str">
            <v>un</v>
          </cell>
          <cell r="H646">
            <v>1</v>
          </cell>
          <cell r="L646">
            <v>63200</v>
          </cell>
          <cell r="N646">
            <v>6320</v>
          </cell>
          <cell r="P646">
            <v>0</v>
          </cell>
          <cell r="Q646">
            <v>63.2</v>
          </cell>
          <cell r="R646">
            <v>0</v>
          </cell>
          <cell r="T646">
            <v>6.32</v>
          </cell>
          <cell r="V646">
            <v>69.52000000000001</v>
          </cell>
        </row>
        <row r="647">
          <cell r="D647">
            <v>5</v>
          </cell>
          <cell r="F647" t="str">
            <v>Motor bomba alimentación planta de moly tipo centrífuga horiz.12"x10" 60HP</v>
          </cell>
          <cell r="G647" t="str">
            <v>un</v>
          </cell>
          <cell r="H647">
            <v>2</v>
          </cell>
          <cell r="L647">
            <v>5378</v>
          </cell>
          <cell r="N647">
            <v>538</v>
          </cell>
          <cell r="P647">
            <v>0</v>
          </cell>
          <cell r="Q647">
            <v>10.756</v>
          </cell>
          <cell r="R647">
            <v>0</v>
          </cell>
          <cell r="T647">
            <v>1.0760000000000001</v>
          </cell>
          <cell r="V647">
            <v>11.832000000000001</v>
          </cell>
        </row>
        <row r="648">
          <cell r="D648" t="str">
            <v>CAÑERIAS</v>
          </cell>
        </row>
        <row r="649">
          <cell r="D649">
            <v>6</v>
          </cell>
          <cell r="F649" t="str">
            <v>Global tuberías válvulas y fittings (se aplica 37.6% equipos mecànicos)</v>
          </cell>
          <cell r="G649" t="str">
            <v>gl</v>
          </cell>
          <cell r="H649">
            <v>1</v>
          </cell>
          <cell r="N649">
            <v>127878</v>
          </cell>
          <cell r="P649">
            <v>0</v>
          </cell>
          <cell r="Q649">
            <v>0</v>
          </cell>
          <cell r="R649">
            <v>0</v>
          </cell>
          <cell r="T649">
            <v>127.878</v>
          </cell>
          <cell r="V649">
            <v>127.878</v>
          </cell>
        </row>
        <row r="650">
          <cell r="D650" t="str">
            <v>ELECTRICIDAD</v>
          </cell>
        </row>
        <row r="651">
          <cell r="D651">
            <v>7</v>
          </cell>
          <cell r="F651" t="str">
            <v>Global equipos eléctricos (se aplica 16.2% equipos mecánicos)</v>
          </cell>
          <cell r="G651" t="str">
            <v>gl</v>
          </cell>
          <cell r="H651">
            <v>1</v>
          </cell>
          <cell r="N651">
            <v>55096</v>
          </cell>
          <cell r="P651">
            <v>0</v>
          </cell>
          <cell r="Q651">
            <v>0</v>
          </cell>
          <cell r="R651">
            <v>0</v>
          </cell>
          <cell r="T651">
            <v>55.095999999999997</v>
          </cell>
          <cell r="V651">
            <v>55.095999999999997</v>
          </cell>
        </row>
        <row r="652">
          <cell r="E652" t="str">
            <v>ESPESAJE Y ALMACENAMIENTO DE CONCENTRADO Cu-Mo</v>
          </cell>
          <cell r="P652">
            <v>0</v>
          </cell>
          <cell r="Q652">
            <v>73.956000000000003</v>
          </cell>
          <cell r="R652">
            <v>193.5</v>
          </cell>
          <cell r="S652">
            <v>0</v>
          </cell>
          <cell r="T652">
            <v>358.8218</v>
          </cell>
          <cell r="V652">
            <v>626.27780000000007</v>
          </cell>
        </row>
        <row r="656">
          <cell r="D656" t="str">
            <v>OBRAS CIVILES GENERALES incluidas en área 351</v>
          </cell>
        </row>
        <row r="657">
          <cell r="D657" t="str">
            <v>MECANICA</v>
          </cell>
        </row>
        <row r="658">
          <cell r="D658">
            <v>5</v>
          </cell>
          <cell r="F658" t="str">
            <v>Estanque almacenamiento concebtrado Cu-Mo con meca,agitador V=20m3</v>
          </cell>
          <cell r="G658" t="str">
            <v>ton</v>
          </cell>
          <cell r="H658">
            <v>45</v>
          </cell>
          <cell r="M658">
            <v>4300</v>
          </cell>
          <cell r="N658">
            <v>1450</v>
          </cell>
          <cell r="P658">
            <v>0</v>
          </cell>
          <cell r="Q658">
            <v>0</v>
          </cell>
          <cell r="R658">
            <v>193.5</v>
          </cell>
          <cell r="T658">
            <v>65.25</v>
          </cell>
          <cell r="V658">
            <v>258.75</v>
          </cell>
        </row>
        <row r="659">
          <cell r="D659" t="str">
            <v>CAÑERIAS</v>
          </cell>
        </row>
        <row r="660">
          <cell r="D660">
            <v>6</v>
          </cell>
          <cell r="F660" t="str">
            <v>Global tuberías válvulas y fittings (se aplica 37,6% equipos mecànicos)</v>
          </cell>
          <cell r="G660" t="str">
            <v>gl</v>
          </cell>
          <cell r="H660">
            <v>1</v>
          </cell>
          <cell r="N660">
            <v>97290</v>
          </cell>
          <cell r="P660">
            <v>0</v>
          </cell>
          <cell r="Q660">
            <v>0</v>
          </cell>
          <cell r="R660">
            <v>0</v>
          </cell>
          <cell r="T660">
            <v>97.29</v>
          </cell>
          <cell r="V660">
            <v>97.29</v>
          </cell>
        </row>
        <row r="661">
          <cell r="D661" t="str">
            <v>ELECTRICIDAD</v>
          </cell>
        </row>
        <row r="662">
          <cell r="D662">
            <v>7</v>
          </cell>
          <cell r="F662" t="str">
            <v>Global equipos eléctricos (se aplica 16.2% equipos mecánicos)</v>
          </cell>
          <cell r="G662" t="str">
            <v>gl</v>
          </cell>
          <cell r="H662">
            <v>1</v>
          </cell>
          <cell r="N662">
            <v>41918</v>
          </cell>
          <cell r="P662">
            <v>0</v>
          </cell>
          <cell r="Q662">
            <v>0</v>
          </cell>
          <cell r="R662">
            <v>0</v>
          </cell>
          <cell r="T662">
            <v>41.917999999999999</v>
          </cell>
          <cell r="V662">
            <v>41.917999999999999</v>
          </cell>
        </row>
        <row r="663">
          <cell r="E663" t="str">
            <v>ACONDICIONAMIENTO DE CONCENTRADO Cu-Mo</v>
          </cell>
          <cell r="P663">
            <v>0</v>
          </cell>
          <cell r="Q663">
            <v>0</v>
          </cell>
          <cell r="R663">
            <v>193.5</v>
          </cell>
          <cell r="S663">
            <v>0</v>
          </cell>
          <cell r="T663">
            <v>204.45800000000003</v>
          </cell>
          <cell r="V663">
            <v>397.95800000000003</v>
          </cell>
        </row>
        <row r="667">
          <cell r="D667" t="str">
            <v>OBRAS CIVILES GENERALES incluidas en área 351</v>
          </cell>
        </row>
        <row r="668">
          <cell r="D668" t="str">
            <v>MECANICA</v>
          </cell>
        </row>
        <row r="669">
          <cell r="D669">
            <v>5</v>
          </cell>
          <cell r="F669" t="str">
            <v>Celda de flotación primaria cap=300 pie3 30Hp encapsuladas</v>
          </cell>
          <cell r="G669" t="str">
            <v>un</v>
          </cell>
          <cell r="H669">
            <v>9</v>
          </cell>
          <cell r="L669">
            <v>39185</v>
          </cell>
          <cell r="N669">
            <v>3918</v>
          </cell>
          <cell r="P669">
            <v>176.33250000000001</v>
          </cell>
          <cell r="Q669">
            <v>176.33250000000001</v>
          </cell>
          <cell r="R669">
            <v>0</v>
          </cell>
          <cell r="T669">
            <v>35.262</v>
          </cell>
          <cell r="V669">
            <v>387.92700000000002</v>
          </cell>
        </row>
        <row r="670">
          <cell r="D670">
            <v>5</v>
          </cell>
          <cell r="F670" t="str">
            <v>Repotenciamiento bomba 12"x10" espesador concentrado Cu a motor de 125 HP</v>
          </cell>
          <cell r="G670" t="str">
            <v>un</v>
          </cell>
          <cell r="H670">
            <v>2</v>
          </cell>
          <cell r="L670">
            <v>11272</v>
          </cell>
          <cell r="N670">
            <v>1127</v>
          </cell>
          <cell r="P670">
            <v>0</v>
          </cell>
          <cell r="Q670">
            <v>22.544</v>
          </cell>
          <cell r="R670">
            <v>0</v>
          </cell>
          <cell r="T670">
            <v>2.254</v>
          </cell>
          <cell r="V670">
            <v>24.798000000000002</v>
          </cell>
        </row>
        <row r="671">
          <cell r="D671" t="str">
            <v>CAÑERIAS</v>
          </cell>
        </row>
        <row r="672">
          <cell r="D672">
            <v>6</v>
          </cell>
          <cell r="F672" t="str">
            <v>Global tuberías válvulas y fittings (se aplica 37,6% equipos mecànicos)</v>
          </cell>
          <cell r="G672" t="str">
            <v>gl</v>
          </cell>
          <cell r="H672">
            <v>1</v>
          </cell>
          <cell r="N672">
            <v>155186</v>
          </cell>
          <cell r="P672">
            <v>0</v>
          </cell>
          <cell r="Q672">
            <v>0</v>
          </cell>
          <cell r="R672">
            <v>0</v>
          </cell>
          <cell r="T672">
            <v>155.18600000000001</v>
          </cell>
          <cell r="V672">
            <v>155.18600000000001</v>
          </cell>
        </row>
        <row r="673">
          <cell r="D673" t="str">
            <v>ELECTRICIDAD</v>
          </cell>
        </row>
        <row r="674">
          <cell r="D674">
            <v>7</v>
          </cell>
          <cell r="F674" t="str">
            <v>Global equipos eléctricos (se aplica 16.2% equipos mecánicos)</v>
          </cell>
          <cell r="G674" t="str">
            <v>gl</v>
          </cell>
          <cell r="H674">
            <v>1</v>
          </cell>
          <cell r="N674">
            <v>66862</v>
          </cell>
          <cell r="P674">
            <v>0</v>
          </cell>
          <cell r="Q674">
            <v>0</v>
          </cell>
          <cell r="R674">
            <v>0</v>
          </cell>
          <cell r="T674">
            <v>66.861999999999995</v>
          </cell>
          <cell r="V674">
            <v>66.861999999999995</v>
          </cell>
        </row>
        <row r="675">
          <cell r="E675" t="str">
            <v>FLOTACION PRIMARIA</v>
          </cell>
          <cell r="P675">
            <v>176.33250000000001</v>
          </cell>
          <cell r="Q675">
            <v>198.87650000000002</v>
          </cell>
          <cell r="R675">
            <v>0</v>
          </cell>
          <cell r="S675">
            <v>0</v>
          </cell>
          <cell r="T675">
            <v>259.56399999999996</v>
          </cell>
          <cell r="V675">
            <v>634.77300000000002</v>
          </cell>
        </row>
        <row r="679">
          <cell r="D679" t="str">
            <v>OBRAS CIVILES GENERALES incluidas en área 351</v>
          </cell>
        </row>
        <row r="680">
          <cell r="D680" t="str">
            <v>MECANICA</v>
          </cell>
        </row>
        <row r="681">
          <cell r="D681">
            <v>5</v>
          </cell>
          <cell r="F681" t="str">
            <v>Bomba alimentacion flotación primera limpieza tipo vertical tamaño 10"50HP</v>
          </cell>
          <cell r="G681" t="str">
            <v>un</v>
          </cell>
          <cell r="H681">
            <v>2</v>
          </cell>
          <cell r="L681">
            <v>47770</v>
          </cell>
          <cell r="N681">
            <v>4777</v>
          </cell>
          <cell r="P681">
            <v>0</v>
          </cell>
          <cell r="Q681">
            <v>95.54</v>
          </cell>
          <cell r="R681">
            <v>0</v>
          </cell>
          <cell r="T681">
            <v>9.5540000000000003</v>
          </cell>
          <cell r="V681">
            <v>105.09400000000001</v>
          </cell>
        </row>
        <row r="682">
          <cell r="D682">
            <v>5</v>
          </cell>
          <cell r="F682" t="str">
            <v>Celda flotación 1ra limpieza cap=500 pie3 40Hp</v>
          </cell>
          <cell r="G682" t="str">
            <v>un</v>
          </cell>
          <cell r="H682">
            <v>14</v>
          </cell>
          <cell r="L682">
            <v>44366</v>
          </cell>
          <cell r="N682">
            <v>4437</v>
          </cell>
          <cell r="P682">
            <v>310.56200000000001</v>
          </cell>
          <cell r="Q682">
            <v>310.56200000000001</v>
          </cell>
          <cell r="R682">
            <v>0</v>
          </cell>
          <cell r="T682">
            <v>62.118000000000002</v>
          </cell>
          <cell r="V682">
            <v>683.24200000000008</v>
          </cell>
        </row>
        <row r="683">
          <cell r="D683">
            <v>5</v>
          </cell>
          <cell r="F683" t="str">
            <v>Motor Bba cola 1ra limpieza oa espesador conc.Cu-Mo tipo vertical 6" 50HP</v>
          </cell>
          <cell r="G683" t="str">
            <v>un</v>
          </cell>
          <cell r="H683">
            <v>2</v>
          </cell>
          <cell r="L683">
            <v>14369</v>
          </cell>
          <cell r="N683">
            <v>1437</v>
          </cell>
          <cell r="P683">
            <v>0</v>
          </cell>
          <cell r="Q683">
            <v>28.738</v>
          </cell>
          <cell r="T683">
            <v>2.8740000000000001</v>
          </cell>
          <cell r="V683">
            <v>31.611999999999998</v>
          </cell>
        </row>
        <row r="684">
          <cell r="D684" t="str">
            <v>CAÑERIAS</v>
          </cell>
        </row>
        <row r="685">
          <cell r="D685">
            <v>6</v>
          </cell>
          <cell r="F685" t="str">
            <v>Global tuberías válvulas y fittings (se aplica 37,6% equipos mecànicos)</v>
          </cell>
          <cell r="G685" t="str">
            <v>gl</v>
          </cell>
          <cell r="H685">
            <v>1</v>
          </cell>
          <cell r="N685">
            <v>308298</v>
          </cell>
          <cell r="P685">
            <v>0</v>
          </cell>
          <cell r="Q685">
            <v>0</v>
          </cell>
          <cell r="R685">
            <v>0</v>
          </cell>
          <cell r="T685">
            <v>308.298</v>
          </cell>
          <cell r="V685">
            <v>308.298</v>
          </cell>
        </row>
        <row r="686">
          <cell r="D686" t="str">
            <v>ELECTRICIDAD</v>
          </cell>
        </row>
        <row r="687">
          <cell r="D687">
            <v>7</v>
          </cell>
          <cell r="F687" t="str">
            <v>Global equipos eléctricos (se aplica 16.2% equipos mecánicos)</v>
          </cell>
          <cell r="G687" t="str">
            <v>gl</v>
          </cell>
          <cell r="H687">
            <v>1</v>
          </cell>
          <cell r="N687">
            <v>132831</v>
          </cell>
          <cell r="P687">
            <v>0</v>
          </cell>
          <cell r="Q687">
            <v>0</v>
          </cell>
          <cell r="R687">
            <v>0</v>
          </cell>
          <cell r="T687">
            <v>132.83099999999999</v>
          </cell>
          <cell r="V687">
            <v>132.83099999999999</v>
          </cell>
        </row>
        <row r="688">
          <cell r="E688" t="str">
            <v>FLOTACION PRIMERA LIMPIEZA</v>
          </cell>
          <cell r="P688">
            <v>310.56200000000001</v>
          </cell>
          <cell r="Q688">
            <v>434.84000000000003</v>
          </cell>
          <cell r="R688">
            <v>0</v>
          </cell>
          <cell r="S688">
            <v>0</v>
          </cell>
          <cell r="T688">
            <v>515.67499999999995</v>
          </cell>
          <cell r="V688">
            <v>1261.077</v>
          </cell>
        </row>
        <row r="692">
          <cell r="D692" t="str">
            <v>OBRAS CIVILES GENERALES incluidas en área 351</v>
          </cell>
        </row>
        <row r="693">
          <cell r="D693" t="str">
            <v>MECANICA</v>
          </cell>
        </row>
        <row r="694">
          <cell r="D694">
            <v>5</v>
          </cell>
          <cell r="F694" t="str">
            <v>Cajon alimentación espesador cap=5m3</v>
          </cell>
          <cell r="G694" t="str">
            <v>ton</v>
          </cell>
          <cell r="H694">
            <v>4</v>
          </cell>
          <cell r="M694">
            <v>4300</v>
          </cell>
          <cell r="N694">
            <v>1450</v>
          </cell>
          <cell r="P694">
            <v>0</v>
          </cell>
          <cell r="Q694">
            <v>0</v>
          </cell>
          <cell r="R694">
            <v>17.2</v>
          </cell>
          <cell r="T694">
            <v>5.8</v>
          </cell>
          <cell r="V694">
            <v>23</v>
          </cell>
        </row>
        <row r="695">
          <cell r="D695">
            <v>5</v>
          </cell>
          <cell r="F695" t="str">
            <v>Cajón colector rebase espesador limpieza final cap=6 m3</v>
          </cell>
          <cell r="G695" t="str">
            <v>ton</v>
          </cell>
          <cell r="H695">
            <v>4</v>
          </cell>
          <cell r="M695">
            <v>4300</v>
          </cell>
          <cell r="N695">
            <v>1450</v>
          </cell>
          <cell r="P695">
            <v>0</v>
          </cell>
          <cell r="R695">
            <v>17.2</v>
          </cell>
          <cell r="T695">
            <v>5.8</v>
          </cell>
          <cell r="V695">
            <v>23</v>
          </cell>
        </row>
        <row r="696">
          <cell r="D696">
            <v>5</v>
          </cell>
          <cell r="F696" t="str">
            <v>Motor Bba cola descarga espesador tipo centrífuga horizontal 3"x2" 20HP</v>
          </cell>
          <cell r="G696" t="str">
            <v>un</v>
          </cell>
          <cell r="H696">
            <v>2</v>
          </cell>
          <cell r="L696">
            <v>2885</v>
          </cell>
          <cell r="N696">
            <v>289</v>
          </cell>
          <cell r="P696">
            <v>0</v>
          </cell>
          <cell r="Q696">
            <v>5.77</v>
          </cell>
          <cell r="R696">
            <v>0</v>
          </cell>
          <cell r="T696">
            <v>0.57799999999999996</v>
          </cell>
          <cell r="V696">
            <v>6.3479999999999999</v>
          </cell>
        </row>
        <row r="697">
          <cell r="D697" t="str">
            <v>CAÑERIAS</v>
          </cell>
        </row>
        <row r="698">
          <cell r="D698">
            <v>6</v>
          </cell>
          <cell r="F698" t="str">
            <v>Global tuberías válvulas y fittings (se aplica 37,6% equipos mecànicos)</v>
          </cell>
          <cell r="G698" t="str">
            <v>gl</v>
          </cell>
          <cell r="H698">
            <v>1</v>
          </cell>
          <cell r="N698">
            <v>20691</v>
          </cell>
          <cell r="P698">
            <v>0</v>
          </cell>
          <cell r="Q698">
            <v>0</v>
          </cell>
          <cell r="R698">
            <v>0</v>
          </cell>
          <cell r="T698">
            <v>20.690999999999999</v>
          </cell>
          <cell r="V698">
            <v>20.690999999999999</v>
          </cell>
        </row>
        <row r="699">
          <cell r="D699" t="str">
            <v>ELECTRICIDAD</v>
          </cell>
        </row>
        <row r="700">
          <cell r="D700">
            <v>7</v>
          </cell>
          <cell r="F700" t="str">
            <v>Global equipos eléctricos (se aplica 16.2% equipos mecánicos)</v>
          </cell>
          <cell r="G700" t="str">
            <v>gl</v>
          </cell>
          <cell r="H700">
            <v>1</v>
          </cell>
          <cell r="N700">
            <v>8915</v>
          </cell>
          <cell r="P700">
            <v>0</v>
          </cell>
          <cell r="Q700">
            <v>0</v>
          </cell>
          <cell r="R700">
            <v>0</v>
          </cell>
          <cell r="T700">
            <v>8.9149999999999991</v>
          </cell>
          <cell r="V700">
            <v>8.9149999999999991</v>
          </cell>
        </row>
        <row r="701">
          <cell r="E701" t="str">
            <v>ESPESAJE REMOLIENDA</v>
          </cell>
          <cell r="P701">
            <v>0</v>
          </cell>
          <cell r="Q701">
            <v>5.77</v>
          </cell>
          <cell r="R701">
            <v>34.4</v>
          </cell>
          <cell r="S701">
            <v>0</v>
          </cell>
          <cell r="T701">
            <v>41.783999999999999</v>
          </cell>
          <cell r="V701">
            <v>81.954000000000008</v>
          </cell>
        </row>
        <row r="705">
          <cell r="D705" t="str">
            <v>OBRAS CIVILES GENERALES incluidas en área 351</v>
          </cell>
        </row>
        <row r="706">
          <cell r="D706" t="str">
            <v>MECANICA</v>
          </cell>
        </row>
        <row r="707">
          <cell r="D707">
            <v>5</v>
          </cell>
          <cell r="F707" t="str">
            <v>Bomba desc.espes.concentr.Moly tipo centrif.horizontal:1.5"x1" 5HP</v>
          </cell>
          <cell r="G707" t="str">
            <v>un</v>
          </cell>
          <cell r="H707">
            <v>2</v>
          </cell>
          <cell r="L707">
            <v>3713</v>
          </cell>
          <cell r="N707">
            <v>371</v>
          </cell>
          <cell r="P707">
            <v>0</v>
          </cell>
          <cell r="Q707">
            <v>7.4260000000000002</v>
          </cell>
          <cell r="R707">
            <v>0</v>
          </cell>
          <cell r="T707">
            <v>0.74199999999999999</v>
          </cell>
          <cell r="V707">
            <v>8.1679999999999993</v>
          </cell>
        </row>
        <row r="708">
          <cell r="D708">
            <v>5</v>
          </cell>
          <cell r="F708" t="str">
            <v>Motor bomba alimentación 3ra limpieza tipo vertical tamaño 2 1/2" 25HP</v>
          </cell>
          <cell r="G708" t="str">
            <v>un</v>
          </cell>
          <cell r="H708">
            <v>2</v>
          </cell>
          <cell r="L708">
            <v>24018</v>
          </cell>
          <cell r="N708">
            <v>2402</v>
          </cell>
          <cell r="P708">
            <v>0</v>
          </cell>
          <cell r="Q708">
            <v>48.036000000000001</v>
          </cell>
          <cell r="R708">
            <v>0</v>
          </cell>
          <cell r="T708">
            <v>4.8040000000000003</v>
          </cell>
          <cell r="V708">
            <v>52.84</v>
          </cell>
        </row>
        <row r="709">
          <cell r="D709">
            <v>5</v>
          </cell>
          <cell r="F709" t="str">
            <v>Motor Bba cola 3ra y 4a limpieza oa espesador limp.final tipo centrif.horiz 4"x3" 15HP</v>
          </cell>
          <cell r="G709" t="str">
            <v>un</v>
          </cell>
          <cell r="H709">
            <v>2</v>
          </cell>
          <cell r="L709">
            <v>2428</v>
          </cell>
          <cell r="N709">
            <v>243</v>
          </cell>
          <cell r="P709">
            <v>0</v>
          </cell>
          <cell r="Q709">
            <v>4.8559999999999999</v>
          </cell>
          <cell r="T709">
            <v>0.48599999999999999</v>
          </cell>
          <cell r="V709">
            <v>5.3419999999999996</v>
          </cell>
        </row>
        <row r="710">
          <cell r="D710">
            <v>5</v>
          </cell>
          <cell r="F710" t="str">
            <v>Motor Bba cola 2da limpieza oa tipo centrif.horiz 6"x4" 40HP</v>
          </cell>
          <cell r="G710" t="str">
            <v>un</v>
          </cell>
          <cell r="H710">
            <v>2</v>
          </cell>
          <cell r="L710">
            <v>4373</v>
          </cell>
          <cell r="N710">
            <v>437</v>
          </cell>
          <cell r="P710">
            <v>0</v>
          </cell>
          <cell r="Q710">
            <v>8.7460000000000004</v>
          </cell>
          <cell r="T710">
            <v>0.874</v>
          </cell>
          <cell r="V710">
            <v>9.620000000000001</v>
          </cell>
        </row>
        <row r="711">
          <cell r="D711">
            <v>5</v>
          </cell>
          <cell r="F711" t="str">
            <v>Celda de flotación 2da limpieza cap=300 pie3 30HP</v>
          </cell>
          <cell r="G711" t="str">
            <v>un</v>
          </cell>
          <cell r="H711">
            <v>7</v>
          </cell>
          <cell r="L711">
            <v>32654</v>
          </cell>
          <cell r="N711">
            <v>3265</v>
          </cell>
          <cell r="P711">
            <v>114.289</v>
          </cell>
          <cell r="Q711">
            <v>114.289</v>
          </cell>
          <cell r="T711">
            <v>22.855</v>
          </cell>
          <cell r="V711">
            <v>251.43299999999999</v>
          </cell>
        </row>
        <row r="712">
          <cell r="D712">
            <v>5</v>
          </cell>
          <cell r="F712" t="str">
            <v>Espesador de concentrado Moly 75 pie diámetro 6.5 HP</v>
          </cell>
          <cell r="G712" t="str">
            <v>un</v>
          </cell>
          <cell r="H712">
            <v>1</v>
          </cell>
          <cell r="L712">
            <v>146410</v>
          </cell>
          <cell r="N712">
            <v>14641</v>
          </cell>
          <cell r="P712">
            <v>73.204999999999998</v>
          </cell>
          <cell r="Q712">
            <v>73.204999999999998</v>
          </cell>
          <cell r="T712">
            <v>14.641</v>
          </cell>
          <cell r="V712">
            <v>161.05099999999999</v>
          </cell>
        </row>
        <row r="713">
          <cell r="D713" t="str">
            <v>CAÑERIAS</v>
          </cell>
        </row>
        <row r="714">
          <cell r="D714">
            <v>6</v>
          </cell>
          <cell r="F714" t="str">
            <v>Global tuberías válvulas y fittings (se aplica 37,6% equipos mecànicos)</v>
          </cell>
          <cell r="G714" t="str">
            <v>gl</v>
          </cell>
          <cell r="H714">
            <v>1</v>
          </cell>
          <cell r="N714">
            <v>183662</v>
          </cell>
          <cell r="P714">
            <v>0</v>
          </cell>
          <cell r="Q714">
            <v>0</v>
          </cell>
          <cell r="R714">
            <v>0</v>
          </cell>
          <cell r="T714">
            <v>183.66200000000001</v>
          </cell>
          <cell r="V714">
            <v>183.66200000000001</v>
          </cell>
        </row>
        <row r="715">
          <cell r="D715" t="str">
            <v>ELECTRICIDAD</v>
          </cell>
        </row>
        <row r="716">
          <cell r="D716">
            <v>7</v>
          </cell>
          <cell r="F716" t="str">
            <v>Global equipos eléctricos (se aplica 16.2% equipos mecánicos)</v>
          </cell>
          <cell r="G716" t="str">
            <v>gl</v>
          </cell>
          <cell r="H716">
            <v>1</v>
          </cell>
          <cell r="N716">
            <v>79131</v>
          </cell>
          <cell r="P716">
            <v>0</v>
          </cell>
          <cell r="Q716">
            <v>0</v>
          </cell>
          <cell r="R716">
            <v>0</v>
          </cell>
          <cell r="T716">
            <v>79.131</v>
          </cell>
          <cell r="V716">
            <v>79.131</v>
          </cell>
        </row>
        <row r="717">
          <cell r="E717" t="str">
            <v>FLOTACION LIMPIEZA FINAL</v>
          </cell>
          <cell r="P717">
            <v>187.494</v>
          </cell>
          <cell r="Q717">
            <v>256.55799999999999</v>
          </cell>
          <cell r="R717">
            <v>0</v>
          </cell>
          <cell r="S717">
            <v>0</v>
          </cell>
          <cell r="T717">
            <v>307.19500000000005</v>
          </cell>
          <cell r="V717">
            <v>751.24699999999996</v>
          </cell>
        </row>
        <row r="721">
          <cell r="D721" t="str">
            <v>EXCAVACIONES Y RELLENOS</v>
          </cell>
        </row>
        <row r="722">
          <cell r="D722">
            <v>1</v>
          </cell>
          <cell r="F722" t="str">
            <v>Excavaciones</v>
          </cell>
          <cell r="G722" t="str">
            <v>m3</v>
          </cell>
          <cell r="H722">
            <v>76.8</v>
          </cell>
          <cell r="N722">
            <v>11</v>
          </cell>
          <cell r="P722">
            <v>0</v>
          </cell>
          <cell r="Q722">
            <v>0</v>
          </cell>
          <cell r="T722">
            <v>0.8448</v>
          </cell>
          <cell r="V722">
            <v>0.8448</v>
          </cell>
        </row>
        <row r="723">
          <cell r="D723" t="str">
            <v>HORMIGONES</v>
          </cell>
        </row>
        <row r="724">
          <cell r="D724">
            <v>2</v>
          </cell>
          <cell r="F724" t="str">
            <v xml:space="preserve">Hormigon armado   </v>
          </cell>
          <cell r="G724" t="str">
            <v>m3</v>
          </cell>
          <cell r="H724">
            <v>143.75</v>
          </cell>
          <cell r="N724">
            <v>503</v>
          </cell>
          <cell r="P724">
            <v>0</v>
          </cell>
          <cell r="Q724">
            <v>0</v>
          </cell>
          <cell r="T724">
            <v>72.306250000000006</v>
          </cell>
          <cell r="V724">
            <v>72.306250000000006</v>
          </cell>
        </row>
        <row r="725">
          <cell r="D725" t="str">
            <v>ESTRUCTURAS METALICAS</v>
          </cell>
        </row>
        <row r="726">
          <cell r="D726">
            <v>3</v>
          </cell>
          <cell r="F726" t="str">
            <v xml:space="preserve">Estructuras metálicas  </v>
          </cell>
          <cell r="G726" t="str">
            <v>ton</v>
          </cell>
          <cell r="H726">
            <v>36.799999999999997</v>
          </cell>
          <cell r="M726">
            <v>1900</v>
          </cell>
          <cell r="N726">
            <v>870</v>
          </cell>
          <cell r="P726">
            <v>0</v>
          </cell>
          <cell r="Q726">
            <v>0</v>
          </cell>
          <cell r="R726">
            <v>69.92</v>
          </cell>
          <cell r="T726">
            <v>32.015999999999998</v>
          </cell>
          <cell r="V726">
            <v>101.93600000000001</v>
          </cell>
        </row>
        <row r="727">
          <cell r="D727" t="str">
            <v>MECANICA</v>
          </cell>
        </row>
        <row r="728">
          <cell r="D728">
            <v>5</v>
          </cell>
          <cell r="F728" t="str">
            <v>Se elimina estanque almacenamiento concentrado 30m3</v>
          </cell>
          <cell r="G728" t="str">
            <v>ton</v>
          </cell>
          <cell r="H728">
            <v>7</v>
          </cell>
          <cell r="N728">
            <v>700</v>
          </cell>
          <cell r="P728">
            <v>0</v>
          </cell>
          <cell r="Q728">
            <v>0</v>
          </cell>
          <cell r="R728">
            <v>0</v>
          </cell>
          <cell r="T728">
            <v>4.9000000000000004</v>
          </cell>
          <cell r="V728">
            <v>4.9000000000000004</v>
          </cell>
        </row>
        <row r="729">
          <cell r="D729">
            <v>5</v>
          </cell>
          <cell r="F729" t="str">
            <v>Se incorpora estanque almacenamiento de concentrado 60 m3</v>
          </cell>
          <cell r="G729" t="str">
            <v>ton</v>
          </cell>
          <cell r="H729">
            <v>10</v>
          </cell>
          <cell r="M729">
            <v>4300</v>
          </cell>
          <cell r="N729">
            <v>1450</v>
          </cell>
          <cell r="P729">
            <v>0</v>
          </cell>
          <cell r="Q729">
            <v>0</v>
          </cell>
          <cell r="R729">
            <v>43</v>
          </cell>
          <cell r="T729">
            <v>14.5</v>
          </cell>
          <cell r="V729">
            <v>57.5</v>
          </cell>
        </row>
        <row r="730">
          <cell r="D730">
            <v>5</v>
          </cell>
          <cell r="F730" t="str">
            <v>Se elimina estanque de preparación 30m3</v>
          </cell>
          <cell r="G730" t="str">
            <v>ton</v>
          </cell>
          <cell r="H730">
            <v>7</v>
          </cell>
          <cell r="N730">
            <v>700</v>
          </cell>
          <cell r="P730">
            <v>0</v>
          </cell>
          <cell r="Q730">
            <v>0</v>
          </cell>
          <cell r="R730">
            <v>0</v>
          </cell>
          <cell r="T730">
            <v>4.9000000000000004</v>
          </cell>
          <cell r="V730">
            <v>4.9000000000000004</v>
          </cell>
        </row>
        <row r="731">
          <cell r="D731">
            <v>5</v>
          </cell>
          <cell r="F731" t="str">
            <v>Se incorpora estanque de preparación nuevo de 77 m3</v>
          </cell>
          <cell r="G731" t="str">
            <v>ton</v>
          </cell>
          <cell r="H731">
            <v>12</v>
          </cell>
          <cell r="M731">
            <v>4300</v>
          </cell>
          <cell r="N731">
            <v>1450</v>
          </cell>
          <cell r="R731">
            <v>51.6</v>
          </cell>
          <cell r="T731">
            <v>17.399999999999999</v>
          </cell>
          <cell r="V731">
            <v>69</v>
          </cell>
        </row>
        <row r="732">
          <cell r="D732">
            <v>5</v>
          </cell>
          <cell r="F732" t="str">
            <v>Se elimina estanque almacenamiento  30m3</v>
          </cell>
          <cell r="G732" t="str">
            <v>ton</v>
          </cell>
          <cell r="H732">
            <v>7</v>
          </cell>
          <cell r="N732">
            <v>700</v>
          </cell>
          <cell r="R732">
            <v>0</v>
          </cell>
          <cell r="T732">
            <v>4.9000000000000004</v>
          </cell>
          <cell r="V732">
            <v>4.9000000000000004</v>
          </cell>
        </row>
        <row r="733">
          <cell r="D733">
            <v>5</v>
          </cell>
          <cell r="F733" t="str">
            <v>Se incorpora estanque de almacenamiento nuevo de 77 m3</v>
          </cell>
          <cell r="G733" t="str">
            <v>ton</v>
          </cell>
          <cell r="H733">
            <v>12</v>
          </cell>
          <cell r="M733">
            <v>4300</v>
          </cell>
          <cell r="N733">
            <v>1450</v>
          </cell>
          <cell r="R733">
            <v>51.6</v>
          </cell>
          <cell r="T733">
            <v>17.399999999999999</v>
          </cell>
          <cell r="V733">
            <v>69</v>
          </cell>
        </row>
        <row r="734">
          <cell r="D734">
            <v>5</v>
          </cell>
          <cell r="F734" t="str">
            <v>Se incorpora estanque de pulmón de 77 m3</v>
          </cell>
          <cell r="G734" t="str">
            <v>ton</v>
          </cell>
          <cell r="H734">
            <v>12</v>
          </cell>
          <cell r="M734">
            <v>4300</v>
          </cell>
          <cell r="N734">
            <v>1450</v>
          </cell>
          <cell r="R734">
            <v>51.6</v>
          </cell>
          <cell r="T734">
            <v>17.399999999999999</v>
          </cell>
          <cell r="V734">
            <v>69</v>
          </cell>
        </row>
        <row r="735">
          <cell r="D735">
            <v>5</v>
          </cell>
          <cell r="F735" t="str">
            <v>Se elimina estanque alimentación filtro de presión 30m3</v>
          </cell>
          <cell r="G735" t="str">
            <v>ton</v>
          </cell>
          <cell r="H735">
            <v>7</v>
          </cell>
          <cell r="N735">
            <v>700</v>
          </cell>
          <cell r="R735">
            <v>0</v>
          </cell>
          <cell r="T735">
            <v>4.9000000000000004</v>
          </cell>
          <cell r="V735">
            <v>4.9000000000000004</v>
          </cell>
        </row>
        <row r="736">
          <cell r="D736">
            <v>5</v>
          </cell>
          <cell r="F736" t="str">
            <v>Se incorpora estanque alimentación filtro de presión 77m3</v>
          </cell>
          <cell r="G736" t="str">
            <v>ton</v>
          </cell>
          <cell r="H736">
            <v>12</v>
          </cell>
          <cell r="M736">
            <v>4300</v>
          </cell>
          <cell r="N736">
            <v>1450</v>
          </cell>
          <cell r="R736">
            <v>51.6</v>
          </cell>
          <cell r="T736">
            <v>17.399999999999999</v>
          </cell>
          <cell r="V736">
            <v>69</v>
          </cell>
        </row>
        <row r="737">
          <cell r="D737">
            <v>5</v>
          </cell>
          <cell r="F737" t="str">
            <v>Se elimina estanque alimentación a cementación 7m3</v>
          </cell>
          <cell r="G737" t="str">
            <v>ton</v>
          </cell>
          <cell r="H737">
            <v>4</v>
          </cell>
          <cell r="N737">
            <v>700</v>
          </cell>
          <cell r="R737">
            <v>0</v>
          </cell>
          <cell r="T737">
            <v>2.8</v>
          </cell>
          <cell r="V737">
            <v>2.8</v>
          </cell>
        </row>
        <row r="738">
          <cell r="D738">
            <v>5</v>
          </cell>
          <cell r="F738" t="str">
            <v>Se incorpora estanque alimentación a cementación 18m3</v>
          </cell>
          <cell r="G738" t="str">
            <v>ton</v>
          </cell>
          <cell r="H738">
            <v>6</v>
          </cell>
          <cell r="M738">
            <v>4300</v>
          </cell>
          <cell r="N738">
            <v>1450</v>
          </cell>
          <cell r="R738">
            <v>25.8</v>
          </cell>
          <cell r="T738">
            <v>8.6999999999999993</v>
          </cell>
          <cell r="V738">
            <v>34.5</v>
          </cell>
        </row>
        <row r="739">
          <cell r="D739">
            <v>5</v>
          </cell>
          <cell r="F739" t="str">
            <v>Se incorpora estanque recepción solución férrica de 1.6 m3</v>
          </cell>
          <cell r="G739" t="str">
            <v>ton</v>
          </cell>
          <cell r="H739">
            <v>4</v>
          </cell>
          <cell r="M739">
            <v>4300</v>
          </cell>
          <cell r="N739">
            <v>1450</v>
          </cell>
          <cell r="R739">
            <v>17.2</v>
          </cell>
          <cell r="T739">
            <v>5.8</v>
          </cell>
          <cell r="V739">
            <v>23</v>
          </cell>
        </row>
        <row r="740">
          <cell r="D740">
            <v>5</v>
          </cell>
          <cell r="F740" t="str">
            <v>Se incorpora un segundo estanque  almacenamiento cloración de 25m3</v>
          </cell>
          <cell r="G740" t="str">
            <v>ton</v>
          </cell>
          <cell r="H740">
            <v>6</v>
          </cell>
          <cell r="M740">
            <v>4300</v>
          </cell>
          <cell r="N740">
            <v>1450</v>
          </cell>
          <cell r="R740">
            <v>25.8</v>
          </cell>
          <cell r="T740">
            <v>8.6999999999999993</v>
          </cell>
          <cell r="V740">
            <v>34.5</v>
          </cell>
        </row>
        <row r="741">
          <cell r="D741">
            <v>5</v>
          </cell>
          <cell r="F741" t="str">
            <v>Se incorpora un 3er reactor de lixiviación de 6.1 m3</v>
          </cell>
          <cell r="G741" t="str">
            <v>un</v>
          </cell>
          <cell r="H741">
            <v>1</v>
          </cell>
          <cell r="L741">
            <v>20000</v>
          </cell>
          <cell r="N741">
            <v>2000</v>
          </cell>
          <cell r="P741">
            <v>0</v>
          </cell>
          <cell r="Q741">
            <v>20</v>
          </cell>
          <cell r="R741">
            <v>0</v>
          </cell>
          <cell r="T741">
            <v>2</v>
          </cell>
          <cell r="V741">
            <v>22</v>
          </cell>
        </row>
        <row r="742">
          <cell r="D742">
            <v>5</v>
          </cell>
          <cell r="F742" t="str">
            <v>Se reemplaza filtro de prensa por uno de 4.5 tph</v>
          </cell>
          <cell r="G742" t="str">
            <v>un</v>
          </cell>
          <cell r="H742">
            <v>1</v>
          </cell>
          <cell r="L742">
            <v>20034</v>
          </cell>
          <cell r="N742">
            <v>2003</v>
          </cell>
          <cell r="P742">
            <v>0</v>
          </cell>
          <cell r="Q742">
            <v>20.033999999999999</v>
          </cell>
          <cell r="R742">
            <v>0</v>
          </cell>
          <cell r="T742">
            <v>2.0030000000000001</v>
          </cell>
          <cell r="V742">
            <v>22.036999999999999</v>
          </cell>
        </row>
        <row r="743">
          <cell r="D743">
            <v>5</v>
          </cell>
          <cell r="F743" t="str">
            <v>Aumento de capacidad de 5 a 10 tmph sist.secado transporte y envasado de conc.Mo</v>
          </cell>
          <cell r="G743" t="str">
            <v>un</v>
          </cell>
          <cell r="H743">
            <v>1</v>
          </cell>
          <cell r="L743">
            <v>30000</v>
          </cell>
          <cell r="N743">
            <v>3000</v>
          </cell>
          <cell r="P743">
            <v>0</v>
          </cell>
          <cell r="Q743">
            <v>30</v>
          </cell>
          <cell r="R743">
            <v>0</v>
          </cell>
          <cell r="T743">
            <v>3</v>
          </cell>
          <cell r="V743">
            <v>33</v>
          </cell>
        </row>
        <row r="744">
          <cell r="D744">
            <v>5</v>
          </cell>
          <cell r="F744" t="str">
            <v>Se reemplaza filtro actual de 3.6 tph por uno nuevo de 5.7 tph</v>
          </cell>
          <cell r="G744" t="str">
            <v>un</v>
          </cell>
          <cell r="H744">
            <v>1</v>
          </cell>
          <cell r="L744">
            <v>20000</v>
          </cell>
          <cell r="N744">
            <v>2000</v>
          </cell>
          <cell r="P744">
            <v>0</v>
          </cell>
          <cell r="Q744">
            <v>20</v>
          </cell>
          <cell r="R744">
            <v>0</v>
          </cell>
          <cell r="T744">
            <v>2</v>
          </cell>
          <cell r="V744">
            <v>22</v>
          </cell>
        </row>
        <row r="745">
          <cell r="D745">
            <v>5</v>
          </cell>
          <cell r="F745" t="str">
            <v>se incorpora 2° filtro de arena para solución tipo vessel de 1.0m de diámetro</v>
          </cell>
          <cell r="G745" t="str">
            <v>un</v>
          </cell>
          <cell r="H745">
            <v>1</v>
          </cell>
          <cell r="L745">
            <v>30079</v>
          </cell>
          <cell r="N745">
            <v>3008</v>
          </cell>
          <cell r="P745">
            <v>0</v>
          </cell>
          <cell r="Q745">
            <v>30.079000000000001</v>
          </cell>
          <cell r="R745">
            <v>0</v>
          </cell>
          <cell r="T745">
            <v>3.008</v>
          </cell>
          <cell r="V745">
            <v>33.087000000000003</v>
          </cell>
        </row>
        <row r="746">
          <cell r="E746" t="str">
            <v>PLANTA PLF</v>
          </cell>
          <cell r="P746">
            <v>0</v>
          </cell>
          <cell r="Q746">
            <v>120.113</v>
          </cell>
          <cell r="R746">
            <v>388.12000000000006</v>
          </cell>
          <cell r="S746">
            <v>0</v>
          </cell>
          <cell r="T746">
            <v>246.87805000000006</v>
          </cell>
          <cell r="V746">
            <v>755.11104999999998</v>
          </cell>
        </row>
        <row r="747">
          <cell r="E747" t="str">
            <v>PLANTA MOLIBDENO</v>
          </cell>
          <cell r="P747">
            <v>674.38850000000002</v>
          </cell>
          <cell r="Q747">
            <v>1090.1135000000002</v>
          </cell>
          <cell r="R747">
            <v>809.52</v>
          </cell>
          <cell r="S747">
            <v>0</v>
          </cell>
          <cell r="T747">
            <v>1934.3758500000001</v>
          </cell>
          <cell r="V747">
            <v>4508.3978499999994</v>
          </cell>
        </row>
        <row r="750">
          <cell r="E750" t="str">
            <v>Total: CONCENTRADOR</v>
          </cell>
          <cell r="P750">
            <v>8967.0030000000006</v>
          </cell>
          <cell r="Q750">
            <v>43484.066999999988</v>
          </cell>
          <cell r="R750">
            <v>10004.65</v>
          </cell>
          <cell r="S750">
            <v>12</v>
          </cell>
          <cell r="T750">
            <v>31359.419499999996</v>
          </cell>
          <cell r="V750">
            <v>93827.139500000005</v>
          </cell>
          <cell r="AA750" t="str">
            <v xml:space="preserve"> </v>
          </cell>
        </row>
        <row r="754">
          <cell r="E754" t="str">
            <v>MANEJO DE CONCENTRADOS</v>
          </cell>
        </row>
        <row r="758">
          <cell r="D758" t="str">
            <v>EXCAVACIONES Y RELLENOS</v>
          </cell>
        </row>
        <row r="759">
          <cell r="D759">
            <v>1</v>
          </cell>
          <cell r="F759" t="str">
            <v>Excavaciones</v>
          </cell>
          <cell r="G759" t="str">
            <v>m3</v>
          </cell>
          <cell r="H759">
            <v>300</v>
          </cell>
          <cell r="N759">
            <v>11</v>
          </cell>
          <cell r="P759">
            <v>0</v>
          </cell>
          <cell r="Q759">
            <v>0</v>
          </cell>
          <cell r="T759">
            <v>3.3</v>
          </cell>
          <cell r="V759">
            <v>3.3</v>
          </cell>
        </row>
        <row r="760">
          <cell r="D760" t="str">
            <v>HORMIGONES</v>
          </cell>
        </row>
        <row r="761">
          <cell r="D761">
            <v>2</v>
          </cell>
          <cell r="F761" t="str">
            <v xml:space="preserve">Hormigon armado   </v>
          </cell>
          <cell r="G761" t="str">
            <v>m3</v>
          </cell>
          <cell r="H761">
            <v>114.99999999999999</v>
          </cell>
          <cell r="N761">
            <v>503</v>
          </cell>
          <cell r="P761">
            <v>0</v>
          </cell>
          <cell r="Q761">
            <v>0</v>
          </cell>
          <cell r="T761">
            <v>57.844999999999992</v>
          </cell>
          <cell r="V761">
            <v>57.844999999999992</v>
          </cell>
        </row>
        <row r="762">
          <cell r="D762" t="str">
            <v>MECANICA</v>
          </cell>
        </row>
        <row r="763">
          <cell r="D763">
            <v>5</v>
          </cell>
          <cell r="F763" t="str">
            <v>Bomba descarga espes.concentr.de cobre tipo centrífuga horizontal 6"x4" 40HP</v>
          </cell>
          <cell r="G763" t="str">
            <v>un</v>
          </cell>
          <cell r="H763">
            <v>2</v>
          </cell>
          <cell r="L763">
            <v>12930</v>
          </cell>
          <cell r="N763">
            <v>1293</v>
          </cell>
          <cell r="P763">
            <v>0</v>
          </cell>
          <cell r="Q763">
            <v>25.86</v>
          </cell>
          <cell r="R763">
            <v>0</v>
          </cell>
          <cell r="T763">
            <v>2.5859999999999999</v>
          </cell>
          <cell r="V763">
            <v>28.445999999999998</v>
          </cell>
        </row>
        <row r="764">
          <cell r="D764">
            <v>5</v>
          </cell>
          <cell r="F764" t="str">
            <v>Espesador de concentrado de cobre 175 pies 25 HP</v>
          </cell>
          <cell r="G764" t="str">
            <v>un</v>
          </cell>
          <cell r="H764">
            <v>1</v>
          </cell>
          <cell r="L764">
            <v>477083</v>
          </cell>
          <cell r="N764">
            <v>47708</v>
          </cell>
          <cell r="P764">
            <v>238.54150000000001</v>
          </cell>
          <cell r="Q764">
            <v>238.54150000000001</v>
          </cell>
          <cell r="R764">
            <v>0</v>
          </cell>
          <cell r="T764">
            <v>47.707999999999998</v>
          </cell>
          <cell r="V764">
            <v>524.79100000000005</v>
          </cell>
        </row>
        <row r="765">
          <cell r="D765" t="str">
            <v>CAÑERIAS</v>
          </cell>
        </row>
        <row r="766">
          <cell r="D766">
            <v>6</v>
          </cell>
          <cell r="F766" t="str">
            <v>Global tuberías válvulas y fittings (se aplica 10% equipos mecànicos)</v>
          </cell>
          <cell r="G766" t="str">
            <v>gl</v>
          </cell>
          <cell r="H766">
            <v>1</v>
          </cell>
          <cell r="N766">
            <v>55324</v>
          </cell>
          <cell r="P766">
            <v>0</v>
          </cell>
          <cell r="Q766">
            <v>0</v>
          </cell>
          <cell r="R766">
            <v>0</v>
          </cell>
          <cell r="T766">
            <v>55.323999999999998</v>
          </cell>
          <cell r="V766">
            <v>55.323999999999998</v>
          </cell>
        </row>
        <row r="767">
          <cell r="D767" t="str">
            <v>ELECTRICIDAD</v>
          </cell>
        </row>
        <row r="768">
          <cell r="D768">
            <v>7</v>
          </cell>
          <cell r="F768" t="str">
            <v>Global equipos eléctricos (se aplica 31.3% equipos mecánicos)</v>
          </cell>
          <cell r="G768" t="str">
            <v>gl</v>
          </cell>
          <cell r="H768">
            <v>1</v>
          </cell>
          <cell r="N768">
            <v>173163</v>
          </cell>
          <cell r="P768">
            <v>0</v>
          </cell>
          <cell r="Q768">
            <v>0</v>
          </cell>
          <cell r="R768">
            <v>0</v>
          </cell>
          <cell r="T768">
            <v>173.16300000000001</v>
          </cell>
          <cell r="V768">
            <v>173.16300000000001</v>
          </cell>
        </row>
        <row r="769">
          <cell r="E769" t="str">
            <v>ESPESAMIENTO DE CONCENTRADO DE COBRE</v>
          </cell>
          <cell r="P769">
            <v>238.54150000000001</v>
          </cell>
          <cell r="Q769">
            <v>264.4015</v>
          </cell>
          <cell r="R769">
            <v>0</v>
          </cell>
          <cell r="S769">
            <v>0</v>
          </cell>
          <cell r="T769">
            <v>339.92599999999999</v>
          </cell>
          <cell r="V769">
            <v>842.86900000000003</v>
          </cell>
        </row>
        <row r="773">
          <cell r="D773" t="str">
            <v>OBRAS CIVILES GENERALES Incluidas en área 371</v>
          </cell>
        </row>
        <row r="774">
          <cell r="D774" t="str">
            <v>MECANICA</v>
          </cell>
        </row>
        <row r="775">
          <cell r="D775">
            <v>5</v>
          </cell>
          <cell r="F775" t="str">
            <v>Cajón distribución alimentación estanques de almacenamiento cap. Útil=9 m3</v>
          </cell>
          <cell r="G775" t="str">
            <v>ton</v>
          </cell>
          <cell r="H775">
            <v>5</v>
          </cell>
          <cell r="M775">
            <v>4300</v>
          </cell>
          <cell r="N775">
            <v>1450</v>
          </cell>
          <cell r="P775">
            <v>0</v>
          </cell>
          <cell r="Q775">
            <v>0</v>
          </cell>
          <cell r="R775">
            <v>21.5</v>
          </cell>
          <cell r="T775">
            <v>7.25</v>
          </cell>
          <cell r="V775">
            <v>28.75</v>
          </cell>
        </row>
        <row r="776">
          <cell r="D776">
            <v>5</v>
          </cell>
          <cell r="F776" t="str">
            <v>Estanque almacen.concentr.Cu-Mo con mecan agitador vol util=1.045 m3 75 HP</v>
          </cell>
          <cell r="G776" t="str">
            <v>ton</v>
          </cell>
          <cell r="H776">
            <v>180</v>
          </cell>
          <cell r="M776">
            <v>4300</v>
          </cell>
          <cell r="N776">
            <v>1450</v>
          </cell>
          <cell r="P776">
            <v>0</v>
          </cell>
          <cell r="Q776">
            <v>0</v>
          </cell>
          <cell r="R776">
            <v>774</v>
          </cell>
          <cell r="T776">
            <v>261</v>
          </cell>
          <cell r="V776">
            <v>1035</v>
          </cell>
        </row>
        <row r="777">
          <cell r="D777">
            <v>5</v>
          </cell>
          <cell r="F777" t="str">
            <v>Agitador 75 HP estanque de concentrado  de Cu-Mo 1050 m3</v>
          </cell>
          <cell r="G777" t="str">
            <v>ton</v>
          </cell>
          <cell r="H777">
            <v>4</v>
          </cell>
          <cell r="L777">
            <v>63200</v>
          </cell>
          <cell r="N777">
            <v>6320</v>
          </cell>
          <cell r="P777">
            <v>0</v>
          </cell>
          <cell r="Q777">
            <v>252.8</v>
          </cell>
          <cell r="R777">
            <v>0</v>
          </cell>
          <cell r="T777">
            <v>25.28</v>
          </cell>
          <cell r="V777">
            <v>278.08000000000004</v>
          </cell>
        </row>
        <row r="778">
          <cell r="D778" t="str">
            <v>CAÑERIAS</v>
          </cell>
        </row>
        <row r="779">
          <cell r="D779">
            <v>6</v>
          </cell>
          <cell r="F779" t="str">
            <v>Global tuberías válvulas y fittings (se aplica 10% equipos mecànicos)</v>
          </cell>
          <cell r="G779" t="str">
            <v>gl</v>
          </cell>
          <cell r="H779">
            <v>1</v>
          </cell>
          <cell r="N779">
            <v>134006</v>
          </cell>
          <cell r="P779">
            <v>0</v>
          </cell>
          <cell r="Q779">
            <v>0</v>
          </cell>
          <cell r="R779">
            <v>0</v>
          </cell>
          <cell r="T779">
            <v>134.006</v>
          </cell>
          <cell r="V779">
            <v>134.006</v>
          </cell>
        </row>
        <row r="780">
          <cell r="D780" t="str">
            <v>ELECTRICIDAD</v>
          </cell>
        </row>
        <row r="781">
          <cell r="D781">
            <v>7</v>
          </cell>
          <cell r="F781" t="str">
            <v>Global equipos eléctricos (se aplica 31.3% equipos mecánicos)</v>
          </cell>
          <cell r="G781" t="str">
            <v>gl</v>
          </cell>
          <cell r="H781">
            <v>1</v>
          </cell>
          <cell r="N781">
            <v>419438</v>
          </cell>
          <cell r="P781">
            <v>0</v>
          </cell>
          <cell r="Q781">
            <v>0</v>
          </cell>
          <cell r="R781">
            <v>0</v>
          </cell>
          <cell r="T781">
            <v>419.43799999999999</v>
          </cell>
          <cell r="V781">
            <v>419.43799999999999</v>
          </cell>
        </row>
        <row r="782">
          <cell r="E782" t="str">
            <v>SISTEMA DE CABEZA STC</v>
          </cell>
          <cell r="P782">
            <v>0</v>
          </cell>
          <cell r="Q782">
            <v>252.8</v>
          </cell>
          <cell r="R782">
            <v>795.5</v>
          </cell>
          <cell r="S782">
            <v>0</v>
          </cell>
          <cell r="T782">
            <v>846.97399999999993</v>
          </cell>
          <cell r="V782">
            <v>1895.2739999999999</v>
          </cell>
        </row>
        <row r="786">
          <cell r="D786" t="str">
            <v>OBRAS CIVILES GENERALES Incluidas en área 371</v>
          </cell>
        </row>
        <row r="787">
          <cell r="D787" t="str">
            <v>MECANICA</v>
          </cell>
        </row>
        <row r="788">
          <cell r="D788">
            <v>5</v>
          </cell>
          <cell r="F788" t="str">
            <v>Válvula de bola Mogas 8" estaciones disipadoras Ansi 1500</v>
          </cell>
          <cell r="G788" t="str">
            <v>un</v>
          </cell>
          <cell r="H788">
            <v>6</v>
          </cell>
          <cell r="L788">
            <v>64209</v>
          </cell>
          <cell r="N788">
            <v>6421</v>
          </cell>
          <cell r="P788">
            <v>0</v>
          </cell>
          <cell r="Q788">
            <v>385.25400000000002</v>
          </cell>
          <cell r="R788">
            <v>0</v>
          </cell>
          <cell r="T788">
            <v>38.526000000000003</v>
          </cell>
          <cell r="V788">
            <v>423.78000000000003</v>
          </cell>
        </row>
        <row r="789">
          <cell r="D789">
            <v>5</v>
          </cell>
          <cell r="F789" t="str">
            <v>Piezas especiales estaciones disipadoras</v>
          </cell>
          <cell r="G789" t="str">
            <v>un</v>
          </cell>
          <cell r="H789">
            <v>12</v>
          </cell>
          <cell r="L789">
            <v>7000</v>
          </cell>
          <cell r="N789">
            <v>3000</v>
          </cell>
          <cell r="P789">
            <v>84</v>
          </cell>
          <cell r="Q789">
            <v>0</v>
          </cell>
          <cell r="R789">
            <v>0</v>
          </cell>
          <cell r="T789">
            <v>36</v>
          </cell>
          <cell r="V789">
            <v>120</v>
          </cell>
        </row>
        <row r="790">
          <cell r="D790">
            <v>5</v>
          </cell>
          <cell r="F790" t="str">
            <v>Anillos cerámicos 8" estaciones disipadoras</v>
          </cell>
          <cell r="G790" t="str">
            <v>un</v>
          </cell>
          <cell r="H790">
            <v>7</v>
          </cell>
          <cell r="L790">
            <v>2500</v>
          </cell>
          <cell r="N790">
            <v>250</v>
          </cell>
          <cell r="P790">
            <v>0</v>
          </cell>
          <cell r="Q790">
            <v>17.5</v>
          </cell>
          <cell r="T790">
            <v>1.75</v>
          </cell>
          <cell r="V790">
            <v>19.25</v>
          </cell>
        </row>
        <row r="791">
          <cell r="D791" t="str">
            <v>CAÑERIAS</v>
          </cell>
        </row>
        <row r="792">
          <cell r="D792">
            <v>6</v>
          </cell>
          <cell r="F792" t="str">
            <v>Global tuberías válvulas y fittings (se aplica 10% equipos mecànicos)</v>
          </cell>
          <cell r="G792" t="str">
            <v>gl</v>
          </cell>
          <cell r="H792">
            <v>1</v>
          </cell>
          <cell r="N792">
            <v>56303</v>
          </cell>
          <cell r="P792">
            <v>0</v>
          </cell>
          <cell r="Q792">
            <v>0</v>
          </cell>
          <cell r="R792">
            <v>0</v>
          </cell>
          <cell r="T792">
            <v>56.302999999999997</v>
          </cell>
          <cell r="V792">
            <v>56.302999999999997</v>
          </cell>
        </row>
        <row r="793">
          <cell r="D793" t="str">
            <v>ELECTRICIDAD</v>
          </cell>
        </row>
        <row r="794">
          <cell r="D794">
            <v>7</v>
          </cell>
          <cell r="F794" t="str">
            <v>Global equipos eléctricos (se aplica 31.3% equipos mecánicos)</v>
          </cell>
          <cell r="G794" t="str">
            <v>gl</v>
          </cell>
          <cell r="H794">
            <v>1</v>
          </cell>
          <cell r="N794">
            <v>176228</v>
          </cell>
          <cell r="P794">
            <v>0</v>
          </cell>
          <cell r="Q794">
            <v>0</v>
          </cell>
          <cell r="R794">
            <v>0</v>
          </cell>
          <cell r="T794">
            <v>176.22800000000001</v>
          </cell>
          <cell r="V794">
            <v>176.22800000000001</v>
          </cell>
        </row>
        <row r="795">
          <cell r="E795" t="str">
            <v>SISTEMA DE TRANSPORTE DE CONCENTRADO</v>
          </cell>
          <cell r="P795">
            <v>84</v>
          </cell>
          <cell r="Q795">
            <v>402.75400000000002</v>
          </cell>
          <cell r="R795">
            <v>0</v>
          </cell>
          <cell r="S795">
            <v>0</v>
          </cell>
          <cell r="T795">
            <v>308.80700000000002</v>
          </cell>
          <cell r="V795">
            <v>795.56099999999992</v>
          </cell>
        </row>
        <row r="799">
          <cell r="D799" t="str">
            <v>EXCAVACIONES Y RELLENOS</v>
          </cell>
        </row>
        <row r="800">
          <cell r="D800">
            <v>1</v>
          </cell>
          <cell r="F800" t="str">
            <v>Excavaciones</v>
          </cell>
          <cell r="G800" t="str">
            <v>m3</v>
          </cell>
          <cell r="H800">
            <v>240</v>
          </cell>
          <cell r="N800">
            <v>11</v>
          </cell>
          <cell r="P800">
            <v>0</v>
          </cell>
          <cell r="Q800">
            <v>0</v>
          </cell>
          <cell r="T800">
            <v>2.64</v>
          </cell>
          <cell r="V800">
            <v>2.64</v>
          </cell>
        </row>
        <row r="801">
          <cell r="D801" t="str">
            <v>HORMIGONES</v>
          </cell>
        </row>
        <row r="802">
          <cell r="D802">
            <v>2</v>
          </cell>
          <cell r="F802" t="str">
            <v xml:space="preserve">Hormigon armado        </v>
          </cell>
          <cell r="G802" t="str">
            <v>m3</v>
          </cell>
          <cell r="H802">
            <v>1035</v>
          </cell>
          <cell r="N802">
            <v>503</v>
          </cell>
          <cell r="P802">
            <v>0</v>
          </cell>
          <cell r="Q802">
            <v>0</v>
          </cell>
          <cell r="T802">
            <v>520.60500000000002</v>
          </cell>
          <cell r="V802">
            <v>520.60500000000002</v>
          </cell>
        </row>
        <row r="803">
          <cell r="D803">
            <v>2</v>
          </cell>
          <cell r="F803" t="str">
            <v>Piscina de agua 1500 m3</v>
          </cell>
          <cell r="G803" t="str">
            <v>m3</v>
          </cell>
          <cell r="H803">
            <v>287.5</v>
          </cell>
          <cell r="N803">
            <v>700</v>
          </cell>
          <cell r="P803">
            <v>0</v>
          </cell>
          <cell r="Q803">
            <v>0</v>
          </cell>
          <cell r="T803">
            <v>201.25</v>
          </cell>
          <cell r="V803">
            <v>201.25</v>
          </cell>
        </row>
        <row r="804">
          <cell r="D804">
            <v>2</v>
          </cell>
          <cell r="F804" t="str">
            <v>Piscina interceptora de derrames 5m3</v>
          </cell>
          <cell r="G804" t="str">
            <v>un</v>
          </cell>
          <cell r="H804">
            <v>1</v>
          </cell>
          <cell r="N804">
            <v>5000</v>
          </cell>
          <cell r="T804">
            <v>5</v>
          </cell>
          <cell r="V804">
            <v>5</v>
          </cell>
        </row>
        <row r="805">
          <cell r="D805" t="str">
            <v>ESTRUCTURAS METALICAS</v>
          </cell>
        </row>
        <row r="806">
          <cell r="D806">
            <v>3</v>
          </cell>
          <cell r="F806" t="str">
            <v>Estructuras metálicas</v>
          </cell>
          <cell r="G806" t="str">
            <v>ton</v>
          </cell>
          <cell r="H806">
            <v>92</v>
          </cell>
          <cell r="M806">
            <v>1900</v>
          </cell>
          <cell r="N806">
            <v>870</v>
          </cell>
          <cell r="P806">
            <v>0</v>
          </cell>
          <cell r="Q806">
            <v>0</v>
          </cell>
          <cell r="R806">
            <v>174.8</v>
          </cell>
          <cell r="T806">
            <v>80.040000000000006</v>
          </cell>
          <cell r="V806">
            <v>254.84000000000003</v>
          </cell>
        </row>
        <row r="807">
          <cell r="D807" t="str">
            <v>CONSTRUCCIONES VARIAS</v>
          </cell>
        </row>
        <row r="808">
          <cell r="D808">
            <v>4</v>
          </cell>
          <cell r="F808" t="str">
            <v>Sala eléctrica</v>
          </cell>
          <cell r="G808" t="str">
            <v>un</v>
          </cell>
          <cell r="H808">
            <v>1</v>
          </cell>
          <cell r="N808">
            <v>100000</v>
          </cell>
          <cell r="P808">
            <v>0</v>
          </cell>
          <cell r="Q808">
            <v>0</v>
          </cell>
          <cell r="T808">
            <v>100</v>
          </cell>
          <cell r="V808">
            <v>100</v>
          </cell>
        </row>
        <row r="809">
          <cell r="D809">
            <v>1</v>
          </cell>
          <cell r="F809" t="str">
            <v>Edificio 36X19m             Bombas estación intermedia</v>
          </cell>
          <cell r="G809" t="str">
            <v>m2</v>
          </cell>
          <cell r="H809">
            <v>820.8</v>
          </cell>
          <cell r="N809">
            <v>400</v>
          </cell>
          <cell r="P809">
            <v>0</v>
          </cell>
          <cell r="Q809">
            <v>0</v>
          </cell>
          <cell r="T809">
            <v>328.32</v>
          </cell>
          <cell r="V809">
            <v>328.32</v>
          </cell>
        </row>
        <row r="810">
          <cell r="D810" t="str">
            <v>MECANICA</v>
          </cell>
        </row>
        <row r="811">
          <cell r="D811">
            <v>5</v>
          </cell>
          <cell r="F811" t="str">
            <v>Estanque alma.concentr.Cu-Mo con mecan.agitador Vol.útil=1.045 m3 75 HP</v>
          </cell>
          <cell r="G811" t="str">
            <v>ton</v>
          </cell>
          <cell r="H811">
            <v>45</v>
          </cell>
          <cell r="M811">
            <v>4300</v>
          </cell>
          <cell r="N811">
            <v>1450</v>
          </cell>
          <cell r="P811">
            <v>0</v>
          </cell>
          <cell r="Q811">
            <v>0</v>
          </cell>
          <cell r="R811">
            <v>193.5</v>
          </cell>
          <cell r="T811">
            <v>65.25</v>
          </cell>
          <cell r="V811">
            <v>258.75</v>
          </cell>
        </row>
        <row r="812">
          <cell r="D812">
            <v>5</v>
          </cell>
          <cell r="F812" t="str">
            <v>Agitador 75 HP estanque de concentrado  de Cu-Mo 1050 m3</v>
          </cell>
          <cell r="G812" t="str">
            <v>un</v>
          </cell>
          <cell r="H812">
            <v>1</v>
          </cell>
          <cell r="L812">
            <v>63200</v>
          </cell>
          <cell r="N812">
            <v>6320</v>
          </cell>
          <cell r="P812">
            <v>0</v>
          </cell>
          <cell r="Q812">
            <v>63.2</v>
          </cell>
          <cell r="R812">
            <v>0</v>
          </cell>
          <cell r="T812">
            <v>6.32</v>
          </cell>
          <cell r="V812">
            <v>69.52000000000001</v>
          </cell>
        </row>
        <row r="813">
          <cell r="D813">
            <v>5</v>
          </cell>
          <cell r="F813" t="str">
            <v>Bomba de carga tipo centrífuga horizontal 4"x3" 120 HP</v>
          </cell>
          <cell r="G813" t="str">
            <v>un</v>
          </cell>
          <cell r="H813">
            <v>1</v>
          </cell>
          <cell r="L813">
            <v>58000</v>
          </cell>
          <cell r="N813">
            <v>5800</v>
          </cell>
          <cell r="P813">
            <v>0</v>
          </cell>
          <cell r="Q813">
            <v>58</v>
          </cell>
          <cell r="R813">
            <v>0</v>
          </cell>
          <cell r="T813">
            <v>5.8</v>
          </cell>
          <cell r="V813">
            <v>63.8</v>
          </cell>
        </row>
        <row r="814">
          <cell r="D814">
            <v>5</v>
          </cell>
          <cell r="F814" t="str">
            <v>Bomba impulsión de concentrado tipo piston diafragma 1100HP</v>
          </cell>
          <cell r="G814" t="str">
            <v>un</v>
          </cell>
          <cell r="H814">
            <v>2</v>
          </cell>
          <cell r="L814">
            <v>1342194</v>
          </cell>
          <cell r="N814">
            <v>46918</v>
          </cell>
          <cell r="P814">
            <v>0</v>
          </cell>
          <cell r="Q814">
            <v>2684.3879999999999</v>
          </cell>
          <cell r="R814">
            <v>0</v>
          </cell>
          <cell r="T814">
            <v>93.835999999999999</v>
          </cell>
          <cell r="V814">
            <v>2778.2239999999997</v>
          </cell>
        </row>
        <row r="815">
          <cell r="D815" t="str">
            <v>CAÑERIAS</v>
          </cell>
        </row>
        <row r="816">
          <cell r="D816">
            <v>6</v>
          </cell>
          <cell r="F816" t="str">
            <v>Global tuberías válvulas y fittings</v>
          </cell>
          <cell r="G816" t="str">
            <v>gl</v>
          </cell>
          <cell r="H816">
            <v>1</v>
          </cell>
          <cell r="N816">
            <v>220000</v>
          </cell>
          <cell r="P816">
            <v>0</v>
          </cell>
          <cell r="Q816">
            <v>0</v>
          </cell>
          <cell r="R816">
            <v>0</v>
          </cell>
          <cell r="T816">
            <v>220</v>
          </cell>
          <cell r="V816">
            <v>220</v>
          </cell>
        </row>
        <row r="817">
          <cell r="D817" t="str">
            <v>ELECTRICIDAD</v>
          </cell>
        </row>
        <row r="818">
          <cell r="D818">
            <v>7</v>
          </cell>
          <cell r="F818" t="str">
            <v>Linea aerea distribución 23 Kv</v>
          </cell>
          <cell r="G818" t="str">
            <v>Km</v>
          </cell>
          <cell r="H818">
            <v>20</v>
          </cell>
          <cell r="M818">
            <v>60000</v>
          </cell>
          <cell r="N818">
            <v>31180</v>
          </cell>
          <cell r="P818">
            <v>0</v>
          </cell>
          <cell r="Q818">
            <v>0</v>
          </cell>
          <cell r="R818">
            <v>1200</v>
          </cell>
          <cell r="T818">
            <v>623.6</v>
          </cell>
          <cell r="V818">
            <v>1823.6</v>
          </cell>
        </row>
        <row r="819">
          <cell r="D819">
            <v>7</v>
          </cell>
          <cell r="F819" t="str">
            <v>Cable de protección a tierra aéreo</v>
          </cell>
          <cell r="G819" t="str">
            <v>un</v>
          </cell>
          <cell r="H819">
            <v>20</v>
          </cell>
          <cell r="L819">
            <v>3750</v>
          </cell>
          <cell r="N819">
            <v>3600</v>
          </cell>
          <cell r="P819">
            <v>75</v>
          </cell>
          <cell r="T819">
            <v>72</v>
          </cell>
          <cell r="V819">
            <v>147</v>
          </cell>
        </row>
        <row r="820">
          <cell r="D820">
            <v>7</v>
          </cell>
          <cell r="F820" t="str">
            <v>Subestación unitaria de 2.0 a 2.3 MVA 23,0 /3,45 Kv</v>
          </cell>
          <cell r="G820" t="str">
            <v>un</v>
          </cell>
          <cell r="H820">
            <v>2</v>
          </cell>
          <cell r="L820">
            <v>347500</v>
          </cell>
          <cell r="N820">
            <v>25000</v>
          </cell>
          <cell r="P820">
            <v>695</v>
          </cell>
          <cell r="T820">
            <v>50</v>
          </cell>
          <cell r="V820">
            <v>745</v>
          </cell>
        </row>
        <row r="821">
          <cell r="D821">
            <v>7</v>
          </cell>
          <cell r="F821" t="str">
            <v>Pararrayos para línea aérea de 23 Kv</v>
          </cell>
          <cell r="G821" t="str">
            <v>un</v>
          </cell>
          <cell r="H821">
            <v>3</v>
          </cell>
          <cell r="L821">
            <v>18600</v>
          </cell>
          <cell r="N821">
            <v>1800</v>
          </cell>
          <cell r="P821">
            <v>0</v>
          </cell>
          <cell r="Q821">
            <v>55.8</v>
          </cell>
          <cell r="T821">
            <v>5.4</v>
          </cell>
          <cell r="V821">
            <v>61.199999999999996</v>
          </cell>
        </row>
        <row r="822">
          <cell r="D822">
            <v>7</v>
          </cell>
          <cell r="F822" t="str">
            <v>Seccionadores montados en poste 33 Kv, 600A, 40 KA</v>
          </cell>
          <cell r="G822" t="str">
            <v>un</v>
          </cell>
          <cell r="H822">
            <v>3</v>
          </cell>
          <cell r="L822">
            <v>1320</v>
          </cell>
          <cell r="N822">
            <v>2700</v>
          </cell>
          <cell r="P822">
            <v>0</v>
          </cell>
          <cell r="Q822">
            <v>3.96</v>
          </cell>
          <cell r="T822">
            <v>8.1</v>
          </cell>
          <cell r="V822">
            <v>12.059999999999999</v>
          </cell>
        </row>
        <row r="823">
          <cell r="D823">
            <v>7</v>
          </cell>
          <cell r="F823" t="str">
            <v>Distribución de electricidad 5% equipos eléctricos</v>
          </cell>
          <cell r="G823" t="str">
            <v>gl</v>
          </cell>
          <cell r="H823">
            <v>1</v>
          </cell>
          <cell r="N823">
            <v>18559</v>
          </cell>
          <cell r="T823">
            <v>18.559000000000001</v>
          </cell>
          <cell r="V823">
            <v>18.559000000000001</v>
          </cell>
        </row>
        <row r="824">
          <cell r="D824" t="str">
            <v>INSTRUMENTACION</v>
          </cell>
        </row>
        <row r="825">
          <cell r="D825">
            <v>8</v>
          </cell>
          <cell r="F825" t="str">
            <v>Global instrumentos (se aplica 5% equipos mecánicos)</v>
          </cell>
          <cell r="G825" t="str">
            <v>gl</v>
          </cell>
          <cell r="H825">
            <v>1</v>
          </cell>
          <cell r="N825">
            <v>158515</v>
          </cell>
          <cell r="P825">
            <v>0</v>
          </cell>
          <cell r="Q825">
            <v>0</v>
          </cell>
          <cell r="R825">
            <v>0</v>
          </cell>
          <cell r="T825">
            <v>158.51499999999999</v>
          </cell>
          <cell r="V825">
            <v>158.51499999999999</v>
          </cell>
        </row>
        <row r="826">
          <cell r="E826" t="str">
            <v>ESTACION DE BOMBEO INTERMEDIA</v>
          </cell>
          <cell r="P826">
            <v>770</v>
          </cell>
          <cell r="Q826">
            <v>2865.348</v>
          </cell>
          <cell r="R826">
            <v>1568.3</v>
          </cell>
          <cell r="S826">
            <v>0</v>
          </cell>
          <cell r="T826">
            <v>2565.2350000000001</v>
          </cell>
          <cell r="V826">
            <v>7768.8829999999998</v>
          </cell>
        </row>
        <row r="827">
          <cell r="E827" t="str">
            <v>BOMBEO CONCENTRADUCTO</v>
          </cell>
          <cell r="P827">
            <v>1092.5415</v>
          </cell>
          <cell r="Q827">
            <v>3785.3035</v>
          </cell>
          <cell r="R827">
            <v>2363.8000000000002</v>
          </cell>
          <cell r="S827">
            <v>0</v>
          </cell>
          <cell r="T827">
            <v>4060.942</v>
          </cell>
          <cell r="V827">
            <v>11302.587</v>
          </cell>
        </row>
        <row r="831">
          <cell r="D831" t="str">
            <v>OBRAS CIVILES GENERALES</v>
          </cell>
        </row>
        <row r="832">
          <cell r="D832">
            <v>4</v>
          </cell>
          <cell r="F832" t="str">
            <v>Gobal 20% equipos mecánicos</v>
          </cell>
          <cell r="G832" t="str">
            <v>gl</v>
          </cell>
          <cell r="H832">
            <v>1</v>
          </cell>
          <cell r="N832">
            <v>329969</v>
          </cell>
          <cell r="P832">
            <v>0</v>
          </cell>
          <cell r="Q832">
            <v>0</v>
          </cell>
          <cell r="T832">
            <v>329.96899999999999</v>
          </cell>
          <cell r="V832">
            <v>329.96899999999999</v>
          </cell>
        </row>
        <row r="833">
          <cell r="D833" t="str">
            <v>MECANICA</v>
          </cell>
        </row>
        <row r="834">
          <cell r="D834">
            <v>5</v>
          </cell>
          <cell r="F834" t="str">
            <v>Silo de cal viva de 1100 m3</v>
          </cell>
          <cell r="G834" t="str">
            <v>ton</v>
          </cell>
          <cell r="H834">
            <v>130</v>
          </cell>
          <cell r="M834">
            <v>4300</v>
          </cell>
          <cell r="N834">
            <v>1450</v>
          </cell>
          <cell r="P834">
            <v>0</v>
          </cell>
          <cell r="Q834">
            <v>0</v>
          </cell>
          <cell r="R834">
            <v>0</v>
          </cell>
          <cell r="S834">
            <v>559</v>
          </cell>
          <cell r="T834">
            <v>188.5</v>
          </cell>
          <cell r="V834">
            <v>747.5</v>
          </cell>
        </row>
        <row r="835">
          <cell r="D835">
            <v>5</v>
          </cell>
          <cell r="F835" t="str">
            <v>Tornillo de 5.7 tph 9" de diámetro x 7.5 m largo, con motor 5 HP</v>
          </cell>
          <cell r="G835" t="str">
            <v>un</v>
          </cell>
          <cell r="H835">
            <v>1</v>
          </cell>
          <cell r="L835">
            <v>15582</v>
          </cell>
          <cell r="N835">
            <v>1558</v>
          </cell>
          <cell r="P835">
            <v>0</v>
          </cell>
          <cell r="Q835">
            <v>15.582000000000001</v>
          </cell>
          <cell r="R835">
            <v>0</v>
          </cell>
          <cell r="T835">
            <v>1.5580000000000001</v>
          </cell>
          <cell r="V835">
            <v>17.14</v>
          </cell>
        </row>
        <row r="836">
          <cell r="D836">
            <v>5</v>
          </cell>
          <cell r="F836" t="str">
            <v>Molino vertical de 6.4 tph con motor de 50 HP</v>
          </cell>
          <cell r="G836" t="str">
            <v>un</v>
          </cell>
          <cell r="H836">
            <v>1</v>
          </cell>
          <cell r="L836">
            <v>239697</v>
          </cell>
          <cell r="N836">
            <v>23970</v>
          </cell>
          <cell r="P836">
            <v>0</v>
          </cell>
          <cell r="Q836">
            <v>239.697</v>
          </cell>
          <cell r="R836">
            <v>0</v>
          </cell>
          <cell r="T836">
            <v>23.97</v>
          </cell>
          <cell r="V836">
            <v>263.66700000000003</v>
          </cell>
        </row>
        <row r="837">
          <cell r="D837">
            <v>5</v>
          </cell>
          <cell r="F837" t="str">
            <v>Estanque de almacenamiento 515 m3 de capacidad</v>
          </cell>
          <cell r="G837" t="str">
            <v>ton</v>
          </cell>
          <cell r="H837">
            <v>63</v>
          </cell>
          <cell r="M837">
            <v>4300</v>
          </cell>
          <cell r="N837">
            <v>1450</v>
          </cell>
          <cell r="P837">
            <v>0</v>
          </cell>
          <cell r="Q837">
            <v>0</v>
          </cell>
          <cell r="R837">
            <v>270.89999999999998</v>
          </cell>
          <cell r="T837">
            <v>91.35</v>
          </cell>
          <cell r="V837">
            <v>362.25</v>
          </cell>
        </row>
        <row r="838">
          <cell r="D838">
            <v>5</v>
          </cell>
          <cell r="F838" t="str">
            <v>Estanque de distribución de 22m3</v>
          </cell>
          <cell r="G838" t="str">
            <v>ton</v>
          </cell>
          <cell r="H838">
            <v>6.2</v>
          </cell>
          <cell r="M838">
            <v>4300</v>
          </cell>
          <cell r="N838">
            <v>1450</v>
          </cell>
          <cell r="P838">
            <v>0</v>
          </cell>
          <cell r="Q838">
            <v>0</v>
          </cell>
          <cell r="R838">
            <v>26.66</v>
          </cell>
          <cell r="T838">
            <v>8.99</v>
          </cell>
          <cell r="V838">
            <v>35.65</v>
          </cell>
        </row>
        <row r="839">
          <cell r="D839">
            <v>5</v>
          </cell>
          <cell r="F839" t="str">
            <v>Estanque de almacenamiento de espumante Teb de 130 m3</v>
          </cell>
          <cell r="G839" t="str">
            <v>un</v>
          </cell>
          <cell r="H839">
            <v>1</v>
          </cell>
          <cell r="N839">
            <v>49820</v>
          </cell>
          <cell r="P839">
            <v>0</v>
          </cell>
          <cell r="Q839">
            <v>0</v>
          </cell>
          <cell r="R839">
            <v>0</v>
          </cell>
          <cell r="T839">
            <v>49.82</v>
          </cell>
          <cell r="V839">
            <v>49.82</v>
          </cell>
        </row>
        <row r="840">
          <cell r="D840">
            <v>5</v>
          </cell>
          <cell r="F840" t="str">
            <v>Estanque de 75 m3 almacenamiento de colector A404</v>
          </cell>
          <cell r="G840" t="str">
            <v>un</v>
          </cell>
          <cell r="H840">
            <v>1</v>
          </cell>
          <cell r="N840">
            <v>26500</v>
          </cell>
          <cell r="P840">
            <v>0</v>
          </cell>
          <cell r="T840">
            <v>26.5</v>
          </cell>
          <cell r="V840">
            <v>26.5</v>
          </cell>
        </row>
        <row r="841">
          <cell r="D841">
            <v>5</v>
          </cell>
          <cell r="F841" t="str">
            <v>Unidad automática de preparación de fluctuante Kg/d incl.estanque</v>
          </cell>
          <cell r="G841" t="str">
            <v>un</v>
          </cell>
          <cell r="H841">
            <v>1</v>
          </cell>
          <cell r="L841">
            <v>40000</v>
          </cell>
          <cell r="P841">
            <v>0</v>
          </cell>
          <cell r="Q841">
            <v>40</v>
          </cell>
          <cell r="T841">
            <v>0</v>
          </cell>
          <cell r="V841">
            <v>40</v>
          </cell>
        </row>
        <row r="842">
          <cell r="D842">
            <v>5</v>
          </cell>
          <cell r="F842" t="str">
            <v>Bombas equipos y otros</v>
          </cell>
          <cell r="G842" t="str">
            <v>gl</v>
          </cell>
          <cell r="H842">
            <v>1</v>
          </cell>
          <cell r="L842">
            <v>100000</v>
          </cell>
          <cell r="N842">
            <v>10000</v>
          </cell>
          <cell r="P842">
            <v>100</v>
          </cell>
          <cell r="T842">
            <v>10</v>
          </cell>
          <cell r="V842">
            <v>110</v>
          </cell>
        </row>
        <row r="843">
          <cell r="D843" t="str">
            <v>CAÑERIAS</v>
          </cell>
        </row>
        <row r="844">
          <cell r="D844">
            <v>6</v>
          </cell>
          <cell r="F844" t="str">
            <v>Global tuberías válvulas y fittings (se aplica 23% equipos mecànicos)</v>
          </cell>
          <cell r="G844" t="str">
            <v>gl</v>
          </cell>
          <cell r="H844">
            <v>1</v>
          </cell>
          <cell r="N844">
            <v>1319874</v>
          </cell>
          <cell r="P844">
            <v>0</v>
          </cell>
          <cell r="Q844">
            <v>0</v>
          </cell>
          <cell r="R844">
            <v>0</v>
          </cell>
          <cell r="T844">
            <v>1319.874</v>
          </cell>
          <cell r="V844">
            <v>1319.874</v>
          </cell>
        </row>
        <row r="845">
          <cell r="D845" t="str">
            <v>ELECTRICIDAD</v>
          </cell>
        </row>
        <row r="846">
          <cell r="D846">
            <v>7</v>
          </cell>
          <cell r="F846" t="str">
            <v>Global equipos eléctricos (se aplica 14% equipos mecánicos)</v>
          </cell>
          <cell r="G846" t="str">
            <v>gl</v>
          </cell>
          <cell r="H846">
            <v>1</v>
          </cell>
          <cell r="N846">
            <v>659937</v>
          </cell>
          <cell r="P846">
            <v>0</v>
          </cell>
          <cell r="Q846">
            <v>0</v>
          </cell>
          <cell r="R846">
            <v>0</v>
          </cell>
          <cell r="T846">
            <v>659.93700000000001</v>
          </cell>
          <cell r="V846">
            <v>659.93700000000001</v>
          </cell>
        </row>
        <row r="847">
          <cell r="D847" t="str">
            <v>INSTRUMENTACION</v>
          </cell>
        </row>
        <row r="848">
          <cell r="D848">
            <v>8</v>
          </cell>
          <cell r="F848" t="str">
            <v>Global instrumentos (se aplica 5% equipos mecánicos)</v>
          </cell>
          <cell r="G848" t="str">
            <v>gl</v>
          </cell>
          <cell r="H848">
            <v>1</v>
          </cell>
          <cell r="N848">
            <v>329969</v>
          </cell>
          <cell r="P848">
            <v>0</v>
          </cell>
          <cell r="Q848">
            <v>0</v>
          </cell>
          <cell r="R848">
            <v>0</v>
          </cell>
          <cell r="T848">
            <v>329.96899999999999</v>
          </cell>
          <cell r="V848">
            <v>329.96899999999999</v>
          </cell>
        </row>
        <row r="849">
          <cell r="E849" t="str">
            <v>INSTALACIONES DE REACTIVOS</v>
          </cell>
          <cell r="P849">
            <v>100</v>
          </cell>
          <cell r="Q849">
            <v>295.279</v>
          </cell>
          <cell r="R849">
            <v>297.56</v>
          </cell>
          <cell r="S849">
            <v>559</v>
          </cell>
          <cell r="T849">
            <v>3040.4369999999999</v>
          </cell>
          <cell r="V849">
            <v>4292.2759999999998</v>
          </cell>
        </row>
        <row r="852">
          <cell r="E852" t="str">
            <v>Total: MANEJO DE CONCENTRADOS</v>
          </cell>
          <cell r="P852">
            <v>1192.5415</v>
          </cell>
          <cell r="Q852">
            <v>4080.5825</v>
          </cell>
          <cell r="R852">
            <v>2661.36</v>
          </cell>
          <cell r="S852">
            <v>559</v>
          </cell>
          <cell r="T852">
            <v>7101.3789999999999</v>
          </cell>
          <cell r="V852">
            <v>15594.862999999999</v>
          </cell>
          <cell r="AA852" t="str">
            <v xml:space="preserve"> </v>
          </cell>
        </row>
        <row r="859">
          <cell r="D859" t="str">
            <v>EXCAVACIONES Y RELLENOS</v>
          </cell>
        </row>
        <row r="860">
          <cell r="D860">
            <v>1</v>
          </cell>
          <cell r="F860" t="str">
            <v>Excavaciones</v>
          </cell>
          <cell r="G860" t="str">
            <v>m3</v>
          </cell>
          <cell r="H860">
            <v>109850.4</v>
          </cell>
          <cell r="N860">
            <v>11</v>
          </cell>
          <cell r="P860">
            <v>0</v>
          </cell>
          <cell r="Q860">
            <v>0</v>
          </cell>
          <cell r="T860">
            <v>1208.3543999999999</v>
          </cell>
          <cell r="V860">
            <v>1208.3543999999999</v>
          </cell>
        </row>
        <row r="861">
          <cell r="D861">
            <v>1</v>
          </cell>
          <cell r="F861" t="str">
            <v>Excavaciones                    estanque de rebose</v>
          </cell>
          <cell r="G861" t="str">
            <v>m3</v>
          </cell>
          <cell r="H861">
            <v>902.4</v>
          </cell>
          <cell r="N861">
            <v>11</v>
          </cell>
          <cell r="P861">
            <v>0</v>
          </cell>
          <cell r="Q861">
            <v>0</v>
          </cell>
          <cell r="T861">
            <v>9.9263999999999992</v>
          </cell>
          <cell r="V861">
            <v>9.9263999999999992</v>
          </cell>
        </row>
        <row r="862">
          <cell r="D862">
            <v>1</v>
          </cell>
          <cell r="F862" t="str">
            <v>Excavaciones                    alimentación ciclones</v>
          </cell>
          <cell r="G862" t="str">
            <v>m3</v>
          </cell>
          <cell r="H862">
            <v>324.45</v>
          </cell>
          <cell r="N862">
            <v>11</v>
          </cell>
          <cell r="P862">
            <v>0</v>
          </cell>
          <cell r="Q862">
            <v>0</v>
          </cell>
          <cell r="T862">
            <v>3.5689499999999996</v>
          </cell>
          <cell r="V862">
            <v>3.5689499999999996</v>
          </cell>
        </row>
        <row r="863">
          <cell r="D863">
            <v>1</v>
          </cell>
          <cell r="F863" t="str">
            <v>Relleno compactado</v>
          </cell>
          <cell r="G863" t="str">
            <v>m3</v>
          </cell>
          <cell r="H863">
            <v>23625</v>
          </cell>
          <cell r="N863">
            <v>14</v>
          </cell>
          <cell r="T863">
            <v>330.75</v>
          </cell>
          <cell r="V863">
            <v>330.75</v>
          </cell>
        </row>
        <row r="864">
          <cell r="D864" t="str">
            <v>HORMIGONES</v>
          </cell>
        </row>
        <row r="865">
          <cell r="D865">
            <v>2</v>
          </cell>
          <cell r="F865" t="str">
            <v>Hormigon armado           Armado espesador</v>
          </cell>
          <cell r="G865" t="str">
            <v>m3</v>
          </cell>
          <cell r="H865">
            <v>5768.4</v>
          </cell>
          <cell r="N865">
            <v>503</v>
          </cell>
          <cell r="P865">
            <v>0</v>
          </cell>
          <cell r="Q865">
            <v>0</v>
          </cell>
          <cell r="T865">
            <v>2901.5051999999996</v>
          </cell>
          <cell r="V865">
            <v>2901.5051999999996</v>
          </cell>
        </row>
        <row r="866">
          <cell r="D866">
            <v>2</v>
          </cell>
          <cell r="F866" t="str">
            <v>Hormigón armado           pilotes</v>
          </cell>
          <cell r="G866" t="str">
            <v>m3</v>
          </cell>
          <cell r="H866">
            <v>419.74999999999994</v>
          </cell>
          <cell r="N866">
            <v>503</v>
          </cell>
          <cell r="P866">
            <v>0</v>
          </cell>
          <cell r="Q866">
            <v>0</v>
          </cell>
          <cell r="T866">
            <v>211.13424999999998</v>
          </cell>
          <cell r="V866">
            <v>211.13424999999998</v>
          </cell>
        </row>
        <row r="867">
          <cell r="D867">
            <v>2</v>
          </cell>
          <cell r="F867" t="str">
            <v>Hormigón armado           Alimentación ciclones</v>
          </cell>
          <cell r="G867" t="str">
            <v>m3</v>
          </cell>
          <cell r="H867">
            <v>24.15</v>
          </cell>
          <cell r="N867">
            <v>503</v>
          </cell>
          <cell r="T867">
            <v>12.147449999999999</v>
          </cell>
          <cell r="V867">
            <v>12.147449999999999</v>
          </cell>
        </row>
        <row r="868">
          <cell r="D868">
            <v>2</v>
          </cell>
          <cell r="F868" t="str">
            <v>Hormigón armado           estanque de rebose</v>
          </cell>
          <cell r="G868" t="str">
            <v>m3</v>
          </cell>
          <cell r="H868">
            <v>50.599999999999994</v>
          </cell>
          <cell r="N868">
            <v>503</v>
          </cell>
          <cell r="T868">
            <v>25.451799999999995</v>
          </cell>
          <cell r="V868">
            <v>25.451799999999995</v>
          </cell>
        </row>
        <row r="869">
          <cell r="D869" t="str">
            <v>ESTRUCTURAS METALICAS</v>
          </cell>
        </row>
        <row r="870">
          <cell r="D870">
            <v>3</v>
          </cell>
          <cell r="F870" t="str">
            <v>Estructuras metálicas     Soporte ciclones</v>
          </cell>
          <cell r="G870" t="str">
            <v>ton</v>
          </cell>
          <cell r="H870">
            <v>19.549999999999997</v>
          </cell>
          <cell r="M870">
            <v>1900</v>
          </cell>
          <cell r="N870">
            <v>870</v>
          </cell>
          <cell r="P870">
            <v>0</v>
          </cell>
          <cell r="Q870">
            <v>0</v>
          </cell>
          <cell r="R870">
            <v>37.144999999999996</v>
          </cell>
          <cell r="T870">
            <v>17.008499999999998</v>
          </cell>
          <cell r="V870">
            <v>54.153499999999994</v>
          </cell>
        </row>
        <row r="871">
          <cell r="D871" t="str">
            <v>MECANICA</v>
          </cell>
        </row>
        <row r="872">
          <cell r="D872">
            <v>5</v>
          </cell>
          <cell r="F872" t="str">
            <v>Bo,ba agua recuperada tipo turbina vertical cap. 2850 m3/h c/u 20" 1000 HP</v>
          </cell>
          <cell r="G872" t="str">
            <v>un</v>
          </cell>
          <cell r="H872">
            <v>4</v>
          </cell>
          <cell r="L872">
            <v>106078</v>
          </cell>
          <cell r="N872">
            <v>10608</v>
          </cell>
          <cell r="P872">
            <v>0</v>
          </cell>
          <cell r="Q872">
            <v>424.31200000000001</v>
          </cell>
          <cell r="R872">
            <v>0</v>
          </cell>
          <cell r="T872">
            <v>42.432000000000002</v>
          </cell>
          <cell r="V872">
            <v>466.74400000000003</v>
          </cell>
        </row>
        <row r="873">
          <cell r="D873">
            <v>5</v>
          </cell>
          <cell r="F873" t="str">
            <v>Bomba recirc.espesador tipo centrífuga horizontal cap.2.200 m3/h 14x12" 200HP</v>
          </cell>
          <cell r="G873" t="str">
            <v>un</v>
          </cell>
          <cell r="H873">
            <v>1</v>
          </cell>
          <cell r="L873">
            <v>27614</v>
          </cell>
          <cell r="N873">
            <v>2761</v>
          </cell>
          <cell r="P873">
            <v>0</v>
          </cell>
          <cell r="Q873">
            <v>27.614000000000001</v>
          </cell>
          <cell r="R873">
            <v>0</v>
          </cell>
          <cell r="T873">
            <v>2.7610000000000001</v>
          </cell>
          <cell r="V873">
            <v>30.375</v>
          </cell>
        </row>
        <row r="874">
          <cell r="D874">
            <v>5</v>
          </cell>
          <cell r="F874" t="str">
            <v>Cajón descarga espesadores de relaves material: concreto</v>
          </cell>
          <cell r="G874" t="str">
            <v>ton</v>
          </cell>
          <cell r="H874">
            <v>1</v>
          </cell>
          <cell r="M874">
            <v>4300</v>
          </cell>
          <cell r="N874">
            <v>1450</v>
          </cell>
          <cell r="P874">
            <v>0</v>
          </cell>
          <cell r="Q874">
            <v>0</v>
          </cell>
          <cell r="R874">
            <v>4.3</v>
          </cell>
          <cell r="T874">
            <v>1.45</v>
          </cell>
          <cell r="V874">
            <v>5.75</v>
          </cell>
        </row>
        <row r="875">
          <cell r="D875">
            <v>5</v>
          </cell>
          <cell r="F875" t="str">
            <v>Espesador de relaves tipo HI-Cap diámetro 350 pies 15 HP</v>
          </cell>
          <cell r="G875" t="str">
            <v>un</v>
          </cell>
          <cell r="H875">
            <v>1</v>
          </cell>
          <cell r="L875">
            <v>1114260</v>
          </cell>
          <cell r="N875">
            <v>111426</v>
          </cell>
          <cell r="P875">
            <v>557.13</v>
          </cell>
          <cell r="Q875">
            <v>557.13</v>
          </cell>
          <cell r="R875">
            <v>0</v>
          </cell>
          <cell r="T875">
            <v>111.426</v>
          </cell>
          <cell r="V875">
            <v>1225.6859999999999</v>
          </cell>
        </row>
        <row r="876">
          <cell r="D876">
            <v>5</v>
          </cell>
          <cell r="F876" t="str">
            <v>Estanque de rebose espesadores de relave cap=1150 m3 material: concreto</v>
          </cell>
          <cell r="G876" t="str">
            <v>ton</v>
          </cell>
          <cell r="H876">
            <v>136</v>
          </cell>
          <cell r="M876">
            <v>4300</v>
          </cell>
          <cell r="N876">
            <v>1450</v>
          </cell>
          <cell r="P876">
            <v>0</v>
          </cell>
          <cell r="Q876">
            <v>0</v>
          </cell>
          <cell r="R876">
            <v>584.79999999999995</v>
          </cell>
          <cell r="T876">
            <v>197.2</v>
          </cell>
          <cell r="V876">
            <v>782</v>
          </cell>
        </row>
        <row r="877">
          <cell r="D877" t="str">
            <v>CAÑERIAS</v>
          </cell>
        </row>
        <row r="878">
          <cell r="D878">
            <v>6</v>
          </cell>
          <cell r="F878" t="str">
            <v>Global tuberías válvulas y fittings (se aplica 77% equipos mecànicos)</v>
          </cell>
          <cell r="G878" t="str">
            <v>gl</v>
          </cell>
          <cell r="H878">
            <v>1</v>
          </cell>
          <cell r="N878">
            <v>1933127</v>
          </cell>
          <cell r="P878">
            <v>0</v>
          </cell>
          <cell r="Q878">
            <v>0</v>
          </cell>
          <cell r="R878">
            <v>0</v>
          </cell>
          <cell r="T878">
            <v>1933.127</v>
          </cell>
          <cell r="V878">
            <v>1933.127</v>
          </cell>
        </row>
        <row r="879">
          <cell r="D879" t="str">
            <v>ELECTRICIDAD</v>
          </cell>
        </row>
        <row r="880">
          <cell r="D880">
            <v>7</v>
          </cell>
          <cell r="F880" t="str">
            <v>Global equipos eléctricos (se aplica 8.3% equipos mecánicos)</v>
          </cell>
          <cell r="G880" t="str">
            <v>gl</v>
          </cell>
          <cell r="H880">
            <v>1</v>
          </cell>
          <cell r="N880">
            <v>208376</v>
          </cell>
          <cell r="P880">
            <v>0</v>
          </cell>
          <cell r="Q880">
            <v>0</v>
          </cell>
          <cell r="R880">
            <v>0</v>
          </cell>
          <cell r="T880">
            <v>208.376</v>
          </cell>
          <cell r="V880">
            <v>208.376</v>
          </cell>
        </row>
        <row r="881">
          <cell r="E881" t="str">
            <v>ESPESAMIENTO DE RELAVES</v>
          </cell>
          <cell r="P881">
            <v>557.13</v>
          </cell>
          <cell r="Q881">
            <v>1009.056</v>
          </cell>
          <cell r="R881">
            <v>626.24499999999989</v>
          </cell>
          <cell r="S881">
            <v>0</v>
          </cell>
          <cell r="T881">
            <v>7216.61895</v>
          </cell>
          <cell r="V881">
            <v>9409.0499500000005</v>
          </cell>
        </row>
        <row r="885">
          <cell r="D885" t="str">
            <v>EXCAVACIONES Y RELLENOS</v>
          </cell>
        </row>
        <row r="886">
          <cell r="D886">
            <v>1</v>
          </cell>
          <cell r="F886" t="str">
            <v>Excavaciones</v>
          </cell>
          <cell r="G886" t="str">
            <v>m3</v>
          </cell>
          <cell r="H886">
            <v>370.8</v>
          </cell>
          <cell r="N886">
            <v>11</v>
          </cell>
          <cell r="P886">
            <v>0</v>
          </cell>
          <cell r="Q886">
            <v>0</v>
          </cell>
          <cell r="T886">
            <v>4.0788000000000002</v>
          </cell>
          <cell r="V886">
            <v>4.0788000000000002</v>
          </cell>
        </row>
        <row r="887">
          <cell r="D887" t="str">
            <v>HORMIGONES</v>
          </cell>
        </row>
        <row r="888">
          <cell r="D888">
            <v>2</v>
          </cell>
          <cell r="F888" t="str">
            <v>Hormigon armado           Armado espesador</v>
          </cell>
          <cell r="G888" t="str">
            <v>m3</v>
          </cell>
          <cell r="H888">
            <v>610.65</v>
          </cell>
          <cell r="N888">
            <v>503</v>
          </cell>
          <cell r="P888">
            <v>0</v>
          </cell>
          <cell r="Q888">
            <v>0</v>
          </cell>
          <cell r="T888">
            <v>307.15694999999999</v>
          </cell>
          <cell r="V888">
            <v>307.15694999999999</v>
          </cell>
        </row>
        <row r="889">
          <cell r="D889">
            <v>2</v>
          </cell>
          <cell r="F889" t="str">
            <v>Hormigón armado           peralte canaleta, 30cm 8500 m</v>
          </cell>
          <cell r="G889" t="str">
            <v>m3</v>
          </cell>
          <cell r="H889">
            <v>1759.4999999999998</v>
          </cell>
          <cell r="N889">
            <v>600</v>
          </cell>
          <cell r="P889">
            <v>0</v>
          </cell>
          <cell r="Q889">
            <v>0</v>
          </cell>
          <cell r="T889">
            <v>1055.6999999999998</v>
          </cell>
          <cell r="V889">
            <v>1055.6999999999998</v>
          </cell>
        </row>
        <row r="890">
          <cell r="D890" t="str">
            <v>MECANICA</v>
          </cell>
        </row>
        <row r="891">
          <cell r="D891">
            <v>5</v>
          </cell>
          <cell r="F891" t="str">
            <v>Cajón desvío a Tranque Valle</v>
          </cell>
          <cell r="G891" t="str">
            <v>un</v>
          </cell>
          <cell r="H891">
            <v>1</v>
          </cell>
          <cell r="M891">
            <v>4300</v>
          </cell>
          <cell r="N891">
            <v>33293</v>
          </cell>
          <cell r="P891">
            <v>0</v>
          </cell>
          <cell r="Q891">
            <v>0</v>
          </cell>
          <cell r="R891">
            <v>4.3</v>
          </cell>
          <cell r="T891">
            <v>33.292999999999999</v>
          </cell>
          <cell r="V891">
            <v>37.592999999999996</v>
          </cell>
        </row>
        <row r="892">
          <cell r="D892" t="str">
            <v>CAÑERIAS</v>
          </cell>
        </row>
        <row r="893">
          <cell r="D893">
            <v>6</v>
          </cell>
          <cell r="F893" t="str">
            <v>Global tuberías válvulas y fittings (se aplica 77% equipos mecànicos)</v>
          </cell>
          <cell r="G893" t="str">
            <v>gl</v>
          </cell>
          <cell r="H893">
            <v>1</v>
          </cell>
          <cell r="N893">
            <v>28947</v>
          </cell>
          <cell r="P893">
            <v>0</v>
          </cell>
          <cell r="Q893">
            <v>0</v>
          </cell>
          <cell r="R893">
            <v>0</v>
          </cell>
          <cell r="T893">
            <v>28.946999999999999</v>
          </cell>
          <cell r="V893">
            <v>28.946999999999999</v>
          </cell>
        </row>
        <row r="894">
          <cell r="D894" t="str">
            <v>ELECTRICIDAD</v>
          </cell>
        </row>
        <row r="895">
          <cell r="D895">
            <v>7</v>
          </cell>
          <cell r="F895" t="str">
            <v>Global equipos eléctricos (se aplica 8.3% equipos mecánicos)</v>
          </cell>
          <cell r="G895" t="str">
            <v>gl</v>
          </cell>
          <cell r="H895">
            <v>1</v>
          </cell>
          <cell r="N895">
            <v>3120</v>
          </cell>
          <cell r="P895">
            <v>0</v>
          </cell>
          <cell r="Q895">
            <v>0</v>
          </cell>
          <cell r="R895">
            <v>0</v>
          </cell>
          <cell r="T895">
            <v>3.12</v>
          </cell>
          <cell r="V895">
            <v>3.12</v>
          </cell>
        </row>
        <row r="896">
          <cell r="E896" t="str">
            <v>CANALETA DE RELAVES</v>
          </cell>
          <cell r="P896">
            <v>0</v>
          </cell>
          <cell r="Q896">
            <v>0</v>
          </cell>
          <cell r="R896">
            <v>4.3</v>
          </cell>
          <cell r="S896">
            <v>0</v>
          </cell>
          <cell r="T896">
            <v>1432.2957499999995</v>
          </cell>
          <cell r="V896">
            <v>1436.5957499999997</v>
          </cell>
        </row>
        <row r="904">
          <cell r="D904" t="str">
            <v>EXCAVACIONES Y RELLENOS</v>
          </cell>
        </row>
        <row r="905">
          <cell r="D905">
            <v>1</v>
          </cell>
          <cell r="F905" t="str">
            <v>Excavaciones</v>
          </cell>
          <cell r="G905" t="str">
            <v>m3</v>
          </cell>
          <cell r="H905">
            <v>360</v>
          </cell>
          <cell r="N905">
            <v>11</v>
          </cell>
          <cell r="P905">
            <v>0</v>
          </cell>
          <cell r="Q905">
            <v>0</v>
          </cell>
          <cell r="T905">
            <v>3.96</v>
          </cell>
          <cell r="V905">
            <v>3.96</v>
          </cell>
        </row>
        <row r="906">
          <cell r="D906" t="str">
            <v>HORMIGONES</v>
          </cell>
        </row>
        <row r="907">
          <cell r="D907">
            <v>2</v>
          </cell>
          <cell r="F907" t="str">
            <v xml:space="preserve">Hormigon armado          </v>
          </cell>
          <cell r="G907" t="str">
            <v>m3</v>
          </cell>
          <cell r="H907">
            <v>114.99999999999999</v>
          </cell>
          <cell r="N907">
            <v>503</v>
          </cell>
          <cell r="P907">
            <v>0</v>
          </cell>
          <cell r="Q907">
            <v>0</v>
          </cell>
          <cell r="T907">
            <v>57.844999999999992</v>
          </cell>
          <cell r="V907">
            <v>57.844999999999992</v>
          </cell>
        </row>
        <row r="908">
          <cell r="D908" t="str">
            <v>MECANICA</v>
          </cell>
        </row>
        <row r="909">
          <cell r="D909">
            <v>5</v>
          </cell>
          <cell r="F909" t="str">
            <v>Bomba impulsión 1250 HP</v>
          </cell>
          <cell r="G909" t="str">
            <v>un</v>
          </cell>
          <cell r="H909">
            <v>3</v>
          </cell>
          <cell r="L909">
            <v>312500</v>
          </cell>
          <cell r="N909">
            <v>31250</v>
          </cell>
          <cell r="P909">
            <v>0</v>
          </cell>
          <cell r="Q909">
            <v>937.5</v>
          </cell>
          <cell r="R909">
            <v>0</v>
          </cell>
          <cell r="T909">
            <v>93.75</v>
          </cell>
          <cell r="V909">
            <v>1031.25</v>
          </cell>
        </row>
        <row r="910">
          <cell r="D910">
            <v>5</v>
          </cell>
          <cell r="F910" t="str">
            <v>Obtención derechos de agua acorde a 175 KTPD</v>
          </cell>
          <cell r="G910" t="str">
            <v>gl</v>
          </cell>
          <cell r="H910">
            <v>1</v>
          </cell>
          <cell r="M910">
            <v>3278000</v>
          </cell>
          <cell r="R910">
            <v>3278</v>
          </cell>
          <cell r="V910">
            <v>3278</v>
          </cell>
        </row>
        <row r="911">
          <cell r="D911" t="str">
            <v>CAÑERIAS</v>
          </cell>
        </row>
        <row r="912">
          <cell r="D912">
            <v>6</v>
          </cell>
          <cell r="F912" t="str">
            <v>Tubería 24" e=0.281" (incluida zanja y relleno)</v>
          </cell>
          <cell r="G912" t="str">
            <v>ton</v>
          </cell>
          <cell r="H912">
            <v>573</v>
          </cell>
          <cell r="M912">
            <v>1000</v>
          </cell>
          <cell r="N912">
            <v>900</v>
          </cell>
          <cell r="R912">
            <v>0</v>
          </cell>
          <cell r="S912">
            <v>573</v>
          </cell>
          <cell r="T912">
            <v>515.70000000000005</v>
          </cell>
          <cell r="V912">
            <v>1088.7</v>
          </cell>
        </row>
        <row r="913">
          <cell r="D913">
            <v>6</v>
          </cell>
          <cell r="F913" t="str">
            <v>Tubería 24" e=0.312" (incluida zanja y relleno)</v>
          </cell>
          <cell r="G913" t="str">
            <v>ton</v>
          </cell>
          <cell r="H913">
            <v>341</v>
          </cell>
          <cell r="M913">
            <v>1000</v>
          </cell>
          <cell r="N913">
            <v>900</v>
          </cell>
          <cell r="R913">
            <v>0</v>
          </cell>
          <cell r="S913">
            <v>341</v>
          </cell>
          <cell r="T913">
            <v>306.89999999999998</v>
          </cell>
          <cell r="V913">
            <v>647.9</v>
          </cell>
        </row>
        <row r="914">
          <cell r="D914">
            <v>6</v>
          </cell>
          <cell r="F914" t="str">
            <v>Global tuberías válvulas y fittings (se aplica 10% equipos mecànicos)</v>
          </cell>
          <cell r="G914" t="str">
            <v>gl</v>
          </cell>
          <cell r="H914">
            <v>1</v>
          </cell>
          <cell r="N914">
            <v>103125</v>
          </cell>
          <cell r="P914">
            <v>0</v>
          </cell>
          <cell r="Q914">
            <v>0</v>
          </cell>
          <cell r="R914">
            <v>0</v>
          </cell>
          <cell r="T914">
            <v>103.125</v>
          </cell>
          <cell r="V914">
            <v>103.125</v>
          </cell>
        </row>
        <row r="915">
          <cell r="D915" t="str">
            <v>ELECTRICIDAD</v>
          </cell>
        </row>
        <row r="916">
          <cell r="D916">
            <v>7</v>
          </cell>
          <cell r="F916" t="str">
            <v>Global equipos eléctricos (se aplica 59% equipos mecánicos)</v>
          </cell>
          <cell r="G916" t="str">
            <v>gl</v>
          </cell>
          <cell r="H916">
            <v>1</v>
          </cell>
          <cell r="N916">
            <v>608438</v>
          </cell>
          <cell r="P916">
            <v>0</v>
          </cell>
          <cell r="Q916">
            <v>0</v>
          </cell>
          <cell r="R916">
            <v>0</v>
          </cell>
          <cell r="T916">
            <v>608.43799999999999</v>
          </cell>
          <cell r="V916">
            <v>608.43799999999999</v>
          </cell>
        </row>
        <row r="917">
          <cell r="E917" t="str">
            <v>SUMINISTRO DE AGUA FRESCA</v>
          </cell>
          <cell r="P917">
            <v>0</v>
          </cell>
          <cell r="Q917">
            <v>937.5</v>
          </cell>
          <cell r="R917">
            <v>3278</v>
          </cell>
          <cell r="S917">
            <v>914</v>
          </cell>
          <cell r="T917">
            <v>1689.7180000000003</v>
          </cell>
          <cell r="V917">
            <v>6819.2179999999998</v>
          </cell>
        </row>
        <row r="920">
          <cell r="E920" t="str">
            <v>Total: AGUAS Y RELAVES</v>
          </cell>
          <cell r="P920">
            <v>557.13</v>
          </cell>
          <cell r="Q920">
            <v>1946.556</v>
          </cell>
          <cell r="R920">
            <v>3908.5450000000001</v>
          </cell>
          <cell r="S920">
            <v>914</v>
          </cell>
          <cell r="T920">
            <v>10338.6327</v>
          </cell>
          <cell r="V920">
            <v>17664.863700000002</v>
          </cell>
          <cell r="AA920" t="str">
            <v xml:space="preserve"> </v>
          </cell>
        </row>
        <row r="924">
          <cell r="E924" t="str">
            <v>MANEJO DE CONCENTRADOS PUNTA CHUNGOS</v>
          </cell>
        </row>
        <row r="927">
          <cell r="D927" t="str">
            <v>EXCAVACIONES Y RELLENOS</v>
          </cell>
        </row>
        <row r="928">
          <cell r="D928">
            <v>1</v>
          </cell>
          <cell r="F928" t="str">
            <v>Excavaciones</v>
          </cell>
          <cell r="G928" t="str">
            <v>m3</v>
          </cell>
          <cell r="H928">
            <v>600</v>
          </cell>
          <cell r="N928">
            <v>11</v>
          </cell>
          <cell r="P928">
            <v>0</v>
          </cell>
          <cell r="Q928">
            <v>0</v>
          </cell>
          <cell r="T928">
            <v>6.6</v>
          </cell>
          <cell r="V928">
            <v>6.6</v>
          </cell>
        </row>
        <row r="929">
          <cell r="D929" t="str">
            <v>HORMIGONES</v>
          </cell>
        </row>
        <row r="930">
          <cell r="D930">
            <v>2</v>
          </cell>
          <cell r="F930" t="str">
            <v xml:space="preserve">Hormigon armado          </v>
          </cell>
          <cell r="G930" t="str">
            <v>m3</v>
          </cell>
          <cell r="H930">
            <v>103.49999999999999</v>
          </cell>
          <cell r="N930">
            <v>503</v>
          </cell>
          <cell r="P930">
            <v>0</v>
          </cell>
          <cell r="Q930">
            <v>0</v>
          </cell>
          <cell r="T930">
            <v>52.06049999999999</v>
          </cell>
          <cell r="V930">
            <v>52.06049999999999</v>
          </cell>
        </row>
        <row r="931">
          <cell r="D931" t="str">
            <v>MECANICA</v>
          </cell>
        </row>
        <row r="932">
          <cell r="D932">
            <v>5</v>
          </cell>
          <cell r="F932" t="str">
            <v>Bomba alimentación filtrado de concentr.tipo centrífuga horiz.tamaño 8"x6" 60 HP</v>
          </cell>
          <cell r="G932" t="str">
            <v>un</v>
          </cell>
          <cell r="H932">
            <v>1</v>
          </cell>
          <cell r="L932">
            <v>15758</v>
          </cell>
          <cell r="N932">
            <v>1576</v>
          </cell>
          <cell r="P932">
            <v>0</v>
          </cell>
          <cell r="Q932">
            <v>15.757999999999999</v>
          </cell>
          <cell r="R932">
            <v>0</v>
          </cell>
          <cell r="T932">
            <v>1.5760000000000001</v>
          </cell>
          <cell r="V932">
            <v>17.334</v>
          </cell>
        </row>
        <row r="933">
          <cell r="D933">
            <v>5</v>
          </cell>
          <cell r="F933" t="str">
            <v>Bpmba impulsión agua clarificada tipo centrífuga horiz. 6"x4" 25 HP</v>
          </cell>
          <cell r="G933" t="str">
            <v>un</v>
          </cell>
          <cell r="H933">
            <v>1</v>
          </cell>
          <cell r="L933">
            <v>10792</v>
          </cell>
          <cell r="N933">
            <v>1079</v>
          </cell>
          <cell r="P933">
            <v>0</v>
          </cell>
          <cell r="Q933">
            <v>10.792</v>
          </cell>
          <cell r="R933">
            <v>0</v>
          </cell>
          <cell r="T933">
            <v>1.079</v>
          </cell>
          <cell r="V933">
            <v>11.871</v>
          </cell>
        </row>
        <row r="934">
          <cell r="D934">
            <v>5</v>
          </cell>
          <cell r="F934" t="str">
            <v>Bomba descarga clarificador tipo centrif.horizontal 3"x2" 15 HP</v>
          </cell>
          <cell r="G934" t="str">
            <v>un</v>
          </cell>
          <cell r="H934">
            <v>2</v>
          </cell>
          <cell r="L934">
            <v>8080</v>
          </cell>
          <cell r="N934">
            <v>808</v>
          </cell>
          <cell r="P934">
            <v>0</v>
          </cell>
          <cell r="Q934">
            <v>16.16</v>
          </cell>
          <cell r="R934">
            <v>0</v>
          </cell>
          <cell r="T934">
            <v>1.6160000000000001</v>
          </cell>
          <cell r="V934">
            <v>17.776</v>
          </cell>
        </row>
        <row r="935">
          <cell r="D935">
            <v>5</v>
          </cell>
          <cell r="F935" t="str">
            <v>Bomba para derrames estanque concentrado tipo vertical tamaño 4" 30 HP</v>
          </cell>
          <cell r="G935" t="str">
            <v>un</v>
          </cell>
          <cell r="H935">
            <v>1</v>
          </cell>
          <cell r="L935">
            <v>29851</v>
          </cell>
          <cell r="N935">
            <v>2985</v>
          </cell>
          <cell r="P935">
            <v>0</v>
          </cell>
          <cell r="Q935">
            <v>29.850999999999999</v>
          </cell>
          <cell r="R935">
            <v>0</v>
          </cell>
          <cell r="T935">
            <v>2.9849999999999999</v>
          </cell>
          <cell r="V935">
            <v>32.835999999999999</v>
          </cell>
        </row>
        <row r="936">
          <cell r="D936">
            <v>5</v>
          </cell>
          <cell r="F936" t="str">
            <v>Estanque almacenamiento concentrado CU-MO Vol útil=1.050 m3 75 HP</v>
          </cell>
          <cell r="G936" t="str">
            <v>ton</v>
          </cell>
          <cell r="H936">
            <v>45</v>
          </cell>
          <cell r="M936">
            <v>4300</v>
          </cell>
          <cell r="N936">
            <v>1450</v>
          </cell>
          <cell r="P936">
            <v>0</v>
          </cell>
          <cell r="Q936">
            <v>0</v>
          </cell>
          <cell r="R936">
            <v>193.5</v>
          </cell>
          <cell r="T936">
            <v>65.25</v>
          </cell>
          <cell r="V936">
            <v>258.75</v>
          </cell>
        </row>
        <row r="937">
          <cell r="D937">
            <v>5</v>
          </cell>
          <cell r="F937" t="str">
            <v>Agitador estanque concentrado de Cu-Mo 1050 m3</v>
          </cell>
          <cell r="G937" t="str">
            <v>un</v>
          </cell>
          <cell r="H937">
            <v>1</v>
          </cell>
          <cell r="L937">
            <v>63200</v>
          </cell>
          <cell r="N937">
            <v>6320</v>
          </cell>
          <cell r="P937">
            <v>0</v>
          </cell>
          <cell r="Q937">
            <v>63.2</v>
          </cell>
          <cell r="R937">
            <v>0</v>
          </cell>
          <cell r="T937">
            <v>6.32</v>
          </cell>
          <cell r="V937">
            <v>69.52000000000001</v>
          </cell>
        </row>
        <row r="938">
          <cell r="D938">
            <v>5</v>
          </cell>
          <cell r="F938" t="str">
            <v>Espesador de concentrado 60 pie diámetro</v>
          </cell>
          <cell r="G938" t="str">
            <v>un</v>
          </cell>
          <cell r="H938">
            <v>2</v>
          </cell>
          <cell r="L938">
            <v>65280</v>
          </cell>
          <cell r="N938">
            <v>13560</v>
          </cell>
          <cell r="P938">
            <v>65.28</v>
          </cell>
          <cell r="Q938">
            <v>65.28</v>
          </cell>
          <cell r="T938">
            <v>27.12</v>
          </cell>
          <cell r="V938">
            <v>157.68</v>
          </cell>
        </row>
        <row r="939">
          <cell r="D939">
            <v>5</v>
          </cell>
          <cell r="F939" t="str">
            <v>Estanque clarificador 60 pie</v>
          </cell>
          <cell r="G939" t="str">
            <v>un</v>
          </cell>
          <cell r="H939">
            <v>1</v>
          </cell>
          <cell r="L939">
            <v>47700</v>
          </cell>
          <cell r="N939">
            <v>7155</v>
          </cell>
          <cell r="P939">
            <v>0</v>
          </cell>
          <cell r="Q939">
            <v>47.7</v>
          </cell>
          <cell r="T939">
            <v>7.1550000000000002</v>
          </cell>
          <cell r="V939">
            <v>54.855000000000004</v>
          </cell>
        </row>
        <row r="940">
          <cell r="D940">
            <v>5</v>
          </cell>
          <cell r="F940" t="str">
            <v>Estanque distribuidor de concentrado de cobre vol.útil=4m3</v>
          </cell>
          <cell r="G940" t="str">
            <v>ton</v>
          </cell>
          <cell r="H940">
            <v>4</v>
          </cell>
          <cell r="M940">
            <v>4300</v>
          </cell>
          <cell r="N940">
            <v>1450</v>
          </cell>
          <cell r="P940">
            <v>0</v>
          </cell>
          <cell r="R940">
            <v>17.2</v>
          </cell>
          <cell r="T940">
            <v>5.8</v>
          </cell>
          <cell r="V940">
            <v>23</v>
          </cell>
        </row>
        <row r="941">
          <cell r="D941" t="str">
            <v>CAÑERIAS</v>
          </cell>
        </row>
        <row r="942">
          <cell r="D942">
            <v>6</v>
          </cell>
          <cell r="F942" t="str">
            <v>Global tuberías válvulas y fittings (se aplica 72.2% equipos mecànicos)</v>
          </cell>
          <cell r="G942" t="str">
            <v>gl</v>
          </cell>
          <cell r="H942">
            <v>1</v>
          </cell>
          <cell r="N942">
            <v>464695</v>
          </cell>
          <cell r="P942">
            <v>0</v>
          </cell>
          <cell r="Q942">
            <v>0</v>
          </cell>
          <cell r="R942">
            <v>0</v>
          </cell>
          <cell r="T942">
            <v>464.69499999999999</v>
          </cell>
          <cell r="V942">
            <v>464.69499999999999</v>
          </cell>
        </row>
        <row r="943">
          <cell r="D943" t="str">
            <v>ELECTRICIDAD</v>
          </cell>
        </row>
        <row r="944">
          <cell r="D944">
            <v>7</v>
          </cell>
          <cell r="F944" t="str">
            <v>Global equipos eléctricos (se aplica 18.6% equipos mecánicos)</v>
          </cell>
          <cell r="G944" t="str">
            <v>gl</v>
          </cell>
          <cell r="H944">
            <v>1</v>
          </cell>
          <cell r="N944">
            <v>119714</v>
          </cell>
          <cell r="P944">
            <v>0</v>
          </cell>
          <cell r="Q944">
            <v>0</v>
          </cell>
          <cell r="R944">
            <v>0</v>
          </cell>
          <cell r="T944">
            <v>119.714</v>
          </cell>
          <cell r="V944">
            <v>119.714</v>
          </cell>
        </row>
        <row r="945">
          <cell r="E945" t="str">
            <v>ALMACENAMIENTO DE CONCENTRADOS</v>
          </cell>
          <cell r="P945">
            <v>65.28</v>
          </cell>
          <cell r="Q945">
            <v>248.74099999999999</v>
          </cell>
          <cell r="R945">
            <v>210.7</v>
          </cell>
          <cell r="S945">
            <v>0</v>
          </cell>
          <cell r="T945">
            <v>761.9704999999999</v>
          </cell>
          <cell r="V945">
            <v>1286.6914999999999</v>
          </cell>
        </row>
        <row r="949">
          <cell r="D949" t="str">
            <v>EXCAVACIONES Y RELLENOS</v>
          </cell>
        </row>
        <row r="950">
          <cell r="D950">
            <v>1</v>
          </cell>
          <cell r="F950" t="str">
            <v>Excavaciones                    filtros y espesador</v>
          </cell>
          <cell r="G950" t="str">
            <v>m3</v>
          </cell>
          <cell r="H950">
            <v>162</v>
          </cell>
          <cell r="N950">
            <v>11</v>
          </cell>
          <cell r="P950">
            <v>0</v>
          </cell>
          <cell r="Q950">
            <v>0</v>
          </cell>
          <cell r="T950">
            <v>1.782</v>
          </cell>
          <cell r="V950">
            <v>1.782</v>
          </cell>
        </row>
        <row r="951">
          <cell r="D951">
            <v>1</v>
          </cell>
          <cell r="F951" t="str">
            <v>Excavaciones                    estanques</v>
          </cell>
          <cell r="G951" t="str">
            <v>m3</v>
          </cell>
          <cell r="H951">
            <v>600</v>
          </cell>
          <cell r="N951">
            <v>11</v>
          </cell>
          <cell r="T951">
            <v>6.6</v>
          </cell>
          <cell r="V951">
            <v>6.6</v>
          </cell>
        </row>
        <row r="952">
          <cell r="D952" t="str">
            <v>HORMIGONES</v>
          </cell>
        </row>
        <row r="953">
          <cell r="D953">
            <v>2</v>
          </cell>
          <cell r="F953" t="str">
            <v xml:space="preserve">Hormigon armado          </v>
          </cell>
          <cell r="G953" t="str">
            <v>m3</v>
          </cell>
          <cell r="H953">
            <v>576.15</v>
          </cell>
          <cell r="N953">
            <v>503</v>
          </cell>
          <cell r="P953">
            <v>0</v>
          </cell>
          <cell r="Q953">
            <v>0</v>
          </cell>
          <cell r="T953">
            <v>289.80345</v>
          </cell>
          <cell r="V953">
            <v>289.80345</v>
          </cell>
        </row>
        <row r="954">
          <cell r="D954" t="str">
            <v>ESTRUCTURAS METALICAS</v>
          </cell>
        </row>
        <row r="955">
          <cell r="D955">
            <v>3</v>
          </cell>
          <cell r="F955" t="str">
            <v>Estructuras metálicas     ampliación edificio</v>
          </cell>
          <cell r="G955" t="str">
            <v>ton</v>
          </cell>
          <cell r="H955">
            <v>172.5</v>
          </cell>
          <cell r="M955">
            <v>1900</v>
          </cell>
          <cell r="N955">
            <v>870</v>
          </cell>
          <cell r="P955">
            <v>0</v>
          </cell>
          <cell r="Q955">
            <v>0</v>
          </cell>
          <cell r="R955">
            <v>327.75</v>
          </cell>
          <cell r="T955">
            <v>150.07499999999999</v>
          </cell>
          <cell r="V955">
            <v>477.82499999999999</v>
          </cell>
        </row>
        <row r="956">
          <cell r="D956" t="str">
            <v>MECANICA</v>
          </cell>
        </row>
        <row r="957">
          <cell r="D957">
            <v>5</v>
          </cell>
          <cell r="F957" t="str">
            <v>Bomba aliment.agua filtrado tipo centrífuga horiz.tamaño 8"x6" 15 HP</v>
          </cell>
          <cell r="G957" t="str">
            <v>un</v>
          </cell>
          <cell r="H957">
            <v>4</v>
          </cell>
          <cell r="L957">
            <v>12608</v>
          </cell>
          <cell r="N957">
            <v>1261</v>
          </cell>
          <cell r="P957">
            <v>0</v>
          </cell>
          <cell r="Q957">
            <v>50.432000000000002</v>
          </cell>
          <cell r="R957">
            <v>0</v>
          </cell>
          <cell r="T957">
            <v>5.0439999999999996</v>
          </cell>
          <cell r="V957">
            <v>55.475999999999999</v>
          </cell>
        </row>
        <row r="958">
          <cell r="D958">
            <v>5</v>
          </cell>
          <cell r="F958" t="str">
            <v>Bomba alimentación ácido 0.5 HP</v>
          </cell>
          <cell r="G958" t="str">
            <v>un</v>
          </cell>
          <cell r="H958">
            <v>4</v>
          </cell>
          <cell r="L958">
            <v>250</v>
          </cell>
          <cell r="N958">
            <v>25</v>
          </cell>
          <cell r="P958">
            <v>0</v>
          </cell>
          <cell r="Q958">
            <v>1</v>
          </cell>
          <cell r="R958">
            <v>0</v>
          </cell>
          <cell r="T958">
            <v>0.1</v>
          </cell>
          <cell r="V958">
            <v>1.1000000000000001</v>
          </cell>
        </row>
        <row r="959">
          <cell r="D959">
            <v>5</v>
          </cell>
          <cell r="F959" t="str">
            <v>Bomba de vacío concentrado de Cu 3HP  incluido en filtro concentrado de Cu</v>
          </cell>
          <cell r="G959" t="str">
            <v>un</v>
          </cell>
          <cell r="H959">
            <v>0</v>
          </cell>
          <cell r="P959">
            <v>0</v>
          </cell>
          <cell r="Q959">
            <v>0</v>
          </cell>
          <cell r="R959">
            <v>0</v>
          </cell>
          <cell r="T959">
            <v>0</v>
          </cell>
          <cell r="V959">
            <v>0</v>
          </cell>
        </row>
        <row r="960">
          <cell r="D960">
            <v>5</v>
          </cell>
          <cell r="F960" t="str">
            <v>Estanque receptor de agua filtradavol.útil=0.33 m3 c/u</v>
          </cell>
          <cell r="G960" t="str">
            <v>ton</v>
          </cell>
          <cell r="H960">
            <v>60</v>
          </cell>
          <cell r="M960">
            <v>4300</v>
          </cell>
          <cell r="N960">
            <v>1450</v>
          </cell>
          <cell r="P960">
            <v>0</v>
          </cell>
          <cell r="Q960">
            <v>0</v>
          </cell>
          <cell r="R960">
            <v>258</v>
          </cell>
          <cell r="T960">
            <v>87</v>
          </cell>
          <cell r="V960">
            <v>345</v>
          </cell>
        </row>
        <row r="961">
          <cell r="D961">
            <v>5</v>
          </cell>
          <cell r="F961" t="str">
            <v>Filtro concentrado de Cu tipo cerámico de disco área 45 m2 c/u 14 HP</v>
          </cell>
          <cell r="G961" t="str">
            <v>un</v>
          </cell>
          <cell r="H961">
            <v>4</v>
          </cell>
          <cell r="L961">
            <v>678100</v>
          </cell>
          <cell r="N961">
            <v>67810</v>
          </cell>
          <cell r="P961">
            <v>0</v>
          </cell>
          <cell r="Q961">
            <v>2712.4</v>
          </cell>
          <cell r="R961">
            <v>0</v>
          </cell>
          <cell r="T961">
            <v>271.24</v>
          </cell>
          <cell r="V961">
            <v>2983.6400000000003</v>
          </cell>
        </row>
        <row r="962">
          <cell r="D962">
            <v>5</v>
          </cell>
          <cell r="F962" t="str">
            <v>Alargamiento en 28.5 m correa de alimentación acopio de concentrado A=0.8m L=287m</v>
          </cell>
          <cell r="G962" t="str">
            <v>m</v>
          </cell>
          <cell r="H962">
            <v>26</v>
          </cell>
          <cell r="L962">
            <v>4135</v>
          </cell>
          <cell r="N962">
            <v>600</v>
          </cell>
          <cell r="P962">
            <v>107.51</v>
          </cell>
          <cell r="Q962">
            <v>0</v>
          </cell>
          <cell r="R962">
            <v>0</v>
          </cell>
          <cell r="T962">
            <v>15.6</v>
          </cell>
          <cell r="V962">
            <v>123.11</v>
          </cell>
        </row>
        <row r="963">
          <cell r="D963">
            <v>5</v>
          </cell>
          <cell r="F963" t="str">
            <v>Sistema de carguío de camiones</v>
          </cell>
          <cell r="G963" t="str">
            <v>gl</v>
          </cell>
          <cell r="H963">
            <v>1</v>
          </cell>
          <cell r="L963">
            <v>300000</v>
          </cell>
          <cell r="M963">
            <v>300000</v>
          </cell>
          <cell r="N963">
            <v>400000</v>
          </cell>
          <cell r="P963">
            <v>150</v>
          </cell>
          <cell r="Q963">
            <v>150</v>
          </cell>
          <cell r="R963">
            <v>150</v>
          </cell>
          <cell r="S963">
            <v>150</v>
          </cell>
          <cell r="T963">
            <v>400</v>
          </cell>
          <cell r="V963">
            <v>1000</v>
          </cell>
        </row>
        <row r="964">
          <cell r="D964" t="str">
            <v>CAÑERIAS</v>
          </cell>
        </row>
        <row r="965">
          <cell r="D965">
            <v>6</v>
          </cell>
          <cell r="F965" t="str">
            <v>Global tuberías válvulas y fittings (se aplica 12.4% equipos mecànicos)</v>
          </cell>
          <cell r="G965" t="str">
            <v>gl</v>
          </cell>
          <cell r="H965">
            <v>1</v>
          </cell>
          <cell r="N965">
            <v>434915</v>
          </cell>
          <cell r="P965">
            <v>0</v>
          </cell>
          <cell r="Q965">
            <v>0</v>
          </cell>
          <cell r="R965">
            <v>0</v>
          </cell>
          <cell r="T965">
            <v>434.91500000000002</v>
          </cell>
          <cell r="V965">
            <v>434.91500000000002</v>
          </cell>
        </row>
        <row r="966">
          <cell r="D966" t="str">
            <v>ELECTRICIDAD</v>
          </cell>
        </row>
        <row r="967">
          <cell r="D967">
            <v>7</v>
          </cell>
          <cell r="F967" t="str">
            <v>Global equipos eléctricos (se aplica 18.6% equipos mecánicos)</v>
          </cell>
          <cell r="G967" t="str">
            <v>gl</v>
          </cell>
          <cell r="H967">
            <v>1</v>
          </cell>
          <cell r="N967">
            <v>410364</v>
          </cell>
          <cell r="P967">
            <v>0</v>
          </cell>
          <cell r="Q967">
            <v>0</v>
          </cell>
          <cell r="R967">
            <v>0</v>
          </cell>
          <cell r="T967">
            <v>410.36399999999998</v>
          </cell>
          <cell r="V967">
            <v>410.36399999999998</v>
          </cell>
        </row>
        <row r="968">
          <cell r="E968" t="str">
            <v>PLANTA FILTROS</v>
          </cell>
          <cell r="P968">
            <v>257.51</v>
          </cell>
          <cell r="Q968">
            <v>2913.8319999999999</v>
          </cell>
          <cell r="R968">
            <v>735.75</v>
          </cell>
          <cell r="S968">
            <v>150</v>
          </cell>
          <cell r="T968">
            <v>2072.5234500000001</v>
          </cell>
          <cell r="V968">
            <v>6129.6154499999993</v>
          </cell>
        </row>
        <row r="972">
          <cell r="D972" t="str">
            <v>OBRAS CIVILES GENERALES</v>
          </cell>
        </row>
        <row r="973">
          <cell r="D973">
            <v>4</v>
          </cell>
          <cell r="F973" t="str">
            <v>Inversión en descarte de agua (plantación de 33.6 há red riego tranque 50.000 m3)</v>
          </cell>
          <cell r="G973" t="str">
            <v>gl</v>
          </cell>
          <cell r="H973">
            <v>1</v>
          </cell>
          <cell r="N973">
            <v>1285542</v>
          </cell>
          <cell r="P973">
            <v>0</v>
          </cell>
          <cell r="Q973">
            <v>0</v>
          </cell>
          <cell r="T973">
            <v>1285.5419999999999</v>
          </cell>
          <cell r="V973">
            <v>1285.5419999999999</v>
          </cell>
        </row>
        <row r="974">
          <cell r="D974" t="str">
            <v>MECANICA</v>
          </cell>
        </row>
        <row r="975">
          <cell r="D975">
            <v>5</v>
          </cell>
          <cell r="F975" t="str">
            <v>Bomba alimentación filtro de arena tipo centrífuga horiz. 6"x4" 30 HP</v>
          </cell>
          <cell r="G975" t="str">
            <v>un</v>
          </cell>
          <cell r="H975">
            <v>2</v>
          </cell>
          <cell r="L975">
            <v>11173</v>
          </cell>
          <cell r="N975">
            <v>1117</v>
          </cell>
          <cell r="P975">
            <v>0</v>
          </cell>
          <cell r="Q975">
            <v>22.346</v>
          </cell>
          <cell r="R975">
            <v>0</v>
          </cell>
          <cell r="T975">
            <v>2.234</v>
          </cell>
          <cell r="V975">
            <v>24.58</v>
          </cell>
        </row>
        <row r="976">
          <cell r="D976">
            <v>5</v>
          </cell>
          <cell r="F976" t="str">
            <v>Filtro arena cap: 45 m3/h max</v>
          </cell>
          <cell r="G976" t="str">
            <v>un</v>
          </cell>
          <cell r="H976">
            <v>1</v>
          </cell>
          <cell r="L976">
            <v>75900</v>
          </cell>
          <cell r="N976">
            <v>7590</v>
          </cell>
          <cell r="P976">
            <v>0</v>
          </cell>
          <cell r="Q976">
            <v>75.900000000000006</v>
          </cell>
          <cell r="R976">
            <v>0</v>
          </cell>
          <cell r="T976">
            <v>7.59</v>
          </cell>
          <cell r="V976">
            <v>83.490000000000009</v>
          </cell>
        </row>
        <row r="977">
          <cell r="D977">
            <v>5</v>
          </cell>
          <cell r="F977" t="str">
            <v>Ampliación FAD</v>
          </cell>
          <cell r="G977" t="str">
            <v>gl</v>
          </cell>
          <cell r="H977">
            <v>1</v>
          </cell>
          <cell r="M977">
            <v>100000</v>
          </cell>
          <cell r="R977">
            <v>100</v>
          </cell>
          <cell r="T977">
            <v>0</v>
          </cell>
          <cell r="V977">
            <v>100</v>
          </cell>
        </row>
        <row r="978">
          <cell r="D978" t="str">
            <v>CAÑERIAS</v>
          </cell>
        </row>
        <row r="979">
          <cell r="D979">
            <v>6</v>
          </cell>
          <cell r="F979" t="str">
            <v>Global tuberías válvulas y fittings (se aplica 90.2% equipos mecànicos)</v>
          </cell>
          <cell r="G979" t="str">
            <v>gl</v>
          </cell>
          <cell r="H979">
            <v>1</v>
          </cell>
          <cell r="N979">
            <v>97480</v>
          </cell>
          <cell r="P979">
            <v>0</v>
          </cell>
          <cell r="Q979">
            <v>0</v>
          </cell>
          <cell r="R979">
            <v>0</v>
          </cell>
          <cell r="T979">
            <v>97.48</v>
          </cell>
          <cell r="V979">
            <v>97.48</v>
          </cell>
        </row>
        <row r="980">
          <cell r="D980" t="str">
            <v>ELECTRICIDAD</v>
          </cell>
        </row>
        <row r="981">
          <cell r="D981">
            <v>7</v>
          </cell>
          <cell r="F981" t="str">
            <v>Global equipos eléctricos (se aplica 5.8% equipos mecánicos)</v>
          </cell>
          <cell r="G981" t="str">
            <v>gl</v>
          </cell>
          <cell r="H981">
            <v>1</v>
          </cell>
          <cell r="N981">
            <v>6268</v>
          </cell>
          <cell r="P981">
            <v>0</v>
          </cell>
          <cell r="Q981">
            <v>0</v>
          </cell>
          <cell r="R981">
            <v>0</v>
          </cell>
          <cell r="T981">
            <v>6.2679999999999998</v>
          </cell>
          <cell r="V981">
            <v>6.2679999999999998</v>
          </cell>
        </row>
        <row r="982">
          <cell r="E982" t="str">
            <v>SERVICIOS DE TRATAMIENTO DE AGUA PUERTO</v>
          </cell>
          <cell r="P982">
            <v>0</v>
          </cell>
          <cell r="Q982">
            <v>98.246000000000009</v>
          </cell>
          <cell r="R982">
            <v>100</v>
          </cell>
          <cell r="S982">
            <v>0</v>
          </cell>
          <cell r="T982">
            <v>1399.1139999999998</v>
          </cell>
          <cell r="V982">
            <v>1597.36</v>
          </cell>
        </row>
        <row r="985">
          <cell r="E985" t="str">
            <v>Total: MANEJO DE CONCENTRADOS PUNTA CHUNGOS</v>
          </cell>
          <cell r="P985">
            <v>322.78999999999996</v>
          </cell>
          <cell r="Q985">
            <v>3260.819</v>
          </cell>
          <cell r="R985">
            <v>1046.45</v>
          </cell>
          <cell r="S985">
            <v>150</v>
          </cell>
          <cell r="T985">
            <v>4233.6079499999996</v>
          </cell>
          <cell r="V985">
            <v>9013.6669499999989</v>
          </cell>
          <cell r="AA985" t="str">
            <v xml:space="preserve"> </v>
          </cell>
        </row>
        <row r="989">
          <cell r="E989" t="str">
            <v>INFRAESTRUCTURA</v>
          </cell>
        </row>
        <row r="992">
          <cell r="D992" t="str">
            <v>ELECTRICIDAD</v>
          </cell>
        </row>
        <row r="993">
          <cell r="D993">
            <v>7</v>
          </cell>
          <cell r="F993" t="str">
            <v>Transformador de poder trifásico c/resis.puesta a tierra c/pararrayos en 23 Kv</v>
          </cell>
          <cell r="G993" t="str">
            <v>un</v>
          </cell>
          <cell r="H993">
            <v>1</v>
          </cell>
          <cell r="L993">
            <v>1034886</v>
          </cell>
          <cell r="N993">
            <v>108600</v>
          </cell>
          <cell r="P993">
            <v>1034.886</v>
          </cell>
          <cell r="Q993">
            <v>0</v>
          </cell>
          <cell r="R993">
            <v>0</v>
          </cell>
          <cell r="T993">
            <v>108.6</v>
          </cell>
          <cell r="V993">
            <v>1143.4859999999999</v>
          </cell>
        </row>
        <row r="994">
          <cell r="D994">
            <v>7</v>
          </cell>
          <cell r="F994" t="str">
            <v>Transformador de poder trifásico c/resis.puesta a tierra 12/16/20 MVA-23kV/3</v>
          </cell>
          <cell r="G994" t="str">
            <v>un</v>
          </cell>
          <cell r="H994">
            <v>1</v>
          </cell>
          <cell r="L994">
            <v>207000</v>
          </cell>
          <cell r="N994">
            <v>21700</v>
          </cell>
          <cell r="P994">
            <v>0</v>
          </cell>
          <cell r="Q994">
            <v>207</v>
          </cell>
          <cell r="T994">
            <v>21.7</v>
          </cell>
          <cell r="V994">
            <v>228.7</v>
          </cell>
        </row>
        <row r="995">
          <cell r="D995">
            <v>7</v>
          </cell>
          <cell r="F995" t="str">
            <v>Transformador de potencial monofásico 220 kV 50 Hz 1050kV</v>
          </cell>
          <cell r="G995" t="str">
            <v>un</v>
          </cell>
          <cell r="H995">
            <v>3</v>
          </cell>
          <cell r="L995">
            <v>11097</v>
          </cell>
          <cell r="N995">
            <v>1750</v>
          </cell>
          <cell r="P995">
            <v>0</v>
          </cell>
          <cell r="Q995">
            <v>33.290999999999997</v>
          </cell>
          <cell r="T995">
            <v>5.25</v>
          </cell>
          <cell r="V995">
            <v>38.540999999999997</v>
          </cell>
        </row>
        <row r="996">
          <cell r="D996">
            <v>7</v>
          </cell>
          <cell r="F996" t="str">
            <v>transformador de servicios auxiliares 150 kVA 400/220V</v>
          </cell>
          <cell r="G996" t="str">
            <v>un</v>
          </cell>
          <cell r="H996">
            <v>2</v>
          </cell>
          <cell r="L996">
            <v>153350</v>
          </cell>
          <cell r="N996">
            <v>850</v>
          </cell>
          <cell r="P996">
            <v>306.7</v>
          </cell>
          <cell r="T996">
            <v>1.7</v>
          </cell>
          <cell r="V996">
            <v>308.39999999999998</v>
          </cell>
        </row>
        <row r="997">
          <cell r="D997">
            <v>7</v>
          </cell>
          <cell r="F997" t="str">
            <v>Transformador de distribución 500 kVA 23.0 Kv 4000V</v>
          </cell>
          <cell r="G997" t="str">
            <v>un</v>
          </cell>
          <cell r="H997">
            <v>4</v>
          </cell>
          <cell r="L997">
            <v>54370</v>
          </cell>
          <cell r="N997">
            <v>9250</v>
          </cell>
          <cell r="P997">
            <v>217.48</v>
          </cell>
          <cell r="T997">
            <v>37</v>
          </cell>
          <cell r="V997">
            <v>254.48</v>
          </cell>
        </row>
        <row r="998">
          <cell r="D998">
            <v>7</v>
          </cell>
          <cell r="F998" t="str">
            <v>Pararrayos monofásico ZnO, c7base aislante y contador descarga 220 kV, 20kA</v>
          </cell>
          <cell r="G998" t="str">
            <v>un</v>
          </cell>
          <cell r="H998">
            <v>3</v>
          </cell>
          <cell r="L998">
            <v>3876</v>
          </cell>
          <cell r="N998">
            <v>1500</v>
          </cell>
          <cell r="P998">
            <v>0</v>
          </cell>
          <cell r="Q998">
            <v>11.628</v>
          </cell>
          <cell r="T998">
            <v>4.5</v>
          </cell>
          <cell r="V998">
            <v>16.128</v>
          </cell>
        </row>
        <row r="999">
          <cell r="D999">
            <v>7</v>
          </cell>
          <cell r="F999" t="str">
            <v>Interruptor de poder trifásico sellado SF6 intemperie 2000A, 242 kV, 50kA</v>
          </cell>
          <cell r="G999" t="str">
            <v>un</v>
          </cell>
          <cell r="H999">
            <v>1</v>
          </cell>
          <cell r="L999">
            <v>102125</v>
          </cell>
          <cell r="N999">
            <v>15550</v>
          </cell>
          <cell r="P999">
            <v>0</v>
          </cell>
          <cell r="Q999">
            <v>102.125</v>
          </cell>
          <cell r="T999">
            <v>15.55</v>
          </cell>
          <cell r="V999">
            <v>117.675</v>
          </cell>
        </row>
        <row r="1000">
          <cell r="D1000">
            <v>7</v>
          </cell>
          <cell r="F1000" t="str">
            <v>Interruptor bajo carga trifásico intemperie</v>
          </cell>
          <cell r="G1000" t="str">
            <v>un</v>
          </cell>
          <cell r="H1000">
            <v>4</v>
          </cell>
          <cell r="L1000">
            <v>50340</v>
          </cell>
          <cell r="N1000">
            <v>4350</v>
          </cell>
          <cell r="P1000">
            <v>0</v>
          </cell>
          <cell r="Q1000">
            <v>201.36</v>
          </cell>
          <cell r="T1000">
            <v>17.399999999999999</v>
          </cell>
          <cell r="V1000">
            <v>218.76000000000002</v>
          </cell>
        </row>
        <row r="1001">
          <cell r="D1001">
            <v>7</v>
          </cell>
          <cell r="F1001" t="str">
            <v>Desconectador tripolar vertical doble apertura mec.operación a motor</v>
          </cell>
          <cell r="G1001" t="str">
            <v>un</v>
          </cell>
          <cell r="H1001">
            <v>2</v>
          </cell>
          <cell r="L1001">
            <v>17480</v>
          </cell>
          <cell r="N1001">
            <v>10300</v>
          </cell>
          <cell r="P1001">
            <v>0</v>
          </cell>
          <cell r="Q1001">
            <v>34.96</v>
          </cell>
          <cell r="T1001">
            <v>20.6</v>
          </cell>
          <cell r="V1001">
            <v>55.56</v>
          </cell>
        </row>
        <row r="1002">
          <cell r="D1002">
            <v>7</v>
          </cell>
          <cell r="F1002" t="str">
            <v>Filtro de armónicos 23 kV 5° armónica 5MVA</v>
          </cell>
          <cell r="G1002" t="str">
            <v>un</v>
          </cell>
          <cell r="H1002">
            <v>3</v>
          </cell>
          <cell r="L1002">
            <v>200194</v>
          </cell>
          <cell r="N1002">
            <v>25000</v>
          </cell>
          <cell r="P1002">
            <v>0</v>
          </cell>
          <cell r="Q1002">
            <v>600.58199999999999</v>
          </cell>
          <cell r="T1002">
            <v>75</v>
          </cell>
          <cell r="V1002">
            <v>675.58199999999999</v>
          </cell>
        </row>
        <row r="1003">
          <cell r="D1003">
            <v>7</v>
          </cell>
          <cell r="F1003" t="str">
            <v>Filtro de armónicos 23 kV 9,5° armónica 4 MVA</v>
          </cell>
          <cell r="G1003" t="str">
            <v>un</v>
          </cell>
          <cell r="H1003">
            <v>3</v>
          </cell>
          <cell r="L1003">
            <v>200194</v>
          </cell>
          <cell r="N1003">
            <v>25000</v>
          </cell>
          <cell r="P1003">
            <v>0</v>
          </cell>
          <cell r="Q1003">
            <v>600.58199999999999</v>
          </cell>
          <cell r="T1003">
            <v>75</v>
          </cell>
          <cell r="V1003">
            <v>675.58199999999999</v>
          </cell>
        </row>
        <row r="1004">
          <cell r="D1004">
            <v>7</v>
          </cell>
          <cell r="F1004" t="str">
            <v>Celdas 23 kV 1200 A</v>
          </cell>
          <cell r="G1004" t="str">
            <v>un</v>
          </cell>
          <cell r="H1004">
            <v>20</v>
          </cell>
          <cell r="L1004">
            <v>75600</v>
          </cell>
          <cell r="N1004">
            <v>5526</v>
          </cell>
          <cell r="P1004">
            <v>0</v>
          </cell>
          <cell r="Q1004">
            <v>1512</v>
          </cell>
          <cell r="T1004">
            <v>110.52</v>
          </cell>
          <cell r="V1004">
            <v>1622.52</v>
          </cell>
        </row>
        <row r="1005">
          <cell r="D1005">
            <v>7</v>
          </cell>
          <cell r="F1005" t="str">
            <v>panel de protección</v>
          </cell>
          <cell r="G1005" t="str">
            <v>un</v>
          </cell>
          <cell r="H1005">
            <v>1</v>
          </cell>
          <cell r="L1005">
            <v>206152</v>
          </cell>
          <cell r="N1005">
            <v>2225</v>
          </cell>
          <cell r="P1005">
            <v>0</v>
          </cell>
          <cell r="Q1005">
            <v>206.15199999999999</v>
          </cell>
          <cell r="T1005">
            <v>2.2250000000000001</v>
          </cell>
          <cell r="V1005">
            <v>208.37699999999998</v>
          </cell>
        </row>
        <row r="1006">
          <cell r="D1006">
            <v>7</v>
          </cell>
          <cell r="F1006" t="str">
            <v>Cargador de baterías 380V 125DC 60A</v>
          </cell>
          <cell r="G1006" t="str">
            <v>un</v>
          </cell>
          <cell r="H1006">
            <v>1</v>
          </cell>
          <cell r="L1006">
            <v>12243</v>
          </cell>
          <cell r="N1006">
            <v>950</v>
          </cell>
          <cell r="P1006">
            <v>0</v>
          </cell>
          <cell r="Q1006">
            <v>12.243</v>
          </cell>
          <cell r="T1006">
            <v>0.95</v>
          </cell>
          <cell r="V1006">
            <v>13.193</v>
          </cell>
        </row>
        <row r="1007">
          <cell r="D1007">
            <v>7</v>
          </cell>
          <cell r="F1007" t="str">
            <v>Juego de batería niquel cadmio 400 AH 125 VDC</v>
          </cell>
          <cell r="G1007" t="str">
            <v>un</v>
          </cell>
          <cell r="H1007">
            <v>1</v>
          </cell>
          <cell r="L1007">
            <v>24480</v>
          </cell>
          <cell r="N1007">
            <v>1725</v>
          </cell>
          <cell r="P1007">
            <v>0</v>
          </cell>
          <cell r="Q1007">
            <v>24.48</v>
          </cell>
          <cell r="T1007">
            <v>1.7250000000000001</v>
          </cell>
          <cell r="V1007">
            <v>26.205000000000002</v>
          </cell>
        </row>
        <row r="1008">
          <cell r="D1008">
            <v>7</v>
          </cell>
          <cell r="F1008" t="str">
            <v>UPS 5 kVA c/transformador</v>
          </cell>
          <cell r="G1008" t="str">
            <v>un</v>
          </cell>
          <cell r="H1008">
            <v>1</v>
          </cell>
          <cell r="L1008">
            <v>9900</v>
          </cell>
          <cell r="N1008">
            <v>1250</v>
          </cell>
          <cell r="P1008">
            <v>0</v>
          </cell>
          <cell r="Q1008">
            <v>9.9</v>
          </cell>
          <cell r="T1008">
            <v>1.25</v>
          </cell>
          <cell r="V1008">
            <v>11.15</v>
          </cell>
        </row>
        <row r="1009">
          <cell r="D1009">
            <v>7</v>
          </cell>
          <cell r="F1009" t="str">
            <v>Aislador de pedestal completo c/pernos de fijación modelo LAPP 315324-H</v>
          </cell>
          <cell r="G1009" t="str">
            <v>un</v>
          </cell>
          <cell r="H1009">
            <v>6</v>
          </cell>
          <cell r="L1009">
            <v>5373</v>
          </cell>
          <cell r="N1009">
            <v>680</v>
          </cell>
          <cell r="P1009">
            <v>0</v>
          </cell>
          <cell r="Q1009">
            <v>32.238</v>
          </cell>
          <cell r="T1009">
            <v>4.08</v>
          </cell>
          <cell r="V1009">
            <v>36.317999999999998</v>
          </cell>
        </row>
        <row r="1010">
          <cell r="D1010">
            <v>7</v>
          </cell>
          <cell r="F1010" t="str">
            <v>Cable de aluminio tipo AAC Coreosis 1590 MCM</v>
          </cell>
          <cell r="G1010" t="str">
            <v>un</v>
          </cell>
          <cell r="H1010">
            <v>500</v>
          </cell>
          <cell r="L1010">
            <v>23</v>
          </cell>
          <cell r="N1010">
            <v>1</v>
          </cell>
          <cell r="P1010">
            <v>0</v>
          </cell>
          <cell r="Q1010">
            <v>11.5</v>
          </cell>
          <cell r="T1010">
            <v>0.5</v>
          </cell>
          <cell r="V1010">
            <v>12</v>
          </cell>
        </row>
        <row r="1011">
          <cell r="D1011">
            <v>7</v>
          </cell>
          <cell r="F1011" t="str">
            <v>Cable unipolar aislado133% EPR 25kV 250 MCM</v>
          </cell>
          <cell r="G1011" t="str">
            <v>un</v>
          </cell>
          <cell r="H1011">
            <v>2160</v>
          </cell>
          <cell r="L1011">
            <v>25</v>
          </cell>
          <cell r="N1011">
            <v>13</v>
          </cell>
          <cell r="P1011">
            <v>54</v>
          </cell>
          <cell r="T1011">
            <v>28.08</v>
          </cell>
          <cell r="V1011">
            <v>82.08</v>
          </cell>
        </row>
        <row r="1012">
          <cell r="D1012">
            <v>7</v>
          </cell>
          <cell r="F1012" t="str">
            <v>Cable unipolar aislado133% EPR 25kV 1000 MCM</v>
          </cell>
          <cell r="G1012" t="str">
            <v>un</v>
          </cell>
          <cell r="H1012">
            <v>4800</v>
          </cell>
          <cell r="L1012">
            <v>50</v>
          </cell>
          <cell r="N1012">
            <v>26</v>
          </cell>
          <cell r="P1012">
            <v>240</v>
          </cell>
          <cell r="T1012">
            <v>124.8</v>
          </cell>
          <cell r="V1012">
            <v>364.8</v>
          </cell>
        </row>
        <row r="1013">
          <cell r="D1013">
            <v>7</v>
          </cell>
          <cell r="F1013" t="str">
            <v>Cable unipolar aislado133% EPR 5kV 1000 MCM</v>
          </cell>
          <cell r="G1013" t="str">
            <v>un</v>
          </cell>
          <cell r="H1013">
            <v>1500</v>
          </cell>
          <cell r="L1013">
            <v>56</v>
          </cell>
          <cell r="N1013">
            <v>5</v>
          </cell>
          <cell r="P1013">
            <v>84</v>
          </cell>
          <cell r="T1013">
            <v>7.5</v>
          </cell>
          <cell r="V1013">
            <v>91.5</v>
          </cell>
        </row>
        <row r="1014">
          <cell r="D1014">
            <v>7</v>
          </cell>
          <cell r="F1014" t="str">
            <v>Mastil de pararrayos Ñ h=22m</v>
          </cell>
          <cell r="G1014" t="str">
            <v>un</v>
          </cell>
          <cell r="H1014">
            <v>3</v>
          </cell>
          <cell r="L1014">
            <v>10000</v>
          </cell>
          <cell r="N1014">
            <v>2500</v>
          </cell>
          <cell r="P1014">
            <v>30</v>
          </cell>
          <cell r="T1014">
            <v>7.5</v>
          </cell>
          <cell r="V1014">
            <v>37.5</v>
          </cell>
        </row>
        <row r="1015">
          <cell r="D1015">
            <v>7</v>
          </cell>
          <cell r="F1015" t="str">
            <v>Ferretería y conectores patio altaa tensión clase 220 kV</v>
          </cell>
          <cell r="G1015" t="str">
            <v>un</v>
          </cell>
          <cell r="H1015">
            <v>1</v>
          </cell>
          <cell r="L1015">
            <v>22043</v>
          </cell>
          <cell r="N1015">
            <v>62500</v>
          </cell>
          <cell r="P1015">
            <v>22.042999999999999</v>
          </cell>
          <cell r="T1015">
            <v>62.5</v>
          </cell>
          <cell r="V1015">
            <v>84.543000000000006</v>
          </cell>
        </row>
        <row r="1016">
          <cell r="D1016">
            <v>7</v>
          </cell>
          <cell r="F1016" t="str">
            <v>Cadena 16 aisladores anclaje de porcelana tipo neblina</v>
          </cell>
          <cell r="G1016" t="str">
            <v>un</v>
          </cell>
          <cell r="H1016">
            <v>6</v>
          </cell>
          <cell r="L1016">
            <v>500</v>
          </cell>
          <cell r="N1016">
            <v>39</v>
          </cell>
          <cell r="P1016">
            <v>0</v>
          </cell>
          <cell r="Q1016">
            <v>3</v>
          </cell>
          <cell r="T1016">
            <v>0.23400000000000001</v>
          </cell>
          <cell r="V1016">
            <v>3.234</v>
          </cell>
        </row>
        <row r="1017">
          <cell r="D1017">
            <v>7</v>
          </cell>
          <cell r="F1017" t="str">
            <v>Sistema puesta a tierra sist.Opat-Endesa data eq.prot.fact.superv.de potencia</v>
          </cell>
          <cell r="G1017" t="str">
            <v>un</v>
          </cell>
          <cell r="H1017">
            <v>1</v>
          </cell>
          <cell r="L1017">
            <v>451152</v>
          </cell>
          <cell r="N1017">
            <v>15000</v>
          </cell>
          <cell r="P1017">
            <v>451.15199999999999</v>
          </cell>
          <cell r="T1017">
            <v>15</v>
          </cell>
          <cell r="V1017">
            <v>466.15199999999999</v>
          </cell>
        </row>
        <row r="1018">
          <cell r="D1018">
            <v>7</v>
          </cell>
          <cell r="F1018" t="str">
            <v>Sist.alumbrado y calefacción sist.refr.y presurizac.sist.alarma emergencia</v>
          </cell>
          <cell r="G1018" t="str">
            <v>un</v>
          </cell>
          <cell r="H1018">
            <v>1</v>
          </cell>
          <cell r="L1018">
            <v>18700</v>
          </cell>
          <cell r="N1018">
            <v>2500</v>
          </cell>
          <cell r="P1018">
            <v>0</v>
          </cell>
          <cell r="Q1018">
            <v>18.7</v>
          </cell>
          <cell r="T1018">
            <v>2.5</v>
          </cell>
          <cell r="V1018">
            <v>21.2</v>
          </cell>
        </row>
        <row r="1019">
          <cell r="D1019">
            <v>7</v>
          </cell>
          <cell r="F1019" t="str">
            <v>Mufa terminal 23 kV</v>
          </cell>
          <cell r="G1019" t="str">
            <v>un</v>
          </cell>
          <cell r="H1019">
            <v>48</v>
          </cell>
          <cell r="L1019">
            <v>250</v>
          </cell>
          <cell r="N1019">
            <v>5</v>
          </cell>
          <cell r="P1019">
            <v>0</v>
          </cell>
          <cell r="Q1019">
            <v>12</v>
          </cell>
          <cell r="T1019">
            <v>0.24</v>
          </cell>
          <cell r="V1019">
            <v>12.24</v>
          </cell>
        </row>
        <row r="1020">
          <cell r="D1020">
            <v>7</v>
          </cell>
          <cell r="F1020" t="str">
            <v>Mufa terminal 5 kV</v>
          </cell>
          <cell r="G1020" t="str">
            <v>un</v>
          </cell>
          <cell r="H1020">
            <v>100</v>
          </cell>
          <cell r="L1020">
            <v>100</v>
          </cell>
          <cell r="N1020">
            <v>5</v>
          </cell>
          <cell r="P1020">
            <v>0</v>
          </cell>
          <cell r="Q1020">
            <v>10</v>
          </cell>
          <cell r="T1020">
            <v>0.5</v>
          </cell>
          <cell r="V1020">
            <v>10.5</v>
          </cell>
        </row>
        <row r="1021">
          <cell r="D1021">
            <v>7</v>
          </cell>
          <cell r="F1021" t="str">
            <v>Switchgear 3.45 kV 15 posiciones</v>
          </cell>
          <cell r="G1021" t="str">
            <v>un</v>
          </cell>
          <cell r="H1021">
            <v>20</v>
          </cell>
          <cell r="L1021">
            <v>40000</v>
          </cell>
          <cell r="N1021">
            <v>2500</v>
          </cell>
          <cell r="P1021">
            <v>0</v>
          </cell>
          <cell r="Q1021">
            <v>800</v>
          </cell>
          <cell r="T1021">
            <v>50</v>
          </cell>
          <cell r="V1021">
            <v>850</v>
          </cell>
        </row>
        <row r="1022">
          <cell r="D1022">
            <v>7</v>
          </cell>
          <cell r="F1022" t="str">
            <v>Subestación unitaria c/centro de distribución de carga 2.0/2.3 kVA</v>
          </cell>
          <cell r="G1022" t="str">
            <v>un</v>
          </cell>
          <cell r="H1022">
            <v>6</v>
          </cell>
          <cell r="L1022">
            <v>144350</v>
          </cell>
          <cell r="N1022">
            <v>4350</v>
          </cell>
          <cell r="P1022">
            <v>866.1</v>
          </cell>
          <cell r="T1022">
            <v>26.1</v>
          </cell>
          <cell r="V1022">
            <v>892.2</v>
          </cell>
        </row>
        <row r="1023">
          <cell r="D1023">
            <v>7</v>
          </cell>
          <cell r="F1023" t="str">
            <v>Centro control de motores celdas de flotación 400V 3F 50Hz 4000A</v>
          </cell>
          <cell r="G1023" t="str">
            <v>un</v>
          </cell>
          <cell r="H1023">
            <v>3</v>
          </cell>
          <cell r="L1023">
            <v>35596</v>
          </cell>
          <cell r="N1023">
            <v>4350</v>
          </cell>
          <cell r="P1023">
            <v>53.393999999999998</v>
          </cell>
          <cell r="Q1023">
            <v>53.393999999999998</v>
          </cell>
          <cell r="T1023">
            <v>13.05</v>
          </cell>
          <cell r="V1023">
            <v>119.83799999999999</v>
          </cell>
        </row>
        <row r="1024">
          <cell r="D1024">
            <v>7</v>
          </cell>
          <cell r="F1024" t="str">
            <v>Centro control de motores bombas de pozo 400V 3F 50Hz 800A</v>
          </cell>
          <cell r="G1024" t="str">
            <v>un</v>
          </cell>
          <cell r="H1024">
            <v>4</v>
          </cell>
          <cell r="L1024">
            <v>11865</v>
          </cell>
          <cell r="N1024">
            <v>1450</v>
          </cell>
          <cell r="P1024">
            <v>23.73</v>
          </cell>
          <cell r="Q1024">
            <v>23.73</v>
          </cell>
          <cell r="T1024">
            <v>5.8</v>
          </cell>
          <cell r="V1024">
            <v>53.26</v>
          </cell>
        </row>
        <row r="1025">
          <cell r="D1025">
            <v>7</v>
          </cell>
          <cell r="F1025" t="str">
            <v>Generador diesel 2000 kVA 3hp 400/230 volt</v>
          </cell>
          <cell r="G1025" t="str">
            <v>un</v>
          </cell>
          <cell r="H1025">
            <v>1</v>
          </cell>
          <cell r="L1025">
            <v>311911</v>
          </cell>
          <cell r="N1025">
            <v>9750</v>
          </cell>
          <cell r="P1025">
            <v>0</v>
          </cell>
          <cell r="Q1025">
            <v>311.911</v>
          </cell>
          <cell r="T1025">
            <v>9.75</v>
          </cell>
          <cell r="V1025">
            <v>321.661</v>
          </cell>
        </row>
        <row r="1026">
          <cell r="D1026">
            <v>7</v>
          </cell>
          <cell r="F1026" t="str">
            <v>Transformador 2.0/2.24/2.58 MVA, 400-23/13.8 kV</v>
          </cell>
          <cell r="G1026" t="str">
            <v>un</v>
          </cell>
          <cell r="H1026">
            <v>2</v>
          </cell>
          <cell r="L1026">
            <v>67357</v>
          </cell>
          <cell r="N1026">
            <v>21500</v>
          </cell>
          <cell r="P1026">
            <v>134.714</v>
          </cell>
          <cell r="T1026">
            <v>43</v>
          </cell>
          <cell r="V1026">
            <v>177.714</v>
          </cell>
        </row>
        <row r="1028">
          <cell r="E1028" t="str">
            <v>SUBESTACION PRINCIPAL</v>
          </cell>
          <cell r="P1028">
            <v>3518.1989999999996</v>
          </cell>
          <cell r="Q1028">
            <v>4832.7759999999998</v>
          </cell>
          <cell r="R1028">
            <v>0</v>
          </cell>
          <cell r="S1028">
            <v>0</v>
          </cell>
          <cell r="T1028">
            <v>900.10399999999993</v>
          </cell>
          <cell r="V1028">
            <v>9251.0789999999997</v>
          </cell>
        </row>
        <row r="1032">
          <cell r="D1032" t="str">
            <v>INSTRUMENTACION</v>
          </cell>
        </row>
        <row r="1033">
          <cell r="F1033" t="str">
            <v>Sistema de control distribuido 175 KTPD</v>
          </cell>
          <cell r="G1033" t="str">
            <v>gl</v>
          </cell>
          <cell r="H1033">
            <v>1</v>
          </cell>
          <cell r="V1033">
            <v>2251</v>
          </cell>
        </row>
        <row r="1034">
          <cell r="F1034" t="str">
            <v>Instrumentación de procesos 175 KTPD</v>
          </cell>
          <cell r="G1034" t="str">
            <v>gl</v>
          </cell>
          <cell r="H1034">
            <v>1</v>
          </cell>
          <cell r="V1034">
            <v>5483</v>
          </cell>
        </row>
        <row r="1035">
          <cell r="E1035" t="str">
            <v>CONTROL DISTRIBUIDO E INSTRUMENTACION</v>
          </cell>
          <cell r="P1035">
            <v>0</v>
          </cell>
          <cell r="Q1035">
            <v>0</v>
          </cell>
          <cell r="R1035">
            <v>0</v>
          </cell>
          <cell r="S1035">
            <v>0</v>
          </cell>
          <cell r="T1035">
            <v>0</v>
          </cell>
          <cell r="V1035">
            <v>7734</v>
          </cell>
        </row>
        <row r="1038">
          <cell r="E1038" t="str">
            <v>Total: INFRAESTRUCTURA (excluye 750 Contr.Distr.e Instrument.)</v>
          </cell>
          <cell r="P1038">
            <v>3518.1989999999996</v>
          </cell>
          <cell r="Q1038">
            <v>4832.7759999999998</v>
          </cell>
          <cell r="R1038">
            <v>0</v>
          </cell>
          <cell r="S1038">
            <v>0</v>
          </cell>
          <cell r="T1038">
            <v>900.10399999999993</v>
          </cell>
          <cell r="U1038">
            <v>0</v>
          </cell>
          <cell r="V1038">
            <v>9251.0789999999997</v>
          </cell>
          <cell r="AA1038" t="str">
            <v xml:space="preserve"> </v>
          </cell>
        </row>
        <row r="1042">
          <cell r="E1042" t="str">
            <v>TOTAL COSTO DIRECTO (Excluye 750 Control Distribuido e Instrumentación)</v>
          </cell>
          <cell r="P1042">
            <v>14703.163499999999</v>
          </cell>
          <cell r="Q1042">
            <v>67107.552499999991</v>
          </cell>
          <cell r="R1042">
            <v>18669.000000000004</v>
          </cell>
          <cell r="S1042">
            <v>1731.75</v>
          </cell>
          <cell r="T1042">
            <v>56603.876549999994</v>
          </cell>
          <cell r="V1042">
            <v>158815.34254999997</v>
          </cell>
        </row>
        <row r="1054">
          <cell r="F1054" t="str">
            <v>Ingenieria y Adquisiciones</v>
          </cell>
        </row>
        <row r="1055">
          <cell r="D1055">
            <v>9</v>
          </cell>
          <cell r="F1055" t="str">
            <v>Ingeniería Básica</v>
          </cell>
          <cell r="G1055" t="str">
            <v>hrs</v>
          </cell>
          <cell r="H1055">
            <v>38080</v>
          </cell>
          <cell r="S1055">
            <v>65</v>
          </cell>
          <cell r="V1055">
            <v>2475.1999999999998</v>
          </cell>
        </row>
        <row r="1056">
          <cell r="D1056">
            <v>9</v>
          </cell>
          <cell r="F1056" t="str">
            <v>Ingeniería de Detalles</v>
          </cell>
          <cell r="G1056" t="str">
            <v>hrs</v>
          </cell>
          <cell r="H1056">
            <v>247060</v>
          </cell>
          <cell r="S1056">
            <v>51</v>
          </cell>
          <cell r="V1056">
            <v>12600.06</v>
          </cell>
        </row>
        <row r="1057">
          <cell r="D1057">
            <v>9</v>
          </cell>
          <cell r="F1057" t="str">
            <v>Asesoría Puesta en Marcha (2% costo equipos)</v>
          </cell>
          <cell r="H1057">
            <v>1</v>
          </cell>
          <cell r="S1057">
            <v>1636000</v>
          </cell>
          <cell r="V1057">
            <v>1636</v>
          </cell>
        </row>
        <row r="1058">
          <cell r="D1058">
            <v>9</v>
          </cell>
          <cell r="F1058" t="str">
            <v>Ingeniería de Terreno</v>
          </cell>
          <cell r="G1058" t="str">
            <v>hrs</v>
          </cell>
          <cell r="H1058">
            <v>0</v>
          </cell>
          <cell r="S1058">
            <v>65</v>
          </cell>
          <cell r="V1058">
            <v>0</v>
          </cell>
        </row>
        <row r="1059">
          <cell r="D1059">
            <v>9</v>
          </cell>
          <cell r="F1059" t="str">
            <v>Gestión de Comprasy Adquisiciones (1% costo mat.y equip.aportados por MLP)</v>
          </cell>
          <cell r="G1059" t="str">
            <v>Sum</v>
          </cell>
          <cell r="H1059">
            <v>1</v>
          </cell>
          <cell r="S1059">
            <v>615000</v>
          </cell>
          <cell r="V1059">
            <v>615</v>
          </cell>
        </row>
        <row r="1060">
          <cell r="F1060" t="str">
            <v xml:space="preserve"> </v>
          </cell>
        </row>
        <row r="1061">
          <cell r="F1061" t="str">
            <v>Administración de la Construcción</v>
          </cell>
        </row>
        <row r="1062">
          <cell r="D1062">
            <v>9</v>
          </cell>
          <cell r="F1062" t="str">
            <v>Administración de la Construcción (5% costo Constr.y Montaje)</v>
          </cell>
          <cell r="G1062" t="str">
            <v>Sum</v>
          </cell>
          <cell r="H1062">
            <v>1</v>
          </cell>
          <cell r="S1062">
            <v>2812000</v>
          </cell>
          <cell r="V1062">
            <v>2812</v>
          </cell>
        </row>
        <row r="1063">
          <cell r="D1063">
            <v>9</v>
          </cell>
          <cell r="F1063" t="str">
            <v>Inspección de la Construcción (5% costo Construcción y Montaje)</v>
          </cell>
          <cell r="G1063" t="str">
            <v>Sum</v>
          </cell>
          <cell r="H1063">
            <v>1</v>
          </cell>
          <cell r="S1063">
            <v>2812000</v>
          </cell>
          <cell r="V1063">
            <v>2812</v>
          </cell>
        </row>
        <row r="1064">
          <cell r="D1064">
            <v>9</v>
          </cell>
          <cell r="F1064" t="str">
            <v>Construction Management (Staff Local)</v>
          </cell>
          <cell r="G1064" t="str">
            <v>Sum</v>
          </cell>
          <cell r="H1064">
            <v>0</v>
          </cell>
        </row>
        <row r="1065">
          <cell r="D1065">
            <v>9</v>
          </cell>
          <cell r="F1065" t="str">
            <v>Air Fares &amp; Turnarounds</v>
          </cell>
          <cell r="G1065" t="str">
            <v>Sum</v>
          </cell>
          <cell r="H1065">
            <v>0</v>
          </cell>
        </row>
        <row r="1066">
          <cell r="D1066">
            <v>9</v>
          </cell>
          <cell r="F1066" t="str">
            <v xml:space="preserve">Room &amp; Board Expat ($25/day hotel, $10/day meals) </v>
          </cell>
          <cell r="G1066" t="str">
            <v>mdy</v>
          </cell>
          <cell r="H1066">
            <v>0</v>
          </cell>
        </row>
        <row r="1067">
          <cell r="D1067">
            <v>9</v>
          </cell>
          <cell r="F1067" t="str">
            <v>Construction Management Office</v>
          </cell>
          <cell r="G1067" t="str">
            <v>Sum</v>
          </cell>
          <cell r="H1067">
            <v>0</v>
          </cell>
        </row>
        <row r="1068">
          <cell r="D1068">
            <v>9</v>
          </cell>
          <cell r="F1068" t="str">
            <v>Long Distance Charges</v>
          </cell>
          <cell r="G1068" t="str">
            <v>Sum</v>
          </cell>
          <cell r="H1068">
            <v>0</v>
          </cell>
        </row>
        <row r="1069">
          <cell r="D1069">
            <v>9</v>
          </cell>
          <cell r="F1069" t="str">
            <v>Furniture &amp; Office Equipment</v>
          </cell>
          <cell r="G1069" t="str">
            <v>Sum</v>
          </cell>
          <cell r="H1069">
            <v>0</v>
          </cell>
        </row>
        <row r="1070">
          <cell r="D1070">
            <v>9</v>
          </cell>
          <cell r="F1070" t="str">
            <v>Office Supplies</v>
          </cell>
          <cell r="G1070" t="str">
            <v>Sum</v>
          </cell>
          <cell r="H1070">
            <v>0</v>
          </cell>
        </row>
        <row r="1071">
          <cell r="D1071">
            <v>9</v>
          </cell>
          <cell r="F1071" t="str">
            <v>Site Signage</v>
          </cell>
          <cell r="G1071" t="str">
            <v>Sum</v>
          </cell>
          <cell r="H1071">
            <v>0</v>
          </cell>
        </row>
        <row r="1072">
          <cell r="D1072">
            <v>9</v>
          </cell>
          <cell r="F1072" t="str">
            <v>Pick-up trucks (1 x 14mnths, 2 x 10mths)</v>
          </cell>
          <cell r="G1072" t="str">
            <v>mnths</v>
          </cell>
          <cell r="H1072">
            <v>0</v>
          </cell>
        </row>
        <row r="1073">
          <cell r="D1073">
            <v>9</v>
          </cell>
          <cell r="F1073" t="str">
            <v>(8) Passenger Bus</v>
          </cell>
          <cell r="G1073" t="str">
            <v>mnths</v>
          </cell>
          <cell r="H1073">
            <v>0</v>
          </cell>
        </row>
        <row r="1074">
          <cell r="D1074">
            <v>9</v>
          </cell>
          <cell r="F1074" t="str">
            <v>Translation Services</v>
          </cell>
          <cell r="G1074" t="str">
            <v>Sum</v>
          </cell>
          <cell r="H1074">
            <v>0</v>
          </cell>
        </row>
        <row r="1076">
          <cell r="E1076" t="str">
            <v>EPCM</v>
          </cell>
          <cell r="V1076">
            <v>22950.26</v>
          </cell>
        </row>
        <row r="1081">
          <cell r="D1081">
            <v>10</v>
          </cell>
          <cell r="F1081" t="str">
            <v>Contratista de construccióm 45% costo de construcción y montaje</v>
          </cell>
          <cell r="G1081" t="str">
            <v>Sum</v>
          </cell>
          <cell r="H1081">
            <v>1</v>
          </cell>
          <cell r="S1081">
            <v>25311000</v>
          </cell>
          <cell r="V1081">
            <v>25311</v>
          </cell>
        </row>
        <row r="1083">
          <cell r="E1083" t="str">
            <v>Indirectos de Construcción</v>
          </cell>
          <cell r="V1083">
            <v>25311</v>
          </cell>
        </row>
        <row r="1086">
          <cell r="H1086">
            <v>1</v>
          </cell>
          <cell r="S1086">
            <v>9529000</v>
          </cell>
          <cell r="V1086">
            <v>9529</v>
          </cell>
        </row>
        <row r="1087">
          <cell r="F1087" t="str">
            <v>Fletes y Seguros 12% total equipos y materiales importados</v>
          </cell>
        </row>
        <row r="1088">
          <cell r="F1088" t="str">
            <v>Fletes y Seguros 4% equipos y materiales nacionales</v>
          </cell>
        </row>
        <row r="1090">
          <cell r="E1090" t="str">
            <v>Fletes y Seguros</v>
          </cell>
          <cell r="V1090">
            <v>9529</v>
          </cell>
        </row>
        <row r="1094">
          <cell r="D1094">
            <v>12</v>
          </cell>
          <cell r="F1094" t="str">
            <v>Asesoría Puesta en Marcha</v>
          </cell>
          <cell r="G1094" t="str">
            <v>Sum</v>
          </cell>
          <cell r="H1094">
            <v>1</v>
          </cell>
          <cell r="S1094">
            <v>2190000</v>
          </cell>
          <cell r="V1094">
            <v>2190</v>
          </cell>
        </row>
        <row r="1095">
          <cell r="D1095">
            <v>12</v>
          </cell>
          <cell r="F1095" t="str">
            <v>Costos Administración de la Construcción (3% costos directos e indirectos)</v>
          </cell>
          <cell r="G1095" t="str">
            <v>Sum</v>
          </cell>
          <cell r="H1095">
            <v>1</v>
          </cell>
          <cell r="S1095">
            <v>6569000</v>
          </cell>
          <cell r="V1095">
            <v>6569</v>
          </cell>
        </row>
        <row r="1097">
          <cell r="E1097" t="str">
            <v>Costos del Propietario</v>
          </cell>
          <cell r="V1097">
            <v>8759</v>
          </cell>
        </row>
        <row r="1100">
          <cell r="H1100">
            <v>1</v>
          </cell>
          <cell r="S1100">
            <v>1683000</v>
          </cell>
          <cell r="V1100">
            <v>1683</v>
          </cell>
        </row>
        <row r="1101">
          <cell r="F1101" t="str">
            <v>Repuestos (5% equipos nuevos distintos a existentes)</v>
          </cell>
        </row>
        <row r="1102">
          <cell r="D1102">
            <v>10</v>
          </cell>
          <cell r="F1102" t="str">
            <v>Repuesto Capital (2.5% costo equip.nuevos distintos a existentes)</v>
          </cell>
          <cell r="G1102" t="str">
            <v>Sum</v>
          </cell>
          <cell r="H1102">
            <v>1</v>
          </cell>
          <cell r="S1102">
            <v>841000</v>
          </cell>
          <cell r="V1102">
            <v>841</v>
          </cell>
        </row>
        <row r="1104">
          <cell r="E1104" t="str">
            <v>Repuestos</v>
          </cell>
          <cell r="V1104">
            <v>2524</v>
          </cell>
        </row>
        <row r="1107">
          <cell r="H1107">
            <v>1</v>
          </cell>
          <cell r="S1107">
            <v>1683000</v>
          </cell>
          <cell r="V1107">
            <v>1683</v>
          </cell>
        </row>
        <row r="1108">
          <cell r="F1108" t="str">
            <v>Bolas</v>
          </cell>
        </row>
        <row r="1109">
          <cell r="F1109" t="str">
            <v>Cal</v>
          </cell>
        </row>
        <row r="1110">
          <cell r="F1110" t="str">
            <v>Reactivos</v>
          </cell>
        </row>
        <row r="1111">
          <cell r="F1111" t="str">
            <v>Miscelaneos</v>
          </cell>
        </row>
        <row r="1113">
          <cell r="E1113" t="str">
            <v>PRIMER LLENADO</v>
          </cell>
          <cell r="V1113">
            <v>1683</v>
          </cell>
        </row>
        <row r="1115">
          <cell r="H1115">
            <v>1</v>
          </cell>
          <cell r="S1115">
            <v>6111000</v>
          </cell>
          <cell r="V1115">
            <v>6111</v>
          </cell>
        </row>
        <row r="1119">
          <cell r="E1119" t="str">
            <v>Derechos</v>
          </cell>
          <cell r="V1119">
            <v>6111</v>
          </cell>
        </row>
        <row r="1122">
          <cell r="F1122" t="str">
            <v>TOTAL COSTOS INDIRECTOS</v>
          </cell>
          <cell r="V1122">
            <v>75184.259999999995</v>
          </cell>
        </row>
        <row r="1126">
          <cell r="F1126" t="str">
            <v>Excavaciones y rellenos</v>
          </cell>
          <cell r="G1126" t="str">
            <v>%</v>
          </cell>
          <cell r="H1126">
            <v>15</v>
          </cell>
        </row>
        <row r="1127">
          <cell r="F1127" t="str">
            <v>Hormigón</v>
          </cell>
          <cell r="G1127" t="str">
            <v>%</v>
          </cell>
          <cell r="H1127">
            <v>15</v>
          </cell>
        </row>
        <row r="1128">
          <cell r="F1128" t="str">
            <v>Estructuras metálicas</v>
          </cell>
          <cell r="G1128" t="str">
            <v>%</v>
          </cell>
          <cell r="H1128">
            <v>10</v>
          </cell>
        </row>
        <row r="1129">
          <cell r="F1129" t="str">
            <v>Construcciones prefabricadas</v>
          </cell>
          <cell r="G1129" t="str">
            <v>%</v>
          </cell>
          <cell r="H1129">
            <v>10</v>
          </cell>
        </row>
        <row r="1130">
          <cell r="F1130" t="str">
            <v>Mecánica equipos motorizados</v>
          </cell>
          <cell r="G1130" t="str">
            <v>%</v>
          </cell>
          <cell r="H1130">
            <v>7</v>
          </cell>
        </row>
        <row r="1131">
          <cell r="F1131" t="str">
            <v>Mecánica equipos metálicos</v>
          </cell>
          <cell r="G1131" t="str">
            <v>%</v>
          </cell>
          <cell r="H1131">
            <v>10</v>
          </cell>
        </row>
        <row r="1132">
          <cell r="F1132" t="str">
            <v>Cañerías</v>
          </cell>
          <cell r="G1132" t="str">
            <v>%</v>
          </cell>
          <cell r="H1132">
            <v>15</v>
          </cell>
        </row>
        <row r="1133">
          <cell r="F1133" t="str">
            <v>Electricidad</v>
          </cell>
          <cell r="G1133" t="str">
            <v>%</v>
          </cell>
          <cell r="H1133">
            <v>15</v>
          </cell>
        </row>
        <row r="1134">
          <cell r="F1134" t="str">
            <v>Instrumentación</v>
          </cell>
          <cell r="G1134" t="str">
            <v>%</v>
          </cell>
          <cell r="H1134">
            <v>10</v>
          </cell>
        </row>
        <row r="1135">
          <cell r="F1135" t="str">
            <v>Arquitectura</v>
          </cell>
          <cell r="G1135" t="str">
            <v>%</v>
          </cell>
          <cell r="H1135">
            <v>10</v>
          </cell>
        </row>
        <row r="1136">
          <cell r="F1136" t="str">
            <v>Equipos móviles</v>
          </cell>
          <cell r="G1136" t="str">
            <v>%</v>
          </cell>
          <cell r="H1136">
            <v>7</v>
          </cell>
        </row>
        <row r="1137">
          <cell r="F1137" t="str">
            <v>Minería</v>
          </cell>
          <cell r="G1137" t="str">
            <v>%</v>
          </cell>
          <cell r="H1137">
            <v>7</v>
          </cell>
        </row>
        <row r="1138">
          <cell r="F1138" t="str">
            <v>Major Eqrthworks (DAMS AND ROADS)</v>
          </cell>
          <cell r="G1138" t="str">
            <v>%</v>
          </cell>
          <cell r="H1138">
            <v>7</v>
          </cell>
        </row>
        <row r="1139">
          <cell r="F1139" t="str">
            <v>EPCM</v>
          </cell>
          <cell r="G1139" t="str">
            <v>%</v>
          </cell>
          <cell r="H1139">
            <v>15</v>
          </cell>
        </row>
        <row r="1140">
          <cell r="F1140" t="str">
            <v>Indirectos de construccion</v>
          </cell>
          <cell r="G1140" t="str">
            <v>%</v>
          </cell>
          <cell r="H1140">
            <v>20</v>
          </cell>
        </row>
        <row r="1141">
          <cell r="F1141" t="str">
            <v>Fletes y seguros</v>
          </cell>
          <cell r="G1141" t="str">
            <v>%</v>
          </cell>
          <cell r="H1141">
            <v>7</v>
          </cell>
        </row>
        <row r="1142">
          <cell r="F1142" t="str">
            <v>Costos propietario</v>
          </cell>
          <cell r="G1142" t="str">
            <v>%</v>
          </cell>
          <cell r="H1142">
            <v>10</v>
          </cell>
        </row>
        <row r="1143">
          <cell r="F1143" t="str">
            <v>Repuestos</v>
          </cell>
          <cell r="G1143" t="str">
            <v>%</v>
          </cell>
          <cell r="H1143">
            <v>7</v>
          </cell>
        </row>
        <row r="1144">
          <cell r="F1144" t="str">
            <v>Primer llenado</v>
          </cell>
          <cell r="G1144" t="str">
            <v>%</v>
          </cell>
          <cell r="H1144">
            <v>10</v>
          </cell>
        </row>
        <row r="1145">
          <cell r="F1145" t="str">
            <v>Derechos de internación</v>
          </cell>
          <cell r="G1145" t="str">
            <v>%</v>
          </cell>
          <cell r="H1145">
            <v>7</v>
          </cell>
        </row>
        <row r="1147">
          <cell r="E1147" t="str">
            <v xml:space="preserve"> </v>
          </cell>
          <cell r="F1147" t="str">
            <v>TOTAL CONTINGENCIA</v>
          </cell>
          <cell r="G1147" t="str">
            <v xml:space="preserve"> </v>
          </cell>
          <cell r="H1147" t="str">
            <v xml:space="preserve"> </v>
          </cell>
        </row>
        <row r="1150">
          <cell r="E1150" t="str">
            <v xml:space="preserve"> </v>
          </cell>
          <cell r="F1150" t="str">
            <v>TOTAL COSTO PROYECTO</v>
          </cell>
        </row>
      </sheetData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 refreshError="1"/>
      <sheetData sheetId="25"/>
      <sheetData sheetId="26"/>
      <sheetData sheetId="2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ª FASE-Expl."/>
      <sheetName val="2ª FASE-Expl."/>
      <sheetName val="1ª FASE"/>
      <sheetName val="2ª FASE"/>
      <sheetName val="Seguros"/>
      <sheetName val="Opcionais"/>
      <sheetName val="Painéis"/>
      <sheetName val="FCAC"/>
      <sheetName val="Hardware-software"/>
      <sheetName val="Engenharia Automação"/>
      <sheetName val="Ferramentas Especiais"/>
      <sheetName val="Coordenação"/>
      <sheetName val="Superv.Comiss."/>
      <sheetName val="Treinamento"/>
      <sheetName val="Telecom"/>
      <sheetName val="Terminais Remotos"/>
      <sheetName val="Plan2"/>
      <sheetName val="Plan1"/>
      <sheetName val="listagem"/>
      <sheetName val="16-equip."/>
      <sheetName val="SERVIÇOS"/>
      <sheetName val="2"/>
      <sheetName val="estimate"/>
      <sheetName val="Seg"/>
      <sheetName val="Ingles"/>
      <sheetName val="1ª_FASE-Expl_"/>
      <sheetName val="2ª_FASE-Expl_"/>
      <sheetName val="1ª_FASE"/>
      <sheetName val="2ª_FASE"/>
      <sheetName val="Engenharia_Automação"/>
      <sheetName val="Ferramentas_Especiais"/>
      <sheetName val="Superv_Comiss_"/>
      <sheetName val="Terminais_Remot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F2" t="str">
            <v>25/0469</v>
          </cell>
        </row>
        <row r="5">
          <cell r="F5">
            <v>0.81370000000000009</v>
          </cell>
          <cell r="G5">
            <v>60</v>
          </cell>
          <cell r="H5">
            <v>20</v>
          </cell>
          <cell r="I5">
            <v>22</v>
          </cell>
          <cell r="J5">
            <v>20</v>
          </cell>
          <cell r="K5">
            <v>20</v>
          </cell>
          <cell r="L5">
            <v>90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ndências"/>
      <sheetName val="CURVAS"/>
      <sheetName val="COMPRESSORES"/>
      <sheetName val="Comp.Booster"/>
      <sheetName val="Comp.Princ."/>
      <sheetName val="Q RESFRIAM. "/>
      <sheetName val="Aquec. carga"/>
      <sheetName val="Aquecim."/>
      <sheetName val="Trat.Óleo"/>
      <sheetName val="QAg.Resf.C"/>
      <sheetName val="B.Ag.Resf.C"/>
      <sheetName val="QAg.Resf.NC"/>
      <sheetName val="B.Ag.Resf.NC"/>
      <sheetName val="Captação"/>
      <sheetName val="BExport"/>
      <sheetName val="CConstFPSO"/>
      <sheetName val="Total"/>
      <sheetName val="Turbina 1"/>
      <sheetName val="Cap7"/>
      <sheetName val="Consumo"/>
      <sheetName val="Esquema"/>
      <sheetName val="Gases"/>
      <sheetName val="Gases-Acidentes"/>
      <sheetName val="Slop"/>
      <sheetName val="FCAC"/>
      <sheetName val="Capa"/>
      <sheetName val="Planilha1"/>
      <sheetName val="Plan1"/>
      <sheetName val="Referencias"/>
      <sheetName val="Comp_Booster"/>
      <sheetName val="Comp_Princ_"/>
      <sheetName val="Q_RESFRIAM__"/>
      <sheetName val="Aquec__carga"/>
      <sheetName val="Aquecim_"/>
      <sheetName val="Trat_Óleo"/>
      <sheetName val="QAg_Resf_C"/>
      <sheetName val="B_Ag_Resf_C"/>
      <sheetName val="QAg_Resf_NC"/>
      <sheetName val="B_Ag_Resf_NC"/>
      <sheetName val="Turbina_1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nha do tempo do projeto"/>
      <sheetName val="cálculos"/>
      <sheetName val="cálculo+cálculos!$D$59s"/>
      <sheetName val="3"/>
      <sheetName val="Approval"/>
      <sheetName val="Scope and contents"/>
      <sheetName val="Equipment List (Option 1)"/>
      <sheetName val="Notes"/>
      <sheetName val="Equipment List "/>
    </sheetNames>
    <sheetDataSet>
      <sheetData sheetId="0"/>
      <sheetData sheetId="1">
        <row r="25">
          <cell r="D25">
            <v>42958</v>
          </cell>
        </row>
        <row r="26">
          <cell r="D26">
            <v>38</v>
          </cell>
        </row>
        <row r="28">
          <cell r="D28">
            <v>42920</v>
          </cell>
        </row>
        <row r="29">
          <cell r="D29">
            <v>30</v>
          </cell>
        </row>
      </sheetData>
      <sheetData sheetId="2" refreshError="1"/>
      <sheetData sheetId="3" refreshError="1"/>
      <sheetData sheetId="4"/>
      <sheetData sheetId="5"/>
      <sheetData sheetId="6"/>
      <sheetData sheetId="7"/>
      <sheetData sheetId="8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_Geral_Nº Efetivo"/>
      <sheetName val="Tab_Geral_ QTD HH"/>
      <sheetName val="Gráfico_Geral_Nº Efetivo"/>
      <sheetName val="Gráfico_Função_Efetivo (1)"/>
      <sheetName val="Gráfico_Função_Efetivo (2)"/>
      <sheetName val="Gráfico_Função_Efetivo (3)"/>
      <sheetName val="Gráfico_Função_Efetivo (4)"/>
      <sheetName val="Gráfico_Função_Efetivo (5)"/>
      <sheetName val="Gráfico_Função_Efetivo (6)"/>
      <sheetName val="Gráfico_Função_Efetivo (7)"/>
      <sheetName val="Gráfico_Função_Efetivo (8)"/>
      <sheetName val="Gráfico_Função_Efetivo (9)"/>
      <sheetName val="Gráfico_Função_Efetivo (10)"/>
      <sheetName val="Gráfico_Função_Efetivo (11)"/>
      <sheetName val="Gráfico_Função_Efetivo (12)"/>
      <sheetName val="Gráfico_Função_Efetivo (13)"/>
      <sheetName val="Gráfico_Função_Efetivo (14)"/>
      <sheetName val="Gráfico_Função_Efetivo (15)"/>
      <sheetName val="Gráfico_Função_Efetivo (16)"/>
      <sheetName val="Gráfico_Função_Efetivo (17)"/>
      <sheetName val="Gráfico_Função_Efetivo (18)"/>
      <sheetName val="Gráfico_Função_Efetivo (19)"/>
      <sheetName val="Gráfico_Função_Efetivo (20)"/>
      <sheetName val="Gráfico_Função_Efetivo (21)"/>
      <sheetName val="Gráfico_Função_Efetivo (22)"/>
      <sheetName val="Gráfico_Função_Efetivo (23)"/>
      <sheetName val="Gráfico_Função_Efetivo (24)"/>
      <sheetName val="Gráfico_Função_Efetivo (25)"/>
      <sheetName val="Gráfico_Função_Efetivo (26)"/>
      <sheetName val="Gráfico_Função_Efetivo (27)"/>
      <sheetName val="Gráfico_Função_Efetivo (28)"/>
      <sheetName val="Gráfico_Função_Efetivo (29)"/>
      <sheetName val="estimate"/>
      <sheetName val="capa"/>
      <sheetName val="Ingles"/>
      <sheetName val="Tab_Geral_Nº_Efetivo"/>
      <sheetName val="Tab_Geral__QTD_HH"/>
      <sheetName val="Gráfico_Geral_Nº_Efetivo"/>
      <sheetName val="Gráfico_Função_Efetivo_(1)"/>
      <sheetName val="Gráfico_Função_Efetivo_(2)"/>
      <sheetName val="Gráfico_Função_Efetivo_(3)"/>
      <sheetName val="Gráfico_Função_Efetivo_(4)"/>
      <sheetName val="Gráfico_Função_Efetivo_(5)"/>
      <sheetName val="Gráfico_Função_Efetivo_(6)"/>
      <sheetName val="Gráfico_Função_Efetivo_(7)"/>
      <sheetName val="Gráfico_Função_Efetivo_(8)"/>
      <sheetName val="Gráfico_Função_Efetivo_(9)"/>
      <sheetName val="Gráfico_Função_Efetivo_(10)"/>
      <sheetName val="Gráfico_Função_Efetivo_(11)"/>
      <sheetName val="Gráfico_Função_Efetivo_(12)"/>
      <sheetName val="Gráfico_Função_Efetivo_(13)"/>
      <sheetName val="Gráfico_Função_Efetivo_(14)"/>
      <sheetName val="Gráfico_Função_Efetivo_(15)"/>
      <sheetName val="Gráfico_Função_Efetivo_(16)"/>
      <sheetName val="Gráfico_Função_Efetivo_(17)"/>
      <sheetName val="Gráfico_Função_Efetivo_(18)"/>
      <sheetName val="Gráfico_Função_Efetivo_(19)"/>
      <sheetName val="Gráfico_Função_Efetivo_(20)"/>
      <sheetName val="Gráfico_Função_Efetivo_(21)"/>
      <sheetName val="Gráfico_Função_Efetivo_(22)"/>
      <sheetName val="Gráfico_Função_Efetivo_(23)"/>
      <sheetName val="Gráfico_Função_Efetivo_(24)"/>
      <sheetName val="Gráfico_Função_Efetivo_(25)"/>
      <sheetName val="Gráfico_Função_Efetivo_(26)"/>
      <sheetName val="Gráfico_Função_Efetivo_(27)"/>
      <sheetName val="Gráfico_Função_Efetivo_(28)"/>
      <sheetName val="Gráfico_Função_Efetivo_(29)"/>
    </sheetNames>
    <sheetDataSet>
      <sheetData sheetId="0">
        <row r="5">
          <cell r="B5" t="str">
            <v>Descrição</v>
          </cell>
          <cell r="C5" t="str">
            <v>Nº Efetivo Mínimo</v>
          </cell>
          <cell r="D5" t="str">
            <v>Nº Efetivo Média</v>
          </cell>
          <cell r="E5" t="str">
            <v>Nº Efetivo Pico</v>
          </cell>
          <cell r="F5" t="str">
            <v>Período</v>
          </cell>
        </row>
        <row r="6">
          <cell r="F6">
            <v>38696</v>
          </cell>
          <cell r="G6">
            <v>38718</v>
          </cell>
          <cell r="H6">
            <v>38749</v>
          </cell>
          <cell r="I6">
            <v>38777</v>
          </cell>
          <cell r="J6">
            <v>38808</v>
          </cell>
          <cell r="K6">
            <v>38838</v>
          </cell>
          <cell r="L6">
            <v>38869</v>
          </cell>
          <cell r="M6">
            <v>38899</v>
          </cell>
          <cell r="N6">
            <v>38930</v>
          </cell>
          <cell r="O6">
            <v>38961</v>
          </cell>
          <cell r="P6">
            <v>38991</v>
          </cell>
          <cell r="Q6">
            <v>39022</v>
          </cell>
          <cell r="R6">
            <v>39052</v>
          </cell>
          <cell r="S6">
            <v>39083</v>
          </cell>
          <cell r="T6">
            <v>39114</v>
          </cell>
          <cell r="U6">
            <v>39142</v>
          </cell>
          <cell r="V6">
            <v>39173</v>
          </cell>
          <cell r="W6">
            <v>39203</v>
          </cell>
        </row>
        <row r="7">
          <cell r="B7" t="str">
            <v xml:space="preserve">Operador de Escavadeira CAT 320 </v>
          </cell>
          <cell r="C7">
            <v>2</v>
          </cell>
          <cell r="D7">
            <v>7.2</v>
          </cell>
          <cell r="E7">
            <v>9</v>
          </cell>
          <cell r="I7">
            <v>2</v>
          </cell>
          <cell r="J7">
            <v>2</v>
          </cell>
          <cell r="K7">
            <v>9</v>
          </cell>
          <cell r="L7">
            <v>9</v>
          </cell>
          <cell r="M7">
            <v>9</v>
          </cell>
          <cell r="N7">
            <v>9</v>
          </cell>
          <cell r="O7">
            <v>9</v>
          </cell>
          <cell r="P7">
            <v>9</v>
          </cell>
          <cell r="Q7">
            <v>9</v>
          </cell>
          <cell r="R7">
            <v>5</v>
          </cell>
        </row>
        <row r="8">
          <cell r="B8" t="str">
            <v>Operador de Trator de esteira tipo D8</v>
          </cell>
          <cell r="C8">
            <v>1</v>
          </cell>
          <cell r="D8">
            <v>4.8888888888888893</v>
          </cell>
          <cell r="E8">
            <v>6</v>
          </cell>
          <cell r="I8">
            <v>1</v>
          </cell>
          <cell r="J8">
            <v>1</v>
          </cell>
          <cell r="K8">
            <v>6</v>
          </cell>
          <cell r="L8">
            <v>6</v>
          </cell>
          <cell r="M8">
            <v>6</v>
          </cell>
          <cell r="N8">
            <v>6</v>
          </cell>
          <cell r="O8">
            <v>6</v>
          </cell>
          <cell r="P8">
            <v>6</v>
          </cell>
          <cell r="Q8">
            <v>6</v>
          </cell>
        </row>
        <row r="9">
          <cell r="B9" t="str">
            <v>Operador de Motoniveladora CAT 140G</v>
          </cell>
          <cell r="C9">
            <v>2</v>
          </cell>
          <cell r="D9">
            <v>5.5555555555555554</v>
          </cell>
          <cell r="E9">
            <v>8</v>
          </cell>
          <cell r="I9">
            <v>2</v>
          </cell>
          <cell r="J9">
            <v>2</v>
          </cell>
          <cell r="K9">
            <v>8</v>
          </cell>
          <cell r="L9">
            <v>8</v>
          </cell>
          <cell r="M9">
            <v>8</v>
          </cell>
          <cell r="N9">
            <v>6</v>
          </cell>
          <cell r="O9">
            <v>6</v>
          </cell>
          <cell r="P9">
            <v>6</v>
          </cell>
          <cell r="Q9">
            <v>4</v>
          </cell>
        </row>
        <row r="10">
          <cell r="B10" t="str">
            <v>Motorista de Caminhão Basculante 12m³</v>
          </cell>
          <cell r="C10">
            <v>5</v>
          </cell>
          <cell r="D10">
            <v>27.222222222222221</v>
          </cell>
          <cell r="E10">
            <v>45</v>
          </cell>
          <cell r="I10">
            <v>5</v>
          </cell>
          <cell r="J10">
            <v>5</v>
          </cell>
          <cell r="K10">
            <v>10</v>
          </cell>
          <cell r="L10">
            <v>30</v>
          </cell>
          <cell r="M10">
            <v>45</v>
          </cell>
          <cell r="N10">
            <v>45</v>
          </cell>
          <cell r="O10">
            <v>45</v>
          </cell>
          <cell r="P10">
            <v>30</v>
          </cell>
          <cell r="Q10">
            <v>30</v>
          </cell>
        </row>
        <row r="11">
          <cell r="B11" t="str">
            <v>Operador de Rolo Compactador CA-25</v>
          </cell>
          <cell r="C11">
            <v>2</v>
          </cell>
          <cell r="D11">
            <v>7.333333333333333</v>
          </cell>
          <cell r="E11">
            <v>10</v>
          </cell>
          <cell r="I11">
            <v>2</v>
          </cell>
          <cell r="J11">
            <v>6</v>
          </cell>
          <cell r="K11">
            <v>10</v>
          </cell>
          <cell r="L11">
            <v>10</v>
          </cell>
          <cell r="M11">
            <v>10</v>
          </cell>
          <cell r="N11">
            <v>10</v>
          </cell>
          <cell r="O11">
            <v>6</v>
          </cell>
          <cell r="P11">
            <v>6</v>
          </cell>
          <cell r="Q11">
            <v>6</v>
          </cell>
        </row>
        <row r="12">
          <cell r="B12" t="str">
            <v>Mecanico montador</v>
          </cell>
          <cell r="C12">
            <v>6</v>
          </cell>
          <cell r="D12">
            <v>12.25</v>
          </cell>
          <cell r="E12">
            <v>14</v>
          </cell>
          <cell r="J12">
            <v>6</v>
          </cell>
          <cell r="K12">
            <v>14</v>
          </cell>
          <cell r="L12">
            <v>14</v>
          </cell>
          <cell r="M12">
            <v>14</v>
          </cell>
          <cell r="N12">
            <v>14</v>
          </cell>
          <cell r="O12">
            <v>14</v>
          </cell>
          <cell r="P12">
            <v>14</v>
          </cell>
          <cell r="Q12">
            <v>8</v>
          </cell>
        </row>
        <row r="13">
          <cell r="B13" t="str">
            <v>Operador de Trator de Pneu TM-34</v>
          </cell>
          <cell r="C13">
            <v>1</v>
          </cell>
          <cell r="D13">
            <v>3.2857142857142856</v>
          </cell>
          <cell r="E13">
            <v>4</v>
          </cell>
          <cell r="K13">
            <v>4</v>
          </cell>
          <cell r="L13">
            <v>4</v>
          </cell>
          <cell r="M13">
            <v>4</v>
          </cell>
          <cell r="N13">
            <v>4</v>
          </cell>
          <cell r="O13">
            <v>4</v>
          </cell>
          <cell r="P13">
            <v>2</v>
          </cell>
          <cell r="Q13">
            <v>1</v>
          </cell>
        </row>
        <row r="14">
          <cell r="B14" t="str">
            <v>Motorista de Caminhão Tanque (Pipa)</v>
          </cell>
          <cell r="C14">
            <v>2</v>
          </cell>
          <cell r="D14">
            <v>4.2222222222222223</v>
          </cell>
          <cell r="E14">
            <v>6</v>
          </cell>
          <cell r="I14">
            <v>2</v>
          </cell>
          <cell r="J14">
            <v>2</v>
          </cell>
          <cell r="K14">
            <v>4</v>
          </cell>
          <cell r="L14">
            <v>6</v>
          </cell>
          <cell r="M14">
            <v>6</v>
          </cell>
          <cell r="N14">
            <v>6</v>
          </cell>
          <cell r="O14">
            <v>6</v>
          </cell>
          <cell r="P14">
            <v>4</v>
          </cell>
          <cell r="Q14">
            <v>2</v>
          </cell>
        </row>
        <row r="15">
          <cell r="B15" t="str">
            <v>Operador de Carregadeira CAT 966</v>
          </cell>
          <cell r="C15">
            <v>1</v>
          </cell>
          <cell r="D15">
            <v>3.3333333333333335</v>
          </cell>
          <cell r="E15">
            <v>5</v>
          </cell>
          <cell r="I15">
            <v>1</v>
          </cell>
          <cell r="J15">
            <v>1</v>
          </cell>
          <cell r="K15">
            <v>2</v>
          </cell>
          <cell r="L15">
            <v>5</v>
          </cell>
          <cell r="M15">
            <v>5</v>
          </cell>
          <cell r="N15">
            <v>5</v>
          </cell>
          <cell r="O15">
            <v>5</v>
          </cell>
          <cell r="P15">
            <v>4</v>
          </cell>
          <cell r="Q15">
            <v>2</v>
          </cell>
        </row>
        <row r="16">
          <cell r="B16" t="str">
            <v>Motoristas Caminhão Pipa</v>
          </cell>
          <cell r="C16">
            <v>2</v>
          </cell>
          <cell r="D16">
            <v>4.2222222222222223</v>
          </cell>
          <cell r="E16">
            <v>6</v>
          </cell>
          <cell r="I16">
            <v>2</v>
          </cell>
          <cell r="J16">
            <v>2</v>
          </cell>
          <cell r="K16">
            <v>4</v>
          </cell>
          <cell r="L16">
            <v>6</v>
          </cell>
          <cell r="M16">
            <v>6</v>
          </cell>
          <cell r="N16">
            <v>6</v>
          </cell>
          <cell r="O16">
            <v>6</v>
          </cell>
          <cell r="P16">
            <v>4</v>
          </cell>
          <cell r="Q16">
            <v>2</v>
          </cell>
        </row>
        <row r="17">
          <cell r="B17" t="str">
            <v xml:space="preserve">Mestre de obras </v>
          </cell>
          <cell r="C17">
            <v>2</v>
          </cell>
          <cell r="D17">
            <v>4.4000000000000004</v>
          </cell>
          <cell r="E17">
            <v>5</v>
          </cell>
          <cell r="I17">
            <v>5</v>
          </cell>
          <cell r="J17">
            <v>5</v>
          </cell>
          <cell r="K17">
            <v>5</v>
          </cell>
          <cell r="L17">
            <v>5</v>
          </cell>
          <cell r="M17">
            <v>5</v>
          </cell>
          <cell r="N17">
            <v>5</v>
          </cell>
          <cell r="O17">
            <v>5</v>
          </cell>
          <cell r="P17">
            <v>5</v>
          </cell>
          <cell r="Q17">
            <v>5</v>
          </cell>
          <cell r="R17">
            <v>5</v>
          </cell>
          <cell r="S17">
            <v>5</v>
          </cell>
          <cell r="T17">
            <v>5</v>
          </cell>
          <cell r="U17">
            <v>2</v>
          </cell>
          <cell r="V17">
            <v>2</v>
          </cell>
          <cell r="W17">
            <v>2</v>
          </cell>
        </row>
        <row r="18">
          <cell r="B18" t="str">
            <v>Blaster</v>
          </cell>
          <cell r="C18">
            <v>1</v>
          </cell>
          <cell r="D18">
            <v>1</v>
          </cell>
          <cell r="E18">
            <v>1</v>
          </cell>
          <cell r="J18">
            <v>1</v>
          </cell>
          <cell r="K18">
            <v>1</v>
          </cell>
          <cell r="L18">
            <v>1</v>
          </cell>
          <cell r="M18">
            <v>1</v>
          </cell>
          <cell r="N18">
            <v>1</v>
          </cell>
          <cell r="O18">
            <v>1</v>
          </cell>
          <cell r="P18">
            <v>1</v>
          </cell>
          <cell r="Q18">
            <v>1</v>
          </cell>
        </row>
        <row r="19">
          <cell r="B19" t="str">
            <v>Armador</v>
          </cell>
          <cell r="C19">
            <v>2</v>
          </cell>
          <cell r="D19">
            <v>16.214285714285715</v>
          </cell>
          <cell r="E19">
            <v>35</v>
          </cell>
          <cell r="J19">
            <v>5</v>
          </cell>
          <cell r="K19">
            <v>15</v>
          </cell>
          <cell r="L19">
            <v>15</v>
          </cell>
          <cell r="M19">
            <v>25</v>
          </cell>
          <cell r="N19">
            <v>25</v>
          </cell>
          <cell r="O19">
            <v>35</v>
          </cell>
          <cell r="P19">
            <v>35</v>
          </cell>
          <cell r="Q19">
            <v>15</v>
          </cell>
          <cell r="R19">
            <v>15</v>
          </cell>
          <cell r="S19">
            <v>15</v>
          </cell>
          <cell r="T19">
            <v>15</v>
          </cell>
          <cell r="U19">
            <v>5</v>
          </cell>
          <cell r="V19">
            <v>5</v>
          </cell>
          <cell r="W19">
            <v>2</v>
          </cell>
        </row>
        <row r="20">
          <cell r="B20" t="str">
            <v>Encarregado de armação</v>
          </cell>
          <cell r="C20">
            <v>2</v>
          </cell>
          <cell r="D20">
            <v>4</v>
          </cell>
          <cell r="E20">
            <v>5</v>
          </cell>
          <cell r="J20">
            <v>5</v>
          </cell>
          <cell r="K20">
            <v>5</v>
          </cell>
          <cell r="L20">
            <v>5</v>
          </cell>
          <cell r="M20">
            <v>5</v>
          </cell>
          <cell r="N20">
            <v>5</v>
          </cell>
          <cell r="O20">
            <v>5</v>
          </cell>
          <cell r="P20">
            <v>5</v>
          </cell>
          <cell r="Q20">
            <v>5</v>
          </cell>
          <cell r="R20">
            <v>2</v>
          </cell>
          <cell r="S20">
            <v>2</v>
          </cell>
          <cell r="T20">
            <v>2</v>
          </cell>
          <cell r="U20">
            <v>2</v>
          </cell>
        </row>
        <row r="21">
          <cell r="B21" t="str">
            <v>Carpinteiro</v>
          </cell>
          <cell r="C21">
            <v>5</v>
          </cell>
          <cell r="D21">
            <v>18.071428571428573</v>
          </cell>
          <cell r="E21">
            <v>35</v>
          </cell>
          <cell r="J21">
            <v>5</v>
          </cell>
          <cell r="K21">
            <v>10</v>
          </cell>
          <cell r="L21">
            <v>15</v>
          </cell>
          <cell r="M21">
            <v>30</v>
          </cell>
          <cell r="N21">
            <v>30</v>
          </cell>
          <cell r="O21">
            <v>30</v>
          </cell>
          <cell r="P21">
            <v>35</v>
          </cell>
          <cell r="Q21">
            <v>35</v>
          </cell>
          <cell r="R21">
            <v>15</v>
          </cell>
          <cell r="S21">
            <v>15</v>
          </cell>
          <cell r="T21">
            <v>15</v>
          </cell>
          <cell r="U21">
            <v>6</v>
          </cell>
          <cell r="V21">
            <v>6</v>
          </cell>
          <cell r="W21">
            <v>6</v>
          </cell>
        </row>
        <row r="22">
          <cell r="B22" t="str">
            <v>Encarregado de Carpintaria</v>
          </cell>
          <cell r="C22">
            <v>2</v>
          </cell>
          <cell r="D22">
            <v>4</v>
          </cell>
          <cell r="E22">
            <v>5</v>
          </cell>
          <cell r="J22">
            <v>5</v>
          </cell>
          <cell r="K22">
            <v>5</v>
          </cell>
          <cell r="L22">
            <v>5</v>
          </cell>
          <cell r="M22">
            <v>5</v>
          </cell>
          <cell r="N22">
            <v>5</v>
          </cell>
          <cell r="O22">
            <v>5</v>
          </cell>
          <cell r="P22">
            <v>5</v>
          </cell>
          <cell r="Q22">
            <v>5</v>
          </cell>
          <cell r="R22">
            <v>2</v>
          </cell>
          <cell r="S22">
            <v>2</v>
          </cell>
          <cell r="T22">
            <v>2</v>
          </cell>
          <cell r="U22">
            <v>2</v>
          </cell>
        </row>
        <row r="23">
          <cell r="B23" t="str">
            <v>Pedreiro</v>
          </cell>
          <cell r="C23">
            <v>4</v>
          </cell>
          <cell r="D23">
            <v>20</v>
          </cell>
          <cell r="E23">
            <v>35</v>
          </cell>
          <cell r="J23">
            <v>8</v>
          </cell>
          <cell r="K23">
            <v>12</v>
          </cell>
          <cell r="L23">
            <v>12</v>
          </cell>
          <cell r="M23">
            <v>18</v>
          </cell>
          <cell r="N23">
            <v>35</v>
          </cell>
          <cell r="O23">
            <v>35</v>
          </cell>
          <cell r="P23">
            <v>35</v>
          </cell>
          <cell r="Q23">
            <v>35</v>
          </cell>
          <cell r="R23">
            <v>25</v>
          </cell>
          <cell r="S23">
            <v>25</v>
          </cell>
          <cell r="T23">
            <v>20</v>
          </cell>
          <cell r="U23">
            <v>10</v>
          </cell>
          <cell r="V23">
            <v>6</v>
          </cell>
          <cell r="W23">
            <v>4</v>
          </cell>
        </row>
        <row r="24">
          <cell r="B24" t="str">
            <v>Servente</v>
          </cell>
          <cell r="C24">
            <v>15</v>
          </cell>
          <cell r="D24">
            <v>93.214285714285708</v>
          </cell>
          <cell r="E24">
            <v>140</v>
          </cell>
          <cell r="J24">
            <v>15</v>
          </cell>
          <cell r="K24">
            <v>40</v>
          </cell>
          <cell r="L24">
            <v>60</v>
          </cell>
          <cell r="M24">
            <v>120</v>
          </cell>
          <cell r="N24">
            <v>120</v>
          </cell>
          <cell r="O24">
            <v>120</v>
          </cell>
          <cell r="P24">
            <v>140</v>
          </cell>
          <cell r="Q24">
            <v>140</v>
          </cell>
          <cell r="R24">
            <v>140</v>
          </cell>
          <cell r="S24">
            <v>120</v>
          </cell>
          <cell r="T24">
            <v>120</v>
          </cell>
          <cell r="U24">
            <v>90</v>
          </cell>
          <cell r="V24">
            <v>60</v>
          </cell>
          <cell r="W24">
            <v>20</v>
          </cell>
        </row>
        <row r="25">
          <cell r="B25" t="str">
            <v>Soldador</v>
          </cell>
          <cell r="C25">
            <v>1</v>
          </cell>
          <cell r="D25">
            <v>6.4615384615384617</v>
          </cell>
          <cell r="E25">
            <v>8</v>
          </cell>
          <cell r="K25">
            <v>8</v>
          </cell>
          <cell r="L25">
            <v>8</v>
          </cell>
          <cell r="M25">
            <v>8</v>
          </cell>
          <cell r="N25">
            <v>8</v>
          </cell>
          <cell r="O25">
            <v>8</v>
          </cell>
          <cell r="P25">
            <v>8</v>
          </cell>
          <cell r="Q25">
            <v>8</v>
          </cell>
          <cell r="R25">
            <v>8</v>
          </cell>
          <cell r="S25">
            <v>8</v>
          </cell>
          <cell r="T25">
            <v>8</v>
          </cell>
          <cell r="U25">
            <v>2</v>
          </cell>
          <cell r="V25">
            <v>1</v>
          </cell>
          <cell r="W25">
            <v>1</v>
          </cell>
        </row>
        <row r="26">
          <cell r="B26" t="str">
            <v>Operador de compressor</v>
          </cell>
          <cell r="C26">
            <v>1</v>
          </cell>
          <cell r="D26">
            <v>1.4</v>
          </cell>
          <cell r="E26">
            <v>2</v>
          </cell>
          <cell r="K26">
            <v>1</v>
          </cell>
          <cell r="L26">
            <v>1</v>
          </cell>
          <cell r="M26">
            <v>1</v>
          </cell>
          <cell r="N26">
            <v>2</v>
          </cell>
          <cell r="O26">
            <v>2</v>
          </cell>
          <cell r="P26">
            <v>2</v>
          </cell>
          <cell r="Q26">
            <v>2</v>
          </cell>
          <cell r="R26">
            <v>1</v>
          </cell>
          <cell r="S26">
            <v>1</v>
          </cell>
          <cell r="T26">
            <v>1</v>
          </cell>
        </row>
        <row r="27">
          <cell r="B27" t="str">
            <v>Mareteleteiro</v>
          </cell>
          <cell r="C27">
            <v>1</v>
          </cell>
          <cell r="D27">
            <v>1.4</v>
          </cell>
          <cell r="E27">
            <v>2</v>
          </cell>
          <cell r="M27">
            <v>1</v>
          </cell>
          <cell r="N27">
            <v>1</v>
          </cell>
          <cell r="O27">
            <v>1</v>
          </cell>
          <cell r="P27">
            <v>2</v>
          </cell>
          <cell r="Q27">
            <v>2</v>
          </cell>
          <cell r="R27">
            <v>2</v>
          </cell>
          <cell r="S27">
            <v>2</v>
          </cell>
          <cell r="T27">
            <v>1</v>
          </cell>
          <cell r="U27">
            <v>1</v>
          </cell>
          <cell r="V27">
            <v>1</v>
          </cell>
        </row>
        <row r="28">
          <cell r="B28" t="str">
            <v>Operador de rolo liso</v>
          </cell>
          <cell r="C28">
            <v>2</v>
          </cell>
          <cell r="D28">
            <v>6</v>
          </cell>
          <cell r="E28">
            <v>8</v>
          </cell>
          <cell r="P28">
            <v>4</v>
          </cell>
          <cell r="Q28">
            <v>8</v>
          </cell>
          <cell r="R28">
            <v>8</v>
          </cell>
          <cell r="S28">
            <v>8</v>
          </cell>
          <cell r="T28">
            <v>8</v>
          </cell>
          <cell r="U28">
            <v>4</v>
          </cell>
          <cell r="V28">
            <v>2</v>
          </cell>
        </row>
        <row r="29">
          <cell r="B29" t="str">
            <v>Motorista de caminhhão espagidor</v>
          </cell>
          <cell r="C29">
            <v>2</v>
          </cell>
          <cell r="D29">
            <v>4.8571428571428568</v>
          </cell>
          <cell r="E29">
            <v>6</v>
          </cell>
          <cell r="P29">
            <v>4</v>
          </cell>
          <cell r="Q29">
            <v>6</v>
          </cell>
          <cell r="R29">
            <v>6</v>
          </cell>
          <cell r="S29">
            <v>6</v>
          </cell>
          <cell r="T29">
            <v>6</v>
          </cell>
          <cell r="U29">
            <v>4</v>
          </cell>
          <cell r="V29">
            <v>2</v>
          </cell>
        </row>
        <row r="30">
          <cell r="B30" t="str">
            <v>Operador de acabadeira</v>
          </cell>
          <cell r="C30">
            <v>2</v>
          </cell>
          <cell r="D30">
            <v>4.8571428571428568</v>
          </cell>
          <cell r="E30">
            <v>6</v>
          </cell>
          <cell r="P30">
            <v>4</v>
          </cell>
          <cell r="Q30">
            <v>6</v>
          </cell>
          <cell r="R30">
            <v>6</v>
          </cell>
          <cell r="S30">
            <v>6</v>
          </cell>
          <cell r="T30">
            <v>6</v>
          </cell>
          <cell r="U30">
            <v>4</v>
          </cell>
          <cell r="V30">
            <v>2</v>
          </cell>
        </row>
        <row r="31">
          <cell r="B31" t="str">
            <v>Operador de motosserra</v>
          </cell>
          <cell r="C31">
            <v>12</v>
          </cell>
          <cell r="D31">
            <v>12</v>
          </cell>
          <cell r="E31">
            <v>12</v>
          </cell>
          <cell r="I31">
            <v>12</v>
          </cell>
          <cell r="J31">
            <v>12</v>
          </cell>
          <cell r="K31">
            <v>12</v>
          </cell>
          <cell r="L31">
            <v>12</v>
          </cell>
          <cell r="M31">
            <v>12</v>
          </cell>
          <cell r="N31">
            <v>12</v>
          </cell>
          <cell r="O31">
            <v>12</v>
          </cell>
        </row>
        <row r="32">
          <cell r="B32" t="str">
            <v>Equipe de topografia</v>
          </cell>
          <cell r="C32">
            <v>1</v>
          </cell>
          <cell r="D32">
            <v>3.1333333333333333</v>
          </cell>
          <cell r="E32">
            <v>4</v>
          </cell>
          <cell r="I32">
            <v>3</v>
          </cell>
          <cell r="J32">
            <v>3</v>
          </cell>
          <cell r="K32">
            <v>4</v>
          </cell>
          <cell r="L32">
            <v>4</v>
          </cell>
          <cell r="M32">
            <v>4</v>
          </cell>
          <cell r="N32">
            <v>4</v>
          </cell>
          <cell r="O32">
            <v>4</v>
          </cell>
          <cell r="P32">
            <v>4</v>
          </cell>
          <cell r="Q32">
            <v>4</v>
          </cell>
          <cell r="R32">
            <v>4</v>
          </cell>
          <cell r="S32">
            <v>3</v>
          </cell>
          <cell r="T32">
            <v>3</v>
          </cell>
          <cell r="U32">
            <v>1</v>
          </cell>
          <cell r="V32">
            <v>1</v>
          </cell>
          <cell r="W32">
            <v>1</v>
          </cell>
        </row>
        <row r="33">
          <cell r="B33" t="str">
            <v>Op. Caminhão de pintura</v>
          </cell>
          <cell r="C33">
            <v>2</v>
          </cell>
          <cell r="D33">
            <v>2</v>
          </cell>
          <cell r="E33">
            <v>2</v>
          </cell>
          <cell r="U33">
            <v>2</v>
          </cell>
          <cell r="V33">
            <v>2</v>
          </cell>
          <cell r="W33">
            <v>2</v>
          </cell>
        </row>
        <row r="34">
          <cell r="B34" t="str">
            <v>Op. De perfuratriz</v>
          </cell>
          <cell r="C34">
            <v>1</v>
          </cell>
          <cell r="D34">
            <v>1</v>
          </cell>
          <cell r="E34">
            <v>1</v>
          </cell>
          <cell r="N34">
            <v>1</v>
          </cell>
          <cell r="O34">
            <v>1</v>
          </cell>
          <cell r="P34">
            <v>1</v>
          </cell>
          <cell r="Q34">
            <v>1</v>
          </cell>
          <cell r="R34">
            <v>1</v>
          </cell>
          <cell r="S34">
            <v>1</v>
          </cell>
        </row>
        <row r="35">
          <cell r="B35" t="str">
            <v>Demais Funções</v>
          </cell>
          <cell r="C35">
            <v>20</v>
          </cell>
          <cell r="D35">
            <v>53.866666666666667</v>
          </cell>
          <cell r="E35">
            <v>80</v>
          </cell>
          <cell r="I35">
            <v>20</v>
          </cell>
          <cell r="J35">
            <v>30</v>
          </cell>
          <cell r="K35">
            <v>50</v>
          </cell>
          <cell r="L35">
            <v>50</v>
          </cell>
          <cell r="M35">
            <v>68</v>
          </cell>
          <cell r="N35">
            <v>80</v>
          </cell>
          <cell r="O35">
            <v>80</v>
          </cell>
          <cell r="P35">
            <v>80</v>
          </cell>
          <cell r="Q35">
            <v>80</v>
          </cell>
          <cell r="R35">
            <v>60</v>
          </cell>
          <cell r="S35">
            <v>50</v>
          </cell>
          <cell r="T35">
            <v>50</v>
          </cell>
          <cell r="U35">
            <v>50</v>
          </cell>
          <cell r="V35">
            <v>40</v>
          </cell>
          <cell r="W35">
            <v>20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stograma_Equip"/>
      <sheetName val="Gráfico_Equip"/>
      <sheetName val="Histograma_MOD"/>
      <sheetName val="Gráfico_MOD"/>
      <sheetName val="Histograma_MOI"/>
      <sheetName val="Gráfico_MOI"/>
      <sheetName val="cap7"/>
      <sheetName val="listagem"/>
      <sheetName val="costomat.xls"/>
      <sheetName val="Ingles"/>
    </sheetNames>
    <sheetDataSet>
      <sheetData sheetId="0">
        <row r="7">
          <cell r="B7" t="str">
            <v>Escavadeira CAT 320 ou Equivalente</v>
          </cell>
          <cell r="C7" t="str">
            <v>Prev.</v>
          </cell>
          <cell r="D7">
            <v>1</v>
          </cell>
          <cell r="E7">
            <v>3.6666666666666665</v>
          </cell>
          <cell r="F7">
            <v>5</v>
          </cell>
          <cell r="G7">
            <v>3</v>
          </cell>
          <cell r="H7">
            <v>3</v>
          </cell>
          <cell r="I7">
            <v>2</v>
          </cell>
          <cell r="J7">
            <v>2</v>
          </cell>
          <cell r="K7">
            <v>3</v>
          </cell>
          <cell r="L7">
            <v>4</v>
          </cell>
          <cell r="M7">
            <v>5</v>
          </cell>
          <cell r="N7">
            <v>5</v>
          </cell>
          <cell r="O7">
            <v>5</v>
          </cell>
          <cell r="P7">
            <v>5</v>
          </cell>
          <cell r="Q7">
            <v>5</v>
          </cell>
          <cell r="R7">
            <v>5</v>
          </cell>
          <cell r="S7">
            <v>5</v>
          </cell>
          <cell r="T7">
            <v>2</v>
          </cell>
          <cell r="U7">
            <v>1</v>
          </cell>
        </row>
        <row r="8">
          <cell r="C8" t="str">
            <v>Real.</v>
          </cell>
          <cell r="D8">
            <v>2</v>
          </cell>
          <cell r="E8">
            <v>2.6666666666666665</v>
          </cell>
          <cell r="F8">
            <v>3</v>
          </cell>
          <cell r="G8">
            <v>3</v>
          </cell>
          <cell r="H8">
            <v>3</v>
          </cell>
          <cell r="I8">
            <v>2</v>
          </cell>
        </row>
        <row r="9">
          <cell r="C9" t="str">
            <v>Proj.</v>
          </cell>
          <cell r="D9">
            <v>1</v>
          </cell>
          <cell r="E9">
            <v>3.6666666666666665</v>
          </cell>
          <cell r="F9">
            <v>5</v>
          </cell>
          <cell r="G9">
            <v>3</v>
          </cell>
          <cell r="H9">
            <v>3</v>
          </cell>
          <cell r="I9">
            <v>2</v>
          </cell>
          <cell r="J9">
            <v>2</v>
          </cell>
          <cell r="K9">
            <v>3</v>
          </cell>
          <cell r="L9">
            <v>4</v>
          </cell>
          <cell r="M9">
            <v>5</v>
          </cell>
          <cell r="N9">
            <v>5</v>
          </cell>
          <cell r="O9">
            <v>5</v>
          </cell>
          <cell r="P9">
            <v>5</v>
          </cell>
          <cell r="Q9">
            <v>5</v>
          </cell>
          <cell r="R9">
            <v>5</v>
          </cell>
          <cell r="S9">
            <v>5</v>
          </cell>
          <cell r="T9">
            <v>2</v>
          </cell>
          <cell r="U9">
            <v>1</v>
          </cell>
        </row>
        <row r="10">
          <cell r="B10" t="str">
            <v>Trator de esteira</v>
          </cell>
          <cell r="C10" t="str">
            <v>Prev.</v>
          </cell>
          <cell r="D10">
            <v>1</v>
          </cell>
          <cell r="E10">
            <v>2.2666666666666666</v>
          </cell>
          <cell r="F10">
            <v>3</v>
          </cell>
          <cell r="G10">
            <v>2</v>
          </cell>
          <cell r="H10">
            <v>2</v>
          </cell>
          <cell r="I10">
            <v>1</v>
          </cell>
          <cell r="J10">
            <v>1</v>
          </cell>
          <cell r="K10">
            <v>2</v>
          </cell>
          <cell r="L10">
            <v>2</v>
          </cell>
          <cell r="M10">
            <v>3</v>
          </cell>
          <cell r="N10">
            <v>3</v>
          </cell>
          <cell r="O10">
            <v>3</v>
          </cell>
          <cell r="P10">
            <v>3</v>
          </cell>
          <cell r="Q10">
            <v>3</v>
          </cell>
          <cell r="R10">
            <v>3</v>
          </cell>
          <cell r="S10">
            <v>3</v>
          </cell>
          <cell r="T10">
            <v>2</v>
          </cell>
          <cell r="U10">
            <v>1</v>
          </cell>
        </row>
        <row r="11">
          <cell r="C11" t="str">
            <v>Real.</v>
          </cell>
          <cell r="D11">
            <v>1</v>
          </cell>
          <cell r="E11">
            <v>1.6666666666666667</v>
          </cell>
          <cell r="F11">
            <v>2</v>
          </cell>
          <cell r="G11">
            <v>2</v>
          </cell>
          <cell r="H11">
            <v>2</v>
          </cell>
          <cell r="I11">
            <v>1</v>
          </cell>
        </row>
        <row r="12">
          <cell r="C12" t="str">
            <v>Proj.</v>
          </cell>
          <cell r="D12">
            <v>1</v>
          </cell>
          <cell r="E12">
            <v>2.2666666666666666</v>
          </cell>
          <cell r="F12">
            <v>3</v>
          </cell>
          <cell r="G12">
            <v>2</v>
          </cell>
          <cell r="H12">
            <v>2</v>
          </cell>
          <cell r="I12">
            <v>1</v>
          </cell>
          <cell r="J12">
            <v>1</v>
          </cell>
          <cell r="K12">
            <v>2</v>
          </cell>
          <cell r="L12">
            <v>2</v>
          </cell>
          <cell r="M12">
            <v>3</v>
          </cell>
          <cell r="N12">
            <v>3</v>
          </cell>
          <cell r="O12">
            <v>3</v>
          </cell>
          <cell r="P12">
            <v>3</v>
          </cell>
          <cell r="Q12">
            <v>3</v>
          </cell>
          <cell r="R12">
            <v>3</v>
          </cell>
          <cell r="S12">
            <v>3</v>
          </cell>
          <cell r="T12">
            <v>2</v>
          </cell>
          <cell r="U12">
            <v>1</v>
          </cell>
        </row>
        <row r="13">
          <cell r="B13" t="str">
            <v>Motoniveladora</v>
          </cell>
          <cell r="C13" t="str">
            <v>Prev.</v>
          </cell>
          <cell r="D13">
            <v>1</v>
          </cell>
          <cell r="E13">
            <v>2.4</v>
          </cell>
          <cell r="F13">
            <v>3</v>
          </cell>
          <cell r="G13">
            <v>2</v>
          </cell>
          <cell r="H13">
            <v>2</v>
          </cell>
          <cell r="I13">
            <v>2</v>
          </cell>
          <cell r="J13">
            <v>2</v>
          </cell>
          <cell r="K13">
            <v>2</v>
          </cell>
          <cell r="L13">
            <v>2</v>
          </cell>
          <cell r="M13">
            <v>3</v>
          </cell>
          <cell r="N13">
            <v>3</v>
          </cell>
          <cell r="O13">
            <v>3</v>
          </cell>
          <cell r="P13">
            <v>3</v>
          </cell>
          <cell r="Q13">
            <v>3</v>
          </cell>
          <cell r="R13">
            <v>3</v>
          </cell>
          <cell r="S13">
            <v>3</v>
          </cell>
          <cell r="T13">
            <v>2</v>
          </cell>
          <cell r="U13">
            <v>1</v>
          </cell>
        </row>
        <row r="14">
          <cell r="C14" t="str">
            <v>Real.</v>
          </cell>
          <cell r="D14">
            <v>2</v>
          </cell>
          <cell r="E14">
            <v>2</v>
          </cell>
          <cell r="F14">
            <v>2</v>
          </cell>
          <cell r="G14">
            <v>2</v>
          </cell>
          <cell r="H14">
            <v>2</v>
          </cell>
          <cell r="I14">
            <v>2</v>
          </cell>
        </row>
        <row r="15">
          <cell r="C15" t="str">
            <v>Proj.</v>
          </cell>
          <cell r="D15">
            <v>1</v>
          </cell>
          <cell r="E15">
            <v>2.4</v>
          </cell>
          <cell r="F15">
            <v>3</v>
          </cell>
          <cell r="G15">
            <v>2</v>
          </cell>
          <cell r="H15">
            <v>2</v>
          </cell>
          <cell r="I15">
            <v>2</v>
          </cell>
          <cell r="J15">
            <v>2</v>
          </cell>
          <cell r="K15">
            <v>2</v>
          </cell>
          <cell r="L15">
            <v>2</v>
          </cell>
          <cell r="M15">
            <v>3</v>
          </cell>
          <cell r="N15">
            <v>3</v>
          </cell>
          <cell r="O15">
            <v>3</v>
          </cell>
          <cell r="P15">
            <v>3</v>
          </cell>
          <cell r="Q15">
            <v>3</v>
          </cell>
          <cell r="R15">
            <v>3</v>
          </cell>
          <cell r="S15">
            <v>3</v>
          </cell>
          <cell r="T15">
            <v>2</v>
          </cell>
          <cell r="U15">
            <v>1</v>
          </cell>
        </row>
        <row r="16">
          <cell r="B16" t="str">
            <v>Caminhão Basculante</v>
          </cell>
          <cell r="C16" t="str">
            <v>Prev.</v>
          </cell>
          <cell r="D16">
            <v>5</v>
          </cell>
          <cell r="E16">
            <v>19.600000000000001</v>
          </cell>
          <cell r="F16">
            <v>29</v>
          </cell>
          <cell r="G16">
            <v>7</v>
          </cell>
          <cell r="H16">
            <v>7</v>
          </cell>
          <cell r="I16">
            <v>5</v>
          </cell>
          <cell r="J16">
            <v>5</v>
          </cell>
          <cell r="K16">
            <v>15</v>
          </cell>
          <cell r="L16">
            <v>19</v>
          </cell>
          <cell r="M16">
            <v>24</v>
          </cell>
          <cell r="N16">
            <v>29</v>
          </cell>
          <cell r="O16">
            <v>29</v>
          </cell>
          <cell r="P16">
            <v>29</v>
          </cell>
          <cell r="Q16">
            <v>29</v>
          </cell>
          <cell r="R16">
            <v>29</v>
          </cell>
          <cell r="S16">
            <v>29</v>
          </cell>
          <cell r="T16">
            <v>26</v>
          </cell>
          <cell r="U16">
            <v>12</v>
          </cell>
        </row>
        <row r="17">
          <cell r="C17" t="str">
            <v>Real.</v>
          </cell>
          <cell r="D17">
            <v>2</v>
          </cell>
          <cell r="E17">
            <v>4</v>
          </cell>
          <cell r="F17">
            <v>5</v>
          </cell>
          <cell r="G17">
            <v>2</v>
          </cell>
          <cell r="H17">
            <v>5</v>
          </cell>
          <cell r="I17">
            <v>5</v>
          </cell>
        </row>
        <row r="18">
          <cell r="C18" t="str">
            <v>Proj.</v>
          </cell>
          <cell r="D18">
            <v>2</v>
          </cell>
          <cell r="E18">
            <v>19.133333333333333</v>
          </cell>
          <cell r="F18">
            <v>29</v>
          </cell>
          <cell r="G18">
            <v>2</v>
          </cell>
          <cell r="H18">
            <v>5</v>
          </cell>
          <cell r="I18">
            <v>5</v>
          </cell>
          <cell r="J18">
            <v>5</v>
          </cell>
          <cell r="K18">
            <v>15</v>
          </cell>
          <cell r="L18">
            <v>19</v>
          </cell>
          <cell r="M18">
            <v>24</v>
          </cell>
          <cell r="N18">
            <v>29</v>
          </cell>
          <cell r="O18">
            <v>29</v>
          </cell>
          <cell r="P18">
            <v>29</v>
          </cell>
          <cell r="Q18">
            <v>29</v>
          </cell>
          <cell r="R18">
            <v>29</v>
          </cell>
          <cell r="S18">
            <v>29</v>
          </cell>
          <cell r="T18">
            <v>26</v>
          </cell>
          <cell r="U18">
            <v>12</v>
          </cell>
        </row>
        <row r="19">
          <cell r="B19" t="str">
            <v>Rolo Compactador</v>
          </cell>
          <cell r="C19" t="str">
            <v>Prev.</v>
          </cell>
          <cell r="D19">
            <v>1</v>
          </cell>
          <cell r="E19">
            <v>1</v>
          </cell>
          <cell r="F19">
            <v>1</v>
          </cell>
          <cell r="M19">
            <v>1</v>
          </cell>
          <cell r="N19">
            <v>1</v>
          </cell>
          <cell r="O19">
            <v>1</v>
          </cell>
          <cell r="P19">
            <v>1</v>
          </cell>
          <cell r="Q19">
            <v>1</v>
          </cell>
          <cell r="R19">
            <v>1</v>
          </cell>
          <cell r="S19">
            <v>1</v>
          </cell>
          <cell r="T19">
            <v>1</v>
          </cell>
          <cell r="U19">
            <v>1</v>
          </cell>
          <cell r="V19">
            <v>1</v>
          </cell>
        </row>
        <row r="20">
          <cell r="C20" t="str">
            <v>Real.</v>
          </cell>
          <cell r="D20">
            <v>0</v>
          </cell>
          <cell r="E20" t="e">
            <v>#DIV/0!</v>
          </cell>
          <cell r="F20">
            <v>0</v>
          </cell>
        </row>
        <row r="21">
          <cell r="C21" t="str">
            <v>Proj.</v>
          </cell>
          <cell r="D21">
            <v>1</v>
          </cell>
          <cell r="E21">
            <v>1</v>
          </cell>
          <cell r="F21">
            <v>1</v>
          </cell>
          <cell r="M21">
            <v>1</v>
          </cell>
          <cell r="N21">
            <v>1</v>
          </cell>
          <cell r="O21">
            <v>1</v>
          </cell>
          <cell r="P21">
            <v>1</v>
          </cell>
          <cell r="Q21">
            <v>1</v>
          </cell>
          <cell r="R21">
            <v>1</v>
          </cell>
          <cell r="S21">
            <v>1</v>
          </cell>
          <cell r="T21">
            <v>1</v>
          </cell>
          <cell r="U21">
            <v>1</v>
          </cell>
          <cell r="V21">
            <v>1</v>
          </cell>
        </row>
        <row r="22">
          <cell r="B22" t="str">
            <v>Trator Agricola</v>
          </cell>
          <cell r="C22" t="str">
            <v>Prev.</v>
          </cell>
          <cell r="D22">
            <v>1</v>
          </cell>
          <cell r="E22">
            <v>2.6363636363636362</v>
          </cell>
          <cell r="F22">
            <v>3</v>
          </cell>
          <cell r="P22">
            <v>2</v>
          </cell>
          <cell r="Q22">
            <v>3</v>
          </cell>
          <cell r="R22">
            <v>3</v>
          </cell>
          <cell r="S22">
            <v>3</v>
          </cell>
          <cell r="T22">
            <v>3</v>
          </cell>
          <cell r="U22">
            <v>3</v>
          </cell>
          <cell r="V22">
            <v>3</v>
          </cell>
          <cell r="W22">
            <v>3</v>
          </cell>
          <cell r="X22">
            <v>3</v>
          </cell>
          <cell r="Y22">
            <v>2</v>
          </cell>
          <cell r="Z22">
            <v>1</v>
          </cell>
        </row>
        <row r="23">
          <cell r="C23" t="str">
            <v>Real.</v>
          </cell>
          <cell r="D23">
            <v>0</v>
          </cell>
          <cell r="E23" t="e">
            <v>#DIV/0!</v>
          </cell>
          <cell r="F23">
            <v>0</v>
          </cell>
        </row>
        <row r="24">
          <cell r="C24" t="str">
            <v>Proj.</v>
          </cell>
          <cell r="D24">
            <v>1</v>
          </cell>
          <cell r="E24">
            <v>2.6363636363636362</v>
          </cell>
          <cell r="F24">
            <v>3</v>
          </cell>
          <cell r="P24">
            <v>2</v>
          </cell>
          <cell r="Q24">
            <v>3</v>
          </cell>
          <cell r="R24">
            <v>3</v>
          </cell>
          <cell r="S24">
            <v>3</v>
          </cell>
          <cell r="T24">
            <v>3</v>
          </cell>
          <cell r="U24">
            <v>3</v>
          </cell>
          <cell r="V24">
            <v>3</v>
          </cell>
          <cell r="W24">
            <v>3</v>
          </cell>
          <cell r="X24">
            <v>3</v>
          </cell>
          <cell r="Y24">
            <v>2</v>
          </cell>
          <cell r="Z24">
            <v>1</v>
          </cell>
        </row>
        <row r="25">
          <cell r="C25" t="str">
            <v>Prev.</v>
          </cell>
          <cell r="D25">
            <v>0</v>
          </cell>
          <cell r="E25" t="e">
            <v>#DIV/0!</v>
          </cell>
          <cell r="F25">
            <v>0</v>
          </cell>
        </row>
        <row r="26">
          <cell r="C26" t="str">
            <v>Real.</v>
          </cell>
          <cell r="D26">
            <v>0</v>
          </cell>
          <cell r="E26" t="e">
            <v>#DIV/0!</v>
          </cell>
          <cell r="F26">
            <v>0</v>
          </cell>
        </row>
        <row r="27">
          <cell r="C27" t="str">
            <v>Proj.</v>
          </cell>
          <cell r="D27">
            <v>0</v>
          </cell>
          <cell r="E27" t="e">
            <v>#DIV/0!</v>
          </cell>
          <cell r="F27">
            <v>0</v>
          </cell>
        </row>
        <row r="28">
          <cell r="C28" t="str">
            <v>Prev.</v>
          </cell>
          <cell r="D28">
            <v>0</v>
          </cell>
          <cell r="E28" t="e">
            <v>#DIV/0!</v>
          </cell>
          <cell r="F28">
            <v>0</v>
          </cell>
        </row>
        <row r="29">
          <cell r="C29" t="str">
            <v>Real.</v>
          </cell>
          <cell r="D29">
            <v>0</v>
          </cell>
          <cell r="E29" t="e">
            <v>#DIV/0!</v>
          </cell>
          <cell r="F29">
            <v>0</v>
          </cell>
        </row>
        <row r="30">
          <cell r="C30" t="str">
            <v>Proj.</v>
          </cell>
          <cell r="D30">
            <v>0</v>
          </cell>
          <cell r="E30" t="e">
            <v>#DIV/0!</v>
          </cell>
          <cell r="F30">
            <v>0</v>
          </cell>
        </row>
        <row r="31">
          <cell r="C31" t="str">
            <v>Prev.</v>
          </cell>
          <cell r="D31">
            <v>0</v>
          </cell>
          <cell r="E31" t="e">
            <v>#DIV/0!</v>
          </cell>
          <cell r="F31">
            <v>0</v>
          </cell>
        </row>
        <row r="32">
          <cell r="C32" t="str">
            <v>Real.</v>
          </cell>
          <cell r="D32">
            <v>0</v>
          </cell>
          <cell r="E32" t="e">
            <v>#DIV/0!</v>
          </cell>
          <cell r="F32">
            <v>0</v>
          </cell>
        </row>
        <row r="33">
          <cell r="C33" t="str">
            <v>Proj.</v>
          </cell>
          <cell r="D33">
            <v>0</v>
          </cell>
          <cell r="E33" t="e">
            <v>#DIV/0!</v>
          </cell>
          <cell r="F33">
            <v>0</v>
          </cell>
        </row>
        <row r="34">
          <cell r="C34" t="str">
            <v>Prev.</v>
          </cell>
          <cell r="D34">
            <v>0</v>
          </cell>
          <cell r="E34" t="e">
            <v>#DIV/0!</v>
          </cell>
          <cell r="F34">
            <v>0</v>
          </cell>
        </row>
        <row r="35">
          <cell r="C35" t="str">
            <v>Real.</v>
          </cell>
          <cell r="D35">
            <v>0</v>
          </cell>
          <cell r="E35" t="e">
            <v>#DIV/0!</v>
          </cell>
          <cell r="F35">
            <v>0</v>
          </cell>
        </row>
        <row r="36">
          <cell r="C36" t="str">
            <v>Proj.</v>
          </cell>
          <cell r="D36">
            <v>0</v>
          </cell>
          <cell r="E36" t="e">
            <v>#DIV/0!</v>
          </cell>
          <cell r="F36">
            <v>0</v>
          </cell>
        </row>
        <row r="37">
          <cell r="C37" t="str">
            <v>Prev.</v>
          </cell>
          <cell r="D37">
            <v>0</v>
          </cell>
          <cell r="E37" t="e">
            <v>#DIV/0!</v>
          </cell>
          <cell r="F37">
            <v>0</v>
          </cell>
        </row>
        <row r="38">
          <cell r="C38" t="str">
            <v>Real.</v>
          </cell>
          <cell r="D38">
            <v>0</v>
          </cell>
          <cell r="E38" t="e">
            <v>#DIV/0!</v>
          </cell>
          <cell r="F38">
            <v>0</v>
          </cell>
        </row>
        <row r="39">
          <cell r="C39" t="str">
            <v>Proj.</v>
          </cell>
          <cell r="D39">
            <v>0</v>
          </cell>
          <cell r="E39" t="e">
            <v>#DIV/0!</v>
          </cell>
          <cell r="F39">
            <v>0</v>
          </cell>
        </row>
        <row r="40">
          <cell r="C40" t="str">
            <v>Prev.</v>
          </cell>
          <cell r="D40">
            <v>0</v>
          </cell>
          <cell r="E40" t="e">
            <v>#DIV/0!</v>
          </cell>
          <cell r="F40">
            <v>0</v>
          </cell>
        </row>
        <row r="41">
          <cell r="C41" t="str">
            <v>Real.</v>
          </cell>
          <cell r="D41">
            <v>0</v>
          </cell>
          <cell r="E41" t="e">
            <v>#DIV/0!</v>
          </cell>
          <cell r="F41">
            <v>0</v>
          </cell>
        </row>
        <row r="42">
          <cell r="C42" t="str">
            <v>Proj.</v>
          </cell>
          <cell r="D42">
            <v>0</v>
          </cell>
          <cell r="E42" t="e">
            <v>#DIV/0!</v>
          </cell>
          <cell r="F42">
            <v>0</v>
          </cell>
        </row>
        <row r="43">
          <cell r="C43" t="str">
            <v>Prev.</v>
          </cell>
          <cell r="D43">
            <v>0</v>
          </cell>
          <cell r="E43" t="e">
            <v>#DIV/0!</v>
          </cell>
          <cell r="F43">
            <v>0</v>
          </cell>
        </row>
        <row r="44">
          <cell r="C44" t="str">
            <v>Real.</v>
          </cell>
          <cell r="D44">
            <v>0</v>
          </cell>
          <cell r="E44" t="e">
            <v>#DIV/0!</v>
          </cell>
          <cell r="F44">
            <v>0</v>
          </cell>
        </row>
        <row r="45">
          <cell r="C45" t="str">
            <v>Proj.</v>
          </cell>
          <cell r="D45">
            <v>0</v>
          </cell>
          <cell r="E45" t="e">
            <v>#DIV/0!</v>
          </cell>
          <cell r="F45">
            <v>0</v>
          </cell>
        </row>
        <row r="46">
          <cell r="C46" t="str">
            <v>Prev.</v>
          </cell>
          <cell r="D46">
            <v>0</v>
          </cell>
          <cell r="E46" t="e">
            <v>#DIV/0!</v>
          </cell>
          <cell r="F46">
            <v>0</v>
          </cell>
        </row>
        <row r="47">
          <cell r="C47" t="str">
            <v>Real.</v>
          </cell>
          <cell r="D47">
            <v>0</v>
          </cell>
          <cell r="E47" t="e">
            <v>#DIV/0!</v>
          </cell>
          <cell r="F47">
            <v>0</v>
          </cell>
        </row>
        <row r="48">
          <cell r="C48" t="str">
            <v>Proj.</v>
          </cell>
          <cell r="D48">
            <v>0</v>
          </cell>
          <cell r="E48" t="e">
            <v>#DIV/0!</v>
          </cell>
          <cell r="F48">
            <v>0</v>
          </cell>
        </row>
        <row r="49">
          <cell r="C49" t="str">
            <v>Prev.</v>
          </cell>
          <cell r="D49">
            <v>0</v>
          </cell>
          <cell r="E49" t="e">
            <v>#DIV/0!</v>
          </cell>
          <cell r="F49">
            <v>0</v>
          </cell>
        </row>
        <row r="50">
          <cell r="C50" t="str">
            <v>Real.</v>
          </cell>
          <cell r="D50">
            <v>0</v>
          </cell>
          <cell r="E50" t="e">
            <v>#DIV/0!</v>
          </cell>
          <cell r="F50">
            <v>0</v>
          </cell>
        </row>
        <row r="51">
          <cell r="C51" t="str">
            <v>Proj.</v>
          </cell>
          <cell r="D51">
            <v>0</v>
          </cell>
          <cell r="E51" t="e">
            <v>#DIV/0!</v>
          </cell>
          <cell r="F51">
            <v>0</v>
          </cell>
        </row>
        <row r="52">
          <cell r="C52" t="str">
            <v>Prev.</v>
          </cell>
          <cell r="D52">
            <v>0</v>
          </cell>
          <cell r="E52" t="e">
            <v>#DIV/0!</v>
          </cell>
          <cell r="F52">
            <v>0</v>
          </cell>
        </row>
        <row r="53">
          <cell r="C53" t="str">
            <v>Real.</v>
          </cell>
          <cell r="D53">
            <v>0</v>
          </cell>
          <cell r="E53" t="e">
            <v>#DIV/0!</v>
          </cell>
          <cell r="F53">
            <v>0</v>
          </cell>
        </row>
        <row r="54">
          <cell r="C54" t="str">
            <v>Proj.</v>
          </cell>
          <cell r="D54">
            <v>0</v>
          </cell>
          <cell r="E54" t="e">
            <v>#DIV/0!</v>
          </cell>
          <cell r="F54">
            <v>0</v>
          </cell>
        </row>
        <row r="55">
          <cell r="C55" t="str">
            <v>Prev.</v>
          </cell>
          <cell r="D55">
            <v>0</v>
          </cell>
          <cell r="E55" t="e">
            <v>#DIV/0!</v>
          </cell>
          <cell r="F55">
            <v>0</v>
          </cell>
        </row>
        <row r="56">
          <cell r="C56" t="str">
            <v>Real.</v>
          </cell>
          <cell r="D56">
            <v>0</v>
          </cell>
          <cell r="E56" t="e">
            <v>#DIV/0!</v>
          </cell>
          <cell r="F56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ope and contents"/>
      <sheetName val="Equipment List (Process)"/>
      <sheetName val="Look Up"/>
    </sheetNames>
    <sheetDataSet>
      <sheetData sheetId="0" refreshError="1"/>
      <sheetData sheetId="1" refreshError="1"/>
      <sheetData sheetId="2">
        <row r="8">
          <cell r="A8" t="str">
            <v>Agitator</v>
          </cell>
        </row>
        <row r="9">
          <cell r="A9" t="str">
            <v>Filter</v>
          </cell>
        </row>
        <row r="10">
          <cell r="A10" t="str">
            <v>Pump</v>
          </cell>
        </row>
        <row r="11">
          <cell r="A11" t="str">
            <v>Centrifuge</v>
          </cell>
        </row>
        <row r="12">
          <cell r="A12" t="str">
            <v>Pressure Vessel</v>
          </cell>
        </row>
        <row r="13">
          <cell r="A13" t="str">
            <v>Atm. Tank</v>
          </cell>
        </row>
        <row r="14">
          <cell r="A14" t="str">
            <v>Heat Exc.</v>
          </cell>
        </row>
        <row r="15">
          <cell r="A15" t="str">
            <v>Compressor</v>
          </cell>
        </row>
        <row r="16">
          <cell r="A16" t="str">
            <v>Column</v>
          </cell>
        </row>
        <row r="17">
          <cell r="A17" t="str">
            <v>Dryer</v>
          </cell>
        </row>
        <row r="18">
          <cell r="A18" t="str">
            <v>Holding Cell</v>
          </cell>
        </row>
        <row r="19">
          <cell r="A19" t="str">
            <v>TBD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ope and contents"/>
      <sheetName val="Equipment List (Process)"/>
      <sheetName val="Notas"/>
      <sheetName val="Look Up"/>
    </sheetNames>
    <sheetDataSet>
      <sheetData sheetId="0"/>
      <sheetData sheetId="1"/>
      <sheetData sheetId="2"/>
      <sheetData sheetId="3">
        <row r="8">
          <cell r="A8" t="str">
            <v>Agitator</v>
          </cell>
        </row>
        <row r="9">
          <cell r="A9" t="str">
            <v>Filter</v>
          </cell>
        </row>
        <row r="10">
          <cell r="A10" t="str">
            <v>Pump</v>
          </cell>
        </row>
        <row r="11">
          <cell r="A11" t="str">
            <v>Centrifuge</v>
          </cell>
        </row>
        <row r="12">
          <cell r="A12" t="str">
            <v>Pressure Vessel</v>
          </cell>
        </row>
        <row r="13">
          <cell r="A13" t="str">
            <v>Atm. Tank</v>
          </cell>
        </row>
        <row r="14">
          <cell r="A14" t="str">
            <v>Heat Exc.</v>
          </cell>
        </row>
        <row r="15">
          <cell r="A15" t="str">
            <v>Compressor</v>
          </cell>
        </row>
        <row r="16">
          <cell r="A16" t="str">
            <v>Column</v>
          </cell>
        </row>
        <row r="17">
          <cell r="A17" t="str">
            <v>Dryer</v>
          </cell>
        </row>
        <row r="18">
          <cell r="A18" t="str">
            <v>Holding Cell</v>
          </cell>
        </row>
        <row r="19">
          <cell r="A19" t="str">
            <v>TBD</v>
          </cell>
        </row>
        <row r="20">
          <cell r="A20"/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-Linhas"/>
      <sheetName val="G-Acidentes"/>
      <sheetName val="G-Materiais"/>
      <sheetName val="G-Espessura Isolamento"/>
      <sheetName val="G-Rugosidades"/>
      <sheetName val="G-Constante Empírica"/>
      <sheetName val="G-Velocidades"/>
      <sheetName val="G-Fatores de atrito"/>
      <sheetName val="G_Materiais"/>
      <sheetName val="Histograma_Equip"/>
      <sheetName val="Capa"/>
      <sheetName val="Planilha1"/>
      <sheetName val="Plan1"/>
      <sheetName val="Referencias"/>
      <sheetName val="FCAC"/>
      <sheetName val="Custos"/>
      <sheetName val="Ingles"/>
      <sheetName val="plan2"/>
      <sheetName val="Plan3"/>
      <sheetName val="erection"/>
      <sheetName val="16-equip."/>
      <sheetName val="D-9001"/>
      <sheetName val="costomat.xls"/>
      <sheetName val="Stl-B"/>
      <sheetName val="Ajuda"/>
      <sheetName val="Cash_Flow"/>
      <sheetName val="16-CUSTO_EQUIPTO"/>
      <sheetName val="DADOS"/>
      <sheetName val="15-DIVERSOS"/>
      <sheetName val="ÍNDICE"/>
      <sheetName val="13-MAT-FERR"/>
      <sheetName val="14-MAT.SEG "/>
      <sheetName val="-17-MOI"/>
      <sheetName val="-18-CANTEIRO"/>
      <sheetName val="-19-TRANSP.PESSOAL"/>
      <sheetName val="-01-MOD"/>
      <sheetName val="-20-MOB-DESMOB "/>
      <sheetName val="-21-REFEICAO"/>
      <sheetName val="-22-VARIOS"/>
      <sheetName val="-23-TERCEIROS"/>
      <sheetName val="G-Espessura_Isolamento"/>
      <sheetName val="G-Constante_Empírica"/>
      <sheetName val="G-Fatores_de_atrito"/>
      <sheetName val="16-equip_"/>
    </sheetNames>
    <sheetDataSet>
      <sheetData sheetId="0" refreshError="1"/>
      <sheetData sheetId="1"/>
      <sheetData sheetId="2" refreshError="1">
        <row r="1">
          <cell r="B1" t="str">
            <v>BG</v>
          </cell>
        </row>
        <row r="2">
          <cell r="B2" t="str">
            <v>CI</v>
          </cell>
        </row>
        <row r="3">
          <cell r="B3" t="str">
            <v>CN</v>
          </cell>
        </row>
        <row r="4">
          <cell r="B4" t="str">
            <v>CNI</v>
          </cell>
        </row>
        <row r="5">
          <cell r="B5" t="str">
            <v>DA</v>
          </cell>
        </row>
        <row r="6">
          <cell r="B6" t="str">
            <v>DF</v>
          </cell>
        </row>
        <row r="7">
          <cell r="B7" t="str">
            <v>P</v>
          </cell>
        </row>
        <row r="8">
          <cell r="B8" t="str">
            <v>F</v>
          </cell>
        </row>
        <row r="9">
          <cell r="B9" t="str">
            <v>FG</v>
          </cell>
        </row>
        <row r="10">
          <cell r="B10" t="str">
            <v>HF</v>
          </cell>
        </row>
        <row r="11">
          <cell r="B11" t="str">
            <v>PC</v>
          </cell>
        </row>
        <row r="12">
          <cell r="B12" t="str">
            <v>SP</v>
          </cell>
        </row>
        <row r="13">
          <cell r="B13" t="str">
            <v>SN</v>
          </cell>
        </row>
        <row r="14">
          <cell r="B14" t="str">
            <v>SW</v>
          </cell>
        </row>
        <row r="15">
          <cell r="B15" t="str">
            <v>W</v>
          </cell>
        </row>
        <row r="22">
          <cell r="A22" t="str">
            <v>B10</v>
          </cell>
        </row>
        <row r="23">
          <cell r="A23" t="str">
            <v>B12</v>
          </cell>
        </row>
        <row r="24">
          <cell r="A24" t="str">
            <v>B14</v>
          </cell>
        </row>
        <row r="25">
          <cell r="A25" t="str">
            <v>B15</v>
          </cell>
        </row>
        <row r="26">
          <cell r="A26" t="str">
            <v>B20</v>
          </cell>
        </row>
        <row r="27">
          <cell r="A27" t="str">
            <v>B22</v>
          </cell>
        </row>
        <row r="28">
          <cell r="A28" t="str">
            <v>B23</v>
          </cell>
        </row>
        <row r="29">
          <cell r="A29" t="str">
            <v>B3</v>
          </cell>
        </row>
        <row r="30">
          <cell r="A30" t="str">
            <v>B4</v>
          </cell>
        </row>
        <row r="31">
          <cell r="A31" t="str">
            <v>B6</v>
          </cell>
        </row>
        <row r="32">
          <cell r="A32" t="str">
            <v>B7R</v>
          </cell>
        </row>
        <row r="33">
          <cell r="A33" t="str">
            <v>B9</v>
          </cell>
        </row>
        <row r="34">
          <cell r="A34" t="str">
            <v>C10</v>
          </cell>
        </row>
        <row r="35">
          <cell r="A35" t="str">
            <v>C12</v>
          </cell>
        </row>
        <row r="36">
          <cell r="A36" t="str">
            <v>C14</v>
          </cell>
        </row>
        <row r="37">
          <cell r="A37" t="str">
            <v>C3</v>
          </cell>
        </row>
        <row r="38">
          <cell r="A38" t="str">
            <v>C4</v>
          </cell>
        </row>
        <row r="39">
          <cell r="A39" t="str">
            <v>C9</v>
          </cell>
        </row>
        <row r="40">
          <cell r="A40" t="str">
            <v>E10</v>
          </cell>
        </row>
        <row r="41">
          <cell r="A41" t="str">
            <v>G10</v>
          </cell>
        </row>
        <row r="42">
          <cell r="A42" t="str">
            <v>E3</v>
          </cell>
        </row>
        <row r="43">
          <cell r="A43" t="str">
            <v>E9</v>
          </cell>
        </row>
        <row r="44">
          <cell r="A44" t="str">
            <v>F10</v>
          </cell>
        </row>
        <row r="45">
          <cell r="A45" t="str">
            <v>F3</v>
          </cell>
        </row>
        <row r="46">
          <cell r="A46" t="str">
            <v>E12</v>
          </cell>
        </row>
      </sheetData>
      <sheetData sheetId="3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>
        <row r="1">
          <cell r="B1">
            <v>0</v>
          </cell>
        </row>
      </sheetData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"/>
      <sheetName val="SE Macaé"/>
      <sheetName val="Casa Com Macaé"/>
      <sheetName val="Preços"/>
      <sheetName val="Justific"/>
      <sheetName val="Casa Com"/>
      <sheetName val="G-Materiais"/>
      <sheetName val="Estimate"/>
      <sheetName val="FCAC"/>
      <sheetName val="Custos"/>
      <sheetName val="ENG"/>
      <sheetName val="capa"/>
      <sheetName val="Area Aplicação"/>
      <sheetName val="Datos"/>
      <sheetName val="Ajuda"/>
      <sheetName val="Cash_Flow"/>
      <sheetName val="16-CUSTO_EQUIPTO"/>
      <sheetName val="DADOS"/>
      <sheetName val="15-DIVERSOS"/>
      <sheetName val="ÍNDICE"/>
      <sheetName val="13-MAT-FERR"/>
      <sheetName val="14-MAT.SEG "/>
      <sheetName val="16-equip."/>
      <sheetName val="-17-MOI"/>
      <sheetName val="-18-CANTEIRO"/>
      <sheetName val="-19-TRANSP.PESSOAL"/>
      <sheetName val="-01-MOD"/>
      <sheetName val="-20-MOB-DESMOB "/>
      <sheetName val="-21-REFEICAO"/>
      <sheetName val="-22-VARIOS"/>
      <sheetName val="-23-TERCEIROS"/>
      <sheetName val="Apoio"/>
      <sheetName val="samarco"/>
      <sheetName val="SE_Macaé"/>
      <sheetName val="Casa_Com_Macaé"/>
      <sheetName val="Casa_Com"/>
    </sheetNames>
    <sheetDataSet>
      <sheetData sheetId="0"/>
      <sheetData sheetId="1"/>
      <sheetData sheetId="2"/>
      <sheetData sheetId="3">
        <row r="3">
          <cell r="A3" t="str">
            <v>Abertura e preparo de caixa de até 40 cm para pavimentação</v>
          </cell>
          <cell r="B3" t="str">
            <v>m2</v>
          </cell>
          <cell r="E3">
            <v>12.11</v>
          </cell>
          <cell r="F3">
            <v>12.11</v>
          </cell>
        </row>
        <row r="4">
          <cell r="A4" t="str">
            <v>Aço</v>
          </cell>
          <cell r="B4" t="str">
            <v>kg</v>
          </cell>
          <cell r="C4">
            <v>4</v>
          </cell>
          <cell r="D4">
            <v>2</v>
          </cell>
          <cell r="F4">
            <v>6</v>
          </cell>
        </row>
        <row r="5">
          <cell r="A5" t="str">
            <v>Aço - Estaca</v>
          </cell>
          <cell r="B5" t="str">
            <v>kg</v>
          </cell>
          <cell r="C5">
            <v>4</v>
          </cell>
          <cell r="D5">
            <v>2</v>
          </cell>
          <cell r="F5">
            <v>6</v>
          </cell>
        </row>
        <row r="6">
          <cell r="A6" t="str">
            <v>Apiloamento</v>
          </cell>
          <cell r="B6" t="str">
            <v>m2</v>
          </cell>
          <cell r="D6">
            <v>12.07</v>
          </cell>
          <cell r="F6">
            <v>12.07</v>
          </cell>
        </row>
        <row r="7">
          <cell r="A7" t="str">
            <v>Aterro</v>
          </cell>
          <cell r="B7" t="str">
            <v>m3</v>
          </cell>
          <cell r="E7">
            <v>30</v>
          </cell>
          <cell r="F7">
            <v>30</v>
          </cell>
        </row>
        <row r="8">
          <cell r="A8" t="str">
            <v>Azulejos 20x20</v>
          </cell>
          <cell r="B8" t="str">
            <v>m2</v>
          </cell>
          <cell r="C8">
            <v>34.17</v>
          </cell>
          <cell r="D8">
            <v>22.78</v>
          </cell>
          <cell r="F8">
            <v>56.95</v>
          </cell>
        </row>
        <row r="9">
          <cell r="A9" t="str">
            <v>Back Fill</v>
          </cell>
          <cell r="B9" t="str">
            <v>m3</v>
          </cell>
          <cell r="C9">
            <v>65</v>
          </cell>
          <cell r="D9">
            <v>12</v>
          </cell>
          <cell r="F9">
            <v>77</v>
          </cell>
        </row>
        <row r="10">
          <cell r="A10" t="str">
            <v>Bancada granito</v>
          </cell>
          <cell r="B10" t="str">
            <v>m2</v>
          </cell>
          <cell r="C10">
            <v>180</v>
          </cell>
          <cell r="D10">
            <v>48</v>
          </cell>
          <cell r="F10">
            <v>228</v>
          </cell>
        </row>
        <row r="11">
          <cell r="A11" t="str">
            <v>Barras Antipanico</v>
          </cell>
          <cell r="B11" t="str">
            <v>unid</v>
          </cell>
          <cell r="C11">
            <v>160</v>
          </cell>
          <cell r="D11">
            <v>20</v>
          </cell>
          <cell r="F11">
            <v>180</v>
          </cell>
        </row>
        <row r="12">
          <cell r="A12" t="str">
            <v>Base de brita graduada, h=20cm</v>
          </cell>
          <cell r="B12" t="str">
            <v>m2</v>
          </cell>
          <cell r="E12">
            <v>9.8800000000000008</v>
          </cell>
          <cell r="F12">
            <v>9.8800000000000008</v>
          </cell>
        </row>
        <row r="13">
          <cell r="A13" t="str">
            <v xml:space="preserve">Bloco de conc 19x19x39 </v>
          </cell>
          <cell r="B13" t="str">
            <v>m2</v>
          </cell>
          <cell r="C13">
            <v>42.9</v>
          </cell>
          <cell r="D13">
            <v>20.45</v>
          </cell>
          <cell r="F13">
            <v>63.349999999999994</v>
          </cell>
        </row>
        <row r="14">
          <cell r="A14" t="str">
            <v>Bota fora</v>
          </cell>
          <cell r="B14" t="str">
            <v>m3</v>
          </cell>
          <cell r="E14">
            <v>28.43</v>
          </cell>
          <cell r="F14">
            <v>28.43</v>
          </cell>
        </row>
        <row r="15">
          <cell r="A15" t="str">
            <v>Britamento do patio</v>
          </cell>
          <cell r="B15" t="str">
            <v>m2</v>
          </cell>
          <cell r="C15">
            <v>6.9</v>
          </cell>
          <cell r="D15">
            <v>3.8</v>
          </cell>
          <cell r="F15">
            <v>10.7</v>
          </cell>
        </row>
        <row r="16">
          <cell r="A16" t="str">
            <v>Caixa de passagem 1,00 x 1,00 x 1,50m</v>
          </cell>
          <cell r="B16" t="str">
            <v>un</v>
          </cell>
          <cell r="C16">
            <v>657.26</v>
          </cell>
          <cell r="D16">
            <v>2086.8000000000002</v>
          </cell>
          <cell r="F16">
            <v>2744.0600000000004</v>
          </cell>
        </row>
        <row r="17">
          <cell r="A17" t="str">
            <v>Caixas de passagem</v>
          </cell>
          <cell r="B17" t="str">
            <v>unid</v>
          </cell>
          <cell r="C17">
            <v>390</v>
          </cell>
          <cell r="D17">
            <v>210</v>
          </cell>
          <cell r="F17">
            <v>600</v>
          </cell>
        </row>
        <row r="18">
          <cell r="A18" t="str">
            <v>Calha</v>
          </cell>
          <cell r="B18" t="str">
            <v>m</v>
          </cell>
          <cell r="E18">
            <v>51.1</v>
          </cell>
          <cell r="F18">
            <v>51.1</v>
          </cell>
        </row>
        <row r="19">
          <cell r="A19" t="str">
            <v>Ceramica 5x15 cm brick gold</v>
          </cell>
          <cell r="B19" t="str">
            <v>m2</v>
          </cell>
          <cell r="C19">
            <v>25</v>
          </cell>
          <cell r="D19">
            <v>19.38</v>
          </cell>
          <cell r="F19">
            <v>44.379999999999995</v>
          </cell>
        </row>
        <row r="20">
          <cell r="A20" t="str">
            <v>Cerca (mourões c arame farpado)</v>
          </cell>
          <cell r="B20" t="str">
            <v>m2</v>
          </cell>
          <cell r="C20">
            <v>36.35</v>
          </cell>
          <cell r="D20">
            <v>9.35</v>
          </cell>
          <cell r="F20">
            <v>45.7</v>
          </cell>
        </row>
        <row r="21">
          <cell r="A21" t="str">
            <v>Chpisco + Emboço</v>
          </cell>
          <cell r="B21" t="str">
            <v>m2</v>
          </cell>
          <cell r="C21">
            <v>8.56</v>
          </cell>
          <cell r="D21">
            <v>12.83</v>
          </cell>
          <cell r="F21">
            <v>21.39</v>
          </cell>
        </row>
        <row r="22">
          <cell r="A22" t="str">
            <v xml:space="preserve">Coluna de concreto para pórtico 230kV de barramento superior </v>
          </cell>
          <cell r="B22" t="str">
            <v>un</v>
          </cell>
          <cell r="C22">
            <v>18500</v>
          </cell>
          <cell r="F22">
            <v>18500</v>
          </cell>
        </row>
        <row r="23">
          <cell r="A23" t="str">
            <v>Concreto</v>
          </cell>
          <cell r="B23" t="str">
            <v>m3</v>
          </cell>
          <cell r="C23">
            <v>200</v>
          </cell>
          <cell r="D23">
            <v>270</v>
          </cell>
          <cell r="F23">
            <v>470</v>
          </cell>
        </row>
        <row r="24">
          <cell r="A24" t="str">
            <v>Concreto - Estaca</v>
          </cell>
          <cell r="B24" t="str">
            <v>m3</v>
          </cell>
          <cell r="C24">
            <v>200</v>
          </cell>
          <cell r="F24">
            <v>200</v>
          </cell>
        </row>
        <row r="25">
          <cell r="A25" t="str">
            <v>Controle tecnológico concreto e aço</v>
          </cell>
          <cell r="B25" t="str">
            <v>vb</v>
          </cell>
          <cell r="E25">
            <v>1765.25</v>
          </cell>
          <cell r="F25">
            <v>1765.25</v>
          </cell>
        </row>
        <row r="26">
          <cell r="A26" t="str">
            <v>Controle tecnológico concreto e aço - CC</v>
          </cell>
          <cell r="B26" t="str">
            <v>vb</v>
          </cell>
          <cell r="E26">
            <v>1460</v>
          </cell>
          <cell r="F26">
            <v>1460</v>
          </cell>
        </row>
        <row r="27">
          <cell r="A27" t="str">
            <v>Diversos</v>
          </cell>
          <cell r="B27" t="str">
            <v>m2</v>
          </cell>
          <cell r="C27">
            <v>16</v>
          </cell>
          <cell r="D27">
            <v>4</v>
          </cell>
          <cell r="F27">
            <v>20</v>
          </cell>
        </row>
        <row r="28">
          <cell r="A28" t="str">
            <v>Divisória ardósia 3cm</v>
          </cell>
          <cell r="B28" t="str">
            <v>m2</v>
          </cell>
          <cell r="C28">
            <v>97.4</v>
          </cell>
          <cell r="D28">
            <v>38.96</v>
          </cell>
          <cell r="F28">
            <v>136.36000000000001</v>
          </cell>
        </row>
        <row r="29">
          <cell r="A29" t="str">
            <v>Ducha Higienica</v>
          </cell>
          <cell r="B29" t="str">
            <v>unid</v>
          </cell>
          <cell r="C29">
            <v>89.9</v>
          </cell>
          <cell r="D29">
            <v>40</v>
          </cell>
          <cell r="F29">
            <v>129.9</v>
          </cell>
        </row>
        <row r="30">
          <cell r="A30" t="str">
            <v>Emboço emassado e pintado com latex PVA</v>
          </cell>
          <cell r="B30" t="str">
            <v>m2</v>
          </cell>
          <cell r="C30">
            <v>7.57</v>
          </cell>
          <cell r="D30">
            <v>14.96</v>
          </cell>
          <cell r="F30">
            <v>22.53</v>
          </cell>
        </row>
        <row r="31">
          <cell r="A31" t="str">
            <v>Ensaios de integridade</v>
          </cell>
          <cell r="B31" t="str">
            <v>vb</v>
          </cell>
          <cell r="E31">
            <v>18000</v>
          </cell>
          <cell r="F31">
            <v>18000</v>
          </cell>
        </row>
        <row r="32">
          <cell r="A32" t="str">
            <v>Escavação</v>
          </cell>
          <cell r="B32" t="str">
            <v>m3</v>
          </cell>
          <cell r="D32">
            <v>45</v>
          </cell>
          <cell r="F32">
            <v>45</v>
          </cell>
        </row>
        <row r="33">
          <cell r="A33" t="str">
            <v>Escavação mecanica canaleta</v>
          </cell>
          <cell r="B33" t="str">
            <v>m3</v>
          </cell>
          <cell r="D33">
            <v>18</v>
          </cell>
          <cell r="F33">
            <v>18</v>
          </cell>
        </row>
        <row r="34">
          <cell r="A34" t="str">
            <v>Escavação de tubulão</v>
          </cell>
          <cell r="B34" t="str">
            <v>m3</v>
          </cell>
          <cell r="E34">
            <v>92</v>
          </cell>
          <cell r="F34">
            <v>92</v>
          </cell>
        </row>
        <row r="35">
          <cell r="A35" t="str">
            <v>Espelho 40x60</v>
          </cell>
          <cell r="B35" t="str">
            <v>unid</v>
          </cell>
          <cell r="C35">
            <v>59.9</v>
          </cell>
          <cell r="D35">
            <v>10</v>
          </cell>
          <cell r="F35">
            <v>69.900000000000006</v>
          </cell>
        </row>
        <row r="36">
          <cell r="A36" t="str">
            <v>Estava helice continua - 1</v>
          </cell>
          <cell r="B36" t="str">
            <v>m</v>
          </cell>
          <cell r="E36">
            <v>100</v>
          </cell>
          <cell r="F36">
            <v>100</v>
          </cell>
        </row>
        <row r="37">
          <cell r="A37" t="str">
            <v>Estava helice continua - 14</v>
          </cell>
          <cell r="B37" t="str">
            <v>m</v>
          </cell>
          <cell r="E37">
            <v>100</v>
          </cell>
          <cell r="F37">
            <v>100</v>
          </cell>
        </row>
        <row r="38">
          <cell r="A38" t="str">
            <v>Estava helice continua - 2</v>
          </cell>
          <cell r="B38" t="str">
            <v>m</v>
          </cell>
          <cell r="E38">
            <v>100</v>
          </cell>
          <cell r="F38">
            <v>100</v>
          </cell>
        </row>
        <row r="39">
          <cell r="A39" t="str">
            <v>Estava helice continua - 3</v>
          </cell>
          <cell r="B39" t="str">
            <v>m</v>
          </cell>
          <cell r="E39">
            <v>100</v>
          </cell>
          <cell r="F39">
            <v>100</v>
          </cell>
        </row>
        <row r="40">
          <cell r="A40" t="str">
            <v>Estava helice continua - 4</v>
          </cell>
          <cell r="B40" t="str">
            <v>m</v>
          </cell>
          <cell r="E40">
            <v>100</v>
          </cell>
          <cell r="F40">
            <v>100</v>
          </cell>
        </row>
        <row r="41">
          <cell r="A41" t="str">
            <v>Estava helice continua - 5</v>
          </cell>
          <cell r="B41" t="str">
            <v>m</v>
          </cell>
          <cell r="E41">
            <v>100</v>
          </cell>
          <cell r="F41">
            <v>100</v>
          </cell>
        </row>
        <row r="42">
          <cell r="A42" t="str">
            <v>Estava helice continua - 6</v>
          </cell>
          <cell r="B42" t="str">
            <v>m</v>
          </cell>
          <cell r="E42">
            <v>100</v>
          </cell>
          <cell r="F42">
            <v>100</v>
          </cell>
        </row>
        <row r="43">
          <cell r="A43" t="str">
            <v>Estava helice continua - dia=40cm</v>
          </cell>
          <cell r="B43" t="str">
            <v>m</v>
          </cell>
          <cell r="E43">
            <v>100</v>
          </cell>
          <cell r="F43">
            <v>100</v>
          </cell>
        </row>
        <row r="44">
          <cell r="A44" t="str">
            <v>Estava helice continua - diam=40</v>
          </cell>
          <cell r="B44" t="str">
            <v>m</v>
          </cell>
          <cell r="E44">
            <v>100</v>
          </cell>
          <cell r="F44">
            <v>100</v>
          </cell>
        </row>
        <row r="45">
          <cell r="A45" t="str">
            <v>Estrut metalica e pintada</v>
          </cell>
          <cell r="B45" t="str">
            <v>m2</v>
          </cell>
          <cell r="E45">
            <v>72</v>
          </cell>
          <cell r="F45">
            <v>72</v>
          </cell>
        </row>
        <row r="46">
          <cell r="A46" t="str">
            <v xml:space="preserve">Execução de gabarito para locação da obra por piquetes de madeira e arame </v>
          </cell>
          <cell r="B46" t="str">
            <v>vb</v>
          </cell>
          <cell r="E46">
            <v>9029.51</v>
          </cell>
          <cell r="F46">
            <v>9029.51</v>
          </cell>
        </row>
        <row r="47">
          <cell r="A47" t="str">
            <v>Fechadura/Ferragens star / Ueme</v>
          </cell>
          <cell r="B47" t="str">
            <v>unid</v>
          </cell>
          <cell r="C47">
            <v>70</v>
          </cell>
          <cell r="D47">
            <v>80</v>
          </cell>
          <cell r="F47">
            <v>150</v>
          </cell>
        </row>
        <row r="48">
          <cell r="A48" t="str">
            <v>Forma</v>
          </cell>
          <cell r="B48" t="str">
            <v>m2</v>
          </cell>
          <cell r="C48">
            <v>43.72</v>
          </cell>
          <cell r="D48">
            <v>33.799999999999997</v>
          </cell>
          <cell r="F48">
            <v>77.52</v>
          </cell>
        </row>
        <row r="49">
          <cell r="A49" t="str">
            <v>Formas</v>
          </cell>
          <cell r="B49" t="str">
            <v>m2</v>
          </cell>
          <cell r="C49">
            <v>43.72</v>
          </cell>
          <cell r="D49">
            <v>33.799999999999997</v>
          </cell>
          <cell r="F49">
            <v>77.52</v>
          </cell>
        </row>
        <row r="50">
          <cell r="A50" t="str">
            <v>Forma Canaleta Deslizante (30% valor total convencional)</v>
          </cell>
          <cell r="B50" t="str">
            <v>m2</v>
          </cell>
          <cell r="C50">
            <v>30</v>
          </cell>
          <cell r="D50">
            <v>10</v>
          </cell>
          <cell r="F50">
            <v>40</v>
          </cell>
        </row>
        <row r="51">
          <cell r="A51" t="str">
            <v>Grama natural placas São Carlos</v>
          </cell>
          <cell r="B51" t="str">
            <v>m2</v>
          </cell>
          <cell r="C51">
            <v>4.75</v>
          </cell>
          <cell r="D51">
            <v>3</v>
          </cell>
          <cell r="F51">
            <v>7.75</v>
          </cell>
        </row>
        <row r="52">
          <cell r="A52" t="str">
            <v>Granilite cinza</v>
          </cell>
          <cell r="B52" t="str">
            <v>m</v>
          </cell>
          <cell r="C52">
            <v>42</v>
          </cell>
          <cell r="D52">
            <v>8</v>
          </cell>
          <cell r="F52">
            <v>50</v>
          </cell>
        </row>
        <row r="53">
          <cell r="A53" t="str">
            <v>Grelha metalica</v>
          </cell>
          <cell r="B53" t="str">
            <v>m2</v>
          </cell>
          <cell r="C53">
            <v>384</v>
          </cell>
          <cell r="D53">
            <v>20</v>
          </cell>
          <cell r="F53">
            <v>404</v>
          </cell>
        </row>
        <row r="54">
          <cell r="A54" t="str">
            <v>Guarda-corpo tubular aço galv 2" c pintura esmalte sintetico</v>
          </cell>
          <cell r="B54" t="str">
            <v>m</v>
          </cell>
          <cell r="C54">
            <v>112.5</v>
          </cell>
          <cell r="D54">
            <v>30</v>
          </cell>
          <cell r="F54">
            <v>142.5</v>
          </cell>
        </row>
        <row r="55">
          <cell r="A55" t="str">
            <v xml:space="preserve">Guia pre fabricada e sarjeta padrão prefeitura ao longo dos pateos de acesso criados no projeto </v>
          </cell>
          <cell r="B55" t="str">
            <v>m</v>
          </cell>
          <cell r="E55">
            <v>57.19</v>
          </cell>
          <cell r="F55">
            <v>57.19</v>
          </cell>
        </row>
        <row r="56">
          <cell r="A56" t="str">
            <v>Impermeabização c/ argamassa</v>
          </cell>
          <cell r="B56" t="str">
            <v>m2</v>
          </cell>
          <cell r="E56">
            <v>25.95</v>
          </cell>
          <cell r="F56">
            <v>25.95</v>
          </cell>
        </row>
        <row r="57">
          <cell r="A57" t="str">
            <v>Impermeabiliz da calha c manta pré-fabr asfalto modificado c armadura de não tecido de poliester polimerizado c APP ou SBS</v>
          </cell>
          <cell r="B57" t="str">
            <v>m2</v>
          </cell>
          <cell r="E57">
            <v>78.739999999999995</v>
          </cell>
          <cell r="F57">
            <v>78.739999999999995</v>
          </cell>
        </row>
        <row r="58">
          <cell r="A58" t="str">
            <v>Interligação em Tubo de ferro fundido DN 0,30m</v>
          </cell>
          <cell r="B58" t="str">
            <v>m</v>
          </cell>
          <cell r="C58">
            <v>384</v>
          </cell>
          <cell r="D58">
            <v>66</v>
          </cell>
          <cell r="F58">
            <v>450</v>
          </cell>
        </row>
        <row r="59">
          <cell r="A59" t="str">
            <v>Interligação de PVC 6"</v>
          </cell>
          <cell r="B59" t="str">
            <v>m</v>
          </cell>
          <cell r="C59">
            <v>69.819999999999993</v>
          </cell>
          <cell r="D59">
            <v>66</v>
          </cell>
          <cell r="F59">
            <v>135.82</v>
          </cell>
        </row>
        <row r="60">
          <cell r="A60" t="str">
            <v>Isolamento termico em poliuretano extrudado esp 40mm</v>
          </cell>
          <cell r="B60" t="str">
            <v>m2</v>
          </cell>
          <cell r="E60">
            <v>17.7</v>
          </cell>
          <cell r="F60">
            <v>17.7</v>
          </cell>
        </row>
        <row r="61">
          <cell r="A61" t="str">
            <v>Janela aluminio anodizado com camada anodica 25 micr</v>
          </cell>
          <cell r="B61" t="str">
            <v>m2</v>
          </cell>
          <cell r="C61">
            <v>504.91</v>
          </cell>
          <cell r="D61">
            <v>23.23</v>
          </cell>
          <cell r="F61">
            <v>528.14</v>
          </cell>
        </row>
        <row r="62">
          <cell r="A62" t="str">
            <v>Lastro de conc</v>
          </cell>
          <cell r="B62" t="str">
            <v>m3</v>
          </cell>
          <cell r="C62">
            <v>150</v>
          </cell>
          <cell r="D62">
            <v>200</v>
          </cell>
          <cell r="F62">
            <v>350</v>
          </cell>
        </row>
        <row r="63">
          <cell r="A63" t="str">
            <v xml:space="preserve">Lastro de conc (contrapiso) </v>
          </cell>
          <cell r="B63" t="str">
            <v>m2</v>
          </cell>
          <cell r="C63">
            <v>14.5</v>
          </cell>
          <cell r="D63">
            <v>15.07</v>
          </cell>
          <cell r="F63">
            <v>29.57</v>
          </cell>
        </row>
        <row r="64">
          <cell r="A64" t="str">
            <v>Cuba oval de embutir</v>
          </cell>
          <cell r="B64" t="str">
            <v>unid</v>
          </cell>
          <cell r="C64">
            <v>127.91</v>
          </cell>
          <cell r="D64">
            <v>91.63</v>
          </cell>
          <cell r="F64">
            <v>219.54</v>
          </cell>
        </row>
        <row r="65">
          <cell r="A65" t="str">
            <v>Levantamento topografico</v>
          </cell>
          <cell r="B65" t="str">
            <v>m2</v>
          </cell>
          <cell r="E65">
            <v>0.68</v>
          </cell>
          <cell r="F65">
            <v>0.68</v>
          </cell>
        </row>
        <row r="66">
          <cell r="A66" t="str">
            <v>Limpeza do terreno</v>
          </cell>
          <cell r="B66" t="str">
            <v>m2</v>
          </cell>
          <cell r="D66">
            <v>2.64</v>
          </cell>
          <cell r="F66">
            <v>2.64</v>
          </cell>
        </row>
        <row r="67">
          <cell r="A67" t="str">
            <v>Mictorio sinfonado</v>
          </cell>
          <cell r="B67" t="str">
            <v>unid</v>
          </cell>
          <cell r="C67">
            <v>103.57</v>
          </cell>
          <cell r="D67">
            <v>50</v>
          </cell>
          <cell r="F67">
            <v>153.57</v>
          </cell>
        </row>
        <row r="68">
          <cell r="A68" t="str">
            <v>Molas hidraulicas</v>
          </cell>
          <cell r="B68" t="str">
            <v>unid</v>
          </cell>
          <cell r="C68">
            <v>280</v>
          </cell>
          <cell r="D68">
            <v>40</v>
          </cell>
          <cell r="F68">
            <v>320</v>
          </cell>
        </row>
        <row r="69">
          <cell r="A69" t="str">
            <v>Pavimentação de páteos e vias de circulação em asfalto CBQU, sobre imprimação asfáltica e com pintura de acabamento</v>
          </cell>
          <cell r="B69" t="str">
            <v>m2</v>
          </cell>
          <cell r="E69">
            <v>120</v>
          </cell>
          <cell r="F69">
            <v>120</v>
          </cell>
        </row>
        <row r="70">
          <cell r="A70" t="str">
            <v>Pilares + Vigas + Laje Alveolar Cotação da Cassol - Cafor</v>
          </cell>
          <cell r="B70" t="str">
            <v>m2</v>
          </cell>
          <cell r="E70">
            <v>2000</v>
          </cell>
          <cell r="F70">
            <v>2000</v>
          </cell>
        </row>
        <row r="71">
          <cell r="A71" t="str">
            <v>Pintura acril + massa acril</v>
          </cell>
          <cell r="B71" t="str">
            <v>m2</v>
          </cell>
          <cell r="C71">
            <v>15.75</v>
          </cell>
          <cell r="D71">
            <v>5</v>
          </cell>
          <cell r="F71">
            <v>20.75</v>
          </cell>
        </row>
        <row r="72">
          <cell r="A72" t="str">
            <v>Pintura Acrilica s/ conc aparente</v>
          </cell>
          <cell r="B72" t="str">
            <v>m2</v>
          </cell>
          <cell r="C72">
            <v>5.75</v>
          </cell>
          <cell r="D72">
            <v>5</v>
          </cell>
          <cell r="F72">
            <v>10.75</v>
          </cell>
        </row>
        <row r="73">
          <cell r="A73" t="str">
            <v xml:space="preserve">Piso ceramico </v>
          </cell>
          <cell r="B73" t="str">
            <v>m2</v>
          </cell>
          <cell r="C73">
            <v>47.22</v>
          </cell>
          <cell r="D73">
            <v>18.09</v>
          </cell>
          <cell r="F73">
            <v>65.31</v>
          </cell>
        </row>
        <row r="74">
          <cell r="A74" t="str">
            <v>Piso cimentado liso c juntas acrilico</v>
          </cell>
          <cell r="B74" t="str">
            <v>m2</v>
          </cell>
          <cell r="C74">
            <v>22.493999999999996</v>
          </cell>
          <cell r="D74">
            <v>15</v>
          </cell>
          <cell r="F74">
            <v>37.494</v>
          </cell>
        </row>
        <row r="75">
          <cell r="A75" t="str">
            <v>Piso Monolitico alta resist  tipo Polipiso 600  A acab polido</v>
          </cell>
          <cell r="B75" t="str">
            <v>m2</v>
          </cell>
          <cell r="E75">
            <v>79.099999999999994</v>
          </cell>
          <cell r="F75">
            <v>79.099999999999994</v>
          </cell>
        </row>
        <row r="76">
          <cell r="A76" t="str">
            <v>Piso monolitico tipo Keraplan EG esp 3mm Ancobras</v>
          </cell>
          <cell r="B76" t="str">
            <v>m2</v>
          </cell>
          <cell r="E76">
            <v>79.099999999999994</v>
          </cell>
          <cell r="F76">
            <v>79.099999999999994</v>
          </cell>
        </row>
        <row r="77">
          <cell r="A77" t="str">
            <v>Placa da obra</v>
          </cell>
          <cell r="B77" t="str">
            <v>unid</v>
          </cell>
          <cell r="C77">
            <v>1133</v>
          </cell>
          <cell r="D77">
            <v>30</v>
          </cell>
          <cell r="F77">
            <v>1163</v>
          </cell>
        </row>
        <row r="78">
          <cell r="A78" t="str">
            <v>Plantio de cortina vegetal com arbustos de 1m a árvores de 20m</v>
          </cell>
          <cell r="B78" t="str">
            <v>m2</v>
          </cell>
          <cell r="E78">
            <v>28</v>
          </cell>
          <cell r="F78">
            <v>28</v>
          </cell>
        </row>
        <row r="79">
          <cell r="A79" t="str">
            <v>Porta chapa aço galv 14 pintadas com esmalte sintetico + proteção Wash Primer - 1,40 x 2,10</v>
          </cell>
          <cell r="B79" t="str">
            <v>unid</v>
          </cell>
          <cell r="C79">
            <v>1470</v>
          </cell>
          <cell r="D79">
            <v>147</v>
          </cell>
          <cell r="F79">
            <v>1617</v>
          </cell>
        </row>
        <row r="80">
          <cell r="A80" t="str">
            <v>Porta chapa aço galv 14 pintadas com esmalte sintetico + proteção Wash Primer - 3,00 x 4,00</v>
          </cell>
          <cell r="B80" t="str">
            <v>unid</v>
          </cell>
          <cell r="C80">
            <v>6000</v>
          </cell>
          <cell r="D80">
            <v>600</v>
          </cell>
          <cell r="F80">
            <v>6600</v>
          </cell>
        </row>
        <row r="81">
          <cell r="A81" t="str">
            <v>Porta chapa aço galv 14 pintadas com esmalte sintetico + proteção Wash Primer - 1,60 x 2,50</v>
          </cell>
          <cell r="B81" t="str">
            <v>unid</v>
          </cell>
          <cell r="C81">
            <v>2000</v>
          </cell>
          <cell r="D81">
            <v>200</v>
          </cell>
          <cell r="F81">
            <v>2200</v>
          </cell>
        </row>
        <row r="82">
          <cell r="A82" t="str">
            <v>Porta chapa aço galv 14 pintadas com esmalte sintetico + proteção Wash Primer - 0,80 x 0,80</v>
          </cell>
          <cell r="B82" t="str">
            <v>unid</v>
          </cell>
          <cell r="C82">
            <v>320</v>
          </cell>
          <cell r="D82">
            <v>50</v>
          </cell>
          <cell r="F82">
            <v>370</v>
          </cell>
        </row>
        <row r="83">
          <cell r="A83" t="str">
            <v>Porta chapa aço galv 14 pintadas com esmalte sintetico + proteção Wash Primer - 1,20x2,10</v>
          </cell>
          <cell r="B83" t="str">
            <v>unid</v>
          </cell>
          <cell r="C83">
            <v>1260</v>
          </cell>
          <cell r="D83">
            <v>126</v>
          </cell>
          <cell r="F83">
            <v>1386</v>
          </cell>
        </row>
        <row r="84">
          <cell r="A84" t="str">
            <v>Porta chapa aço galv 14 pintadas com esmalte sintetico + proteção Wash Primer - 0,70 x 2,10</v>
          </cell>
          <cell r="B84" t="str">
            <v>unid</v>
          </cell>
          <cell r="C84">
            <v>735</v>
          </cell>
          <cell r="D84">
            <v>73.5</v>
          </cell>
          <cell r="F84">
            <v>808.5</v>
          </cell>
        </row>
        <row r="85">
          <cell r="A85" t="str">
            <v>Porta chapa aço galv 14 pintadas com esmalte sintetico + proteção Wash Primer - 1,10 x 2,10</v>
          </cell>
          <cell r="B85" t="str">
            <v>unid</v>
          </cell>
          <cell r="C85">
            <v>1155</v>
          </cell>
          <cell r="D85">
            <v>115.5</v>
          </cell>
          <cell r="F85">
            <v>1270.5</v>
          </cell>
        </row>
        <row r="86">
          <cell r="A86" t="str">
            <v>Porta corta fogo - 0,90x2,10</v>
          </cell>
          <cell r="B86" t="str">
            <v>unid</v>
          </cell>
          <cell r="C86">
            <v>1700</v>
          </cell>
          <cell r="D86">
            <v>160</v>
          </cell>
          <cell r="F86">
            <v>1860</v>
          </cell>
        </row>
        <row r="87">
          <cell r="A87" t="str">
            <v>Porta mad revest c laminado melaminico - 0,60x1,65</v>
          </cell>
          <cell r="B87" t="str">
            <v>unid</v>
          </cell>
          <cell r="C87">
            <v>226.95</v>
          </cell>
          <cell r="D87">
            <v>80</v>
          </cell>
          <cell r="F87">
            <v>306.95</v>
          </cell>
        </row>
        <row r="88">
          <cell r="A88" t="str">
            <v>Porta Papel</v>
          </cell>
          <cell r="B88" t="str">
            <v>unid</v>
          </cell>
          <cell r="C88">
            <v>25</v>
          </cell>
          <cell r="D88">
            <v>15</v>
          </cell>
          <cell r="F88">
            <v>40</v>
          </cell>
        </row>
        <row r="89">
          <cell r="A89" t="str">
            <v>Porta Papel Toalha</v>
          </cell>
          <cell r="B89" t="str">
            <v>unid</v>
          </cell>
          <cell r="C89">
            <v>47</v>
          </cell>
          <cell r="D89">
            <v>15</v>
          </cell>
          <cell r="F89">
            <v>62</v>
          </cell>
        </row>
        <row r="90">
          <cell r="A90" t="str">
            <v>Portões</v>
          </cell>
          <cell r="B90" t="str">
            <v>unid</v>
          </cell>
          <cell r="C90">
            <v>4500</v>
          </cell>
          <cell r="D90">
            <v>500</v>
          </cell>
          <cell r="F90">
            <v>5000</v>
          </cell>
        </row>
        <row r="91">
          <cell r="A91" t="str">
            <v>Preenchim areia parede corta fogo</v>
          </cell>
          <cell r="B91" t="str">
            <v>m3</v>
          </cell>
          <cell r="C91">
            <v>38</v>
          </cell>
          <cell r="D91">
            <v>16</v>
          </cell>
          <cell r="F91">
            <v>54</v>
          </cell>
        </row>
        <row r="92">
          <cell r="A92" t="str">
            <v>Reaterro</v>
          </cell>
          <cell r="B92" t="str">
            <v>m3</v>
          </cell>
          <cell r="E92">
            <v>15</v>
          </cell>
          <cell r="F92">
            <v>15</v>
          </cell>
        </row>
        <row r="93">
          <cell r="A93" t="str">
            <v>Recomposição de travessias</v>
          </cell>
          <cell r="B93" t="str">
            <v>m2</v>
          </cell>
          <cell r="E93">
            <v>102.12</v>
          </cell>
          <cell r="F93">
            <v>102.12</v>
          </cell>
        </row>
        <row r="94">
          <cell r="A94" t="str">
            <v>Rede de interligação - Esgoto</v>
          </cell>
          <cell r="B94" t="str">
            <v>m</v>
          </cell>
          <cell r="C94">
            <v>40</v>
          </cell>
          <cell r="F94">
            <v>40</v>
          </cell>
        </row>
        <row r="95">
          <cell r="A95" t="str">
            <v>Rede de interligação - Agua</v>
          </cell>
          <cell r="B95" t="str">
            <v>m</v>
          </cell>
          <cell r="C95">
            <v>35</v>
          </cell>
          <cell r="F95">
            <v>35</v>
          </cell>
        </row>
        <row r="96">
          <cell r="A96" t="str">
            <v>Rufo metalico 0,20m</v>
          </cell>
          <cell r="B96" t="str">
            <v>m</v>
          </cell>
          <cell r="E96">
            <v>41.3</v>
          </cell>
          <cell r="F96">
            <v>41.3</v>
          </cell>
        </row>
        <row r="97">
          <cell r="A97" t="str">
            <v>Saboneteira p/ sabão liquido</v>
          </cell>
          <cell r="B97" t="str">
            <v>unid</v>
          </cell>
          <cell r="C97">
            <v>45</v>
          </cell>
          <cell r="D97">
            <v>15</v>
          </cell>
          <cell r="F97">
            <v>60</v>
          </cell>
        </row>
        <row r="98">
          <cell r="A98" t="str">
            <v>Suporte de barramento tripolar alto 230kV</v>
          </cell>
          <cell r="B98" t="str">
            <v>un</v>
          </cell>
          <cell r="C98">
            <v>4500</v>
          </cell>
          <cell r="F98">
            <v>4500</v>
          </cell>
        </row>
        <row r="99">
          <cell r="A99" t="str">
            <v>Suporte de barramento tripolar alto 69kV</v>
          </cell>
          <cell r="B99" t="str">
            <v>un</v>
          </cell>
          <cell r="C99">
            <v>3000</v>
          </cell>
          <cell r="F99">
            <v>3000</v>
          </cell>
        </row>
        <row r="100">
          <cell r="A100" t="str">
            <v>Suporte de barramento tripolar baixo 69kV</v>
          </cell>
          <cell r="B100" t="str">
            <v>un</v>
          </cell>
          <cell r="C100">
            <v>2500</v>
          </cell>
          <cell r="F100">
            <v>2500</v>
          </cell>
        </row>
        <row r="101">
          <cell r="A101" t="str">
            <v>Suporte de isolador de pedestal baixo 230kV</v>
          </cell>
          <cell r="B101" t="str">
            <v>un</v>
          </cell>
          <cell r="C101">
            <v>1784</v>
          </cell>
          <cell r="F101">
            <v>1784</v>
          </cell>
        </row>
        <row r="102">
          <cell r="A102" t="str">
            <v>Suporte de Pára-raios 230kV</v>
          </cell>
          <cell r="B102" t="str">
            <v>un</v>
          </cell>
          <cell r="C102">
            <v>1735</v>
          </cell>
          <cell r="F102">
            <v>1735</v>
          </cell>
        </row>
        <row r="103">
          <cell r="A103" t="str">
            <v>Suporte de Pára-raios 69kV</v>
          </cell>
          <cell r="B103" t="str">
            <v>un</v>
          </cell>
          <cell r="C103">
            <v>1454</v>
          </cell>
          <cell r="F103">
            <v>1454</v>
          </cell>
        </row>
        <row r="104">
          <cell r="A104" t="str">
            <v>Suporte de Secionador tripolar, MH, AV/AC 69kV</v>
          </cell>
          <cell r="B104" t="str">
            <v>un</v>
          </cell>
          <cell r="C104">
            <v>2901</v>
          </cell>
          <cell r="F104">
            <v>2901</v>
          </cell>
        </row>
        <row r="105">
          <cell r="A105" t="str">
            <v>Suporte de Secionador, MH, pantográfico 230kV</v>
          </cell>
          <cell r="B105" t="str">
            <v>un</v>
          </cell>
          <cell r="C105">
            <v>3221</v>
          </cell>
          <cell r="F105">
            <v>3221</v>
          </cell>
        </row>
        <row r="106">
          <cell r="A106" t="str">
            <v>Suporte de Transformador de corrente 230kV</v>
          </cell>
          <cell r="B106" t="str">
            <v>un</v>
          </cell>
          <cell r="C106">
            <v>1270</v>
          </cell>
          <cell r="F106">
            <v>1270</v>
          </cell>
        </row>
        <row r="107">
          <cell r="A107" t="str">
            <v>Suporte de Transformador de potencial 230kV</v>
          </cell>
          <cell r="B107" t="str">
            <v>un</v>
          </cell>
          <cell r="C107">
            <v>1573</v>
          </cell>
          <cell r="F107">
            <v>1573</v>
          </cell>
        </row>
        <row r="108">
          <cell r="A108" t="str">
            <v>Tampa de concreto</v>
          </cell>
          <cell r="B108" t="str">
            <v>uni</v>
          </cell>
          <cell r="C108">
            <v>30</v>
          </cell>
          <cell r="D108">
            <v>15</v>
          </cell>
          <cell r="F108">
            <v>45</v>
          </cell>
        </row>
        <row r="109">
          <cell r="A109" t="str">
            <v>Tampa de concreto 1,20x0,50</v>
          </cell>
          <cell r="B109" t="str">
            <v>uni</v>
          </cell>
          <cell r="C109">
            <v>30</v>
          </cell>
          <cell r="D109">
            <v>15</v>
          </cell>
          <cell r="F109">
            <v>45</v>
          </cell>
        </row>
        <row r="110">
          <cell r="A110" t="str">
            <v xml:space="preserve">Tampa em ferro fundido </v>
          </cell>
          <cell r="B110" t="str">
            <v>uni</v>
          </cell>
          <cell r="C110">
            <v>600</v>
          </cell>
          <cell r="F110">
            <v>600</v>
          </cell>
        </row>
        <row r="111">
          <cell r="A111" t="str">
            <v>Taxa de mobilização Estaca Helice Continua</v>
          </cell>
          <cell r="B111" t="str">
            <v>vb</v>
          </cell>
          <cell r="E111">
            <v>36000</v>
          </cell>
          <cell r="F111">
            <v>36000</v>
          </cell>
        </row>
        <row r="112">
          <cell r="A112" t="str">
            <v>Tela metalica aço galv #10 vão entre barras do guarda-corpo</v>
          </cell>
          <cell r="B112" t="str">
            <v>m2</v>
          </cell>
          <cell r="C112">
            <v>16.72</v>
          </cell>
          <cell r="D112">
            <v>15</v>
          </cell>
          <cell r="F112">
            <v>31.72</v>
          </cell>
        </row>
        <row r="113">
          <cell r="A113" t="str">
            <v>Telha em aço trapezoidal e=0,8mm pré-pintada, modelo LR-40 da Perfilor</v>
          </cell>
          <cell r="B113" t="str">
            <v>m2</v>
          </cell>
          <cell r="E113">
            <v>108.99</v>
          </cell>
          <cell r="F113">
            <v>108.99</v>
          </cell>
        </row>
        <row r="114">
          <cell r="A114" t="str">
            <v>Torneiras Pressmatic</v>
          </cell>
          <cell r="B114" t="str">
            <v>unid</v>
          </cell>
          <cell r="C114">
            <v>97.85</v>
          </cell>
          <cell r="D114">
            <v>30</v>
          </cell>
          <cell r="F114">
            <v>127.85</v>
          </cell>
        </row>
        <row r="115">
          <cell r="A115" t="str">
            <v>Tubos de Concreto diam adequado</v>
          </cell>
          <cell r="B115" t="str">
            <v>m</v>
          </cell>
          <cell r="C115">
            <v>22</v>
          </cell>
          <cell r="D115">
            <v>9</v>
          </cell>
          <cell r="F115">
            <v>31</v>
          </cell>
        </row>
        <row r="116">
          <cell r="A116" t="str">
            <v>Vaso sanit com caixa acoplada</v>
          </cell>
          <cell r="B116" t="str">
            <v>unid</v>
          </cell>
          <cell r="C116">
            <v>295.01</v>
          </cell>
          <cell r="D116">
            <v>50</v>
          </cell>
          <cell r="F116">
            <v>345.01</v>
          </cell>
        </row>
        <row r="117">
          <cell r="A117" t="str">
            <v>Vidros aramados 6mm com 2 laminas e filme plastico entre elas</v>
          </cell>
          <cell r="B117" t="str">
            <v>m2</v>
          </cell>
          <cell r="C117">
            <v>182.3</v>
          </cell>
          <cell r="D117">
            <v>40</v>
          </cell>
          <cell r="F117">
            <v>222.3</v>
          </cell>
        </row>
        <row r="118">
          <cell r="A118" t="str">
            <v>Viga para pórtico 230kV de barramento superior</v>
          </cell>
          <cell r="B118" t="str">
            <v>un</v>
          </cell>
          <cell r="C118">
            <v>6500</v>
          </cell>
          <cell r="F118">
            <v>6500</v>
          </cell>
        </row>
        <row r="119">
          <cell r="A119" t="str">
            <v>Visor de vidro aramado 60x50cm</v>
          </cell>
          <cell r="B119" t="str">
            <v>m2</v>
          </cell>
          <cell r="C119">
            <v>182.3</v>
          </cell>
          <cell r="D119">
            <v>40</v>
          </cell>
          <cell r="F119">
            <v>222.3</v>
          </cell>
        </row>
        <row r="121">
          <cell r="A121" t="str">
            <v xml:space="preserve"> Verniz selador SHER-TILE HS BR, pintura anti-ácida PHENICONsobre argamassa (chapisco, emboço e reboco)</v>
          </cell>
          <cell r="B121" t="str">
            <v>m2</v>
          </cell>
          <cell r="E121">
            <v>25</v>
          </cell>
          <cell r="F121">
            <v>25</v>
          </cell>
        </row>
        <row r="122">
          <cell r="A122" t="str">
            <v xml:space="preserve"> Verniz selador SHER-TILE HS BR, pintura anti-ácida PHENICONsobre argamassa (chapisco, emboço e reboco) Kerakret</v>
          </cell>
          <cell r="B122" t="str">
            <v>m</v>
          </cell>
          <cell r="E122">
            <v>19.23</v>
          </cell>
          <cell r="F122">
            <v>19.23</v>
          </cell>
        </row>
        <row r="123">
          <cell r="A123" t="str">
            <v>Ceramica 240x54x9mm, mod. 2109, castor, GAIL</v>
          </cell>
          <cell r="B123" t="str">
            <v>m2</v>
          </cell>
          <cell r="C123">
            <v>83</v>
          </cell>
          <cell r="D123">
            <v>19.38</v>
          </cell>
          <cell r="F123">
            <v>102.38</v>
          </cell>
        </row>
        <row r="124">
          <cell r="A124" t="str">
            <v>Cobertura completa - PANISOL</v>
          </cell>
          <cell r="B124" t="str">
            <v>m2</v>
          </cell>
          <cell r="E124">
            <v>100</v>
          </cell>
          <cell r="F124">
            <v>100</v>
          </cell>
        </row>
        <row r="125">
          <cell r="A125" t="str">
            <v>Concreto com selador, massa e pintura  acrílica porao de cabos</v>
          </cell>
          <cell r="B125" t="str">
            <v>m2</v>
          </cell>
          <cell r="F125">
            <v>0</v>
          </cell>
        </row>
        <row r="126">
          <cell r="A126" t="str">
            <v>Cortina de concreto</v>
          </cell>
          <cell r="B126" t="str">
            <v>m3</v>
          </cell>
          <cell r="C126">
            <v>1014.48</v>
          </cell>
          <cell r="D126">
            <v>676.32</v>
          </cell>
          <cell r="F126">
            <v>1690.8000000000002</v>
          </cell>
        </row>
        <row r="127">
          <cell r="A127" t="str">
            <v>Cx passagem drenagem cobertura</v>
          </cell>
          <cell r="B127" t="str">
            <v>uni</v>
          </cell>
          <cell r="C127">
            <v>665</v>
          </cell>
          <cell r="D127">
            <v>285</v>
          </cell>
          <cell r="F127">
            <v>950</v>
          </cell>
        </row>
        <row r="128">
          <cell r="A128" t="str">
            <v>Cx passagem drenagem porão</v>
          </cell>
          <cell r="B128" t="str">
            <v>uni</v>
          </cell>
          <cell r="C128">
            <v>595</v>
          </cell>
          <cell r="D128">
            <v>255</v>
          </cell>
          <cell r="F128">
            <v>850</v>
          </cell>
        </row>
        <row r="129">
          <cell r="A129" t="str">
            <v>Diversos elétrica</v>
          </cell>
          <cell r="B129" t="str">
            <v>m2</v>
          </cell>
          <cell r="C129">
            <v>70</v>
          </cell>
          <cell r="D129">
            <v>30</v>
          </cell>
          <cell r="F129">
            <v>100</v>
          </cell>
        </row>
        <row r="130">
          <cell r="A130" t="str">
            <v>Escada de acesso cobertura</v>
          </cell>
          <cell r="B130" t="str">
            <v>uni</v>
          </cell>
          <cell r="E130">
            <v>8000</v>
          </cell>
          <cell r="F130">
            <v>8000</v>
          </cell>
        </row>
        <row r="131">
          <cell r="A131" t="str">
            <v>Extravasor de água pluvial de aço 100mm</v>
          </cell>
          <cell r="B131" t="str">
            <v>m</v>
          </cell>
          <cell r="C131">
            <v>100</v>
          </cell>
          <cell r="D131">
            <v>37</v>
          </cell>
          <cell r="F131">
            <v>137</v>
          </cell>
        </row>
        <row r="132">
          <cell r="A132" t="str">
            <v>Impermeabilização laje cobertura</v>
          </cell>
          <cell r="B132" t="str">
            <v>m2</v>
          </cell>
          <cell r="E132">
            <v>78.739999999999995</v>
          </cell>
          <cell r="F132">
            <v>78.739999999999995</v>
          </cell>
        </row>
        <row r="133">
          <cell r="A133" t="str">
            <v>Madeira c/ verniz</v>
          </cell>
          <cell r="B133" t="str">
            <v>m</v>
          </cell>
          <cell r="C133">
            <v>10</v>
          </cell>
          <cell r="D133">
            <v>4</v>
          </cell>
          <cell r="F133">
            <v>14</v>
          </cell>
        </row>
        <row r="134">
          <cell r="A134" t="str">
            <v>Piso elevado de aço da PISOTRAT</v>
          </cell>
          <cell r="B134" t="str">
            <v>m2</v>
          </cell>
          <cell r="E134">
            <v>370.88</v>
          </cell>
          <cell r="F134">
            <v>370.88</v>
          </cell>
        </row>
        <row r="135">
          <cell r="A135" t="str">
            <v>Porta chapa aço galv 14 pintadas com esmalte sintetico + proteção Wash Primer - 1,20x2,70</v>
          </cell>
          <cell r="B135" t="str">
            <v>uni</v>
          </cell>
          <cell r="C135">
            <v>1620</v>
          </cell>
          <cell r="D135">
            <v>162</v>
          </cell>
          <cell r="F135">
            <v>1782</v>
          </cell>
        </row>
        <row r="136">
          <cell r="A136" t="str">
            <v>Porta chapa aço galv 14 pintadas com esmalte sintetico + proteção Wash Primer - 2,00x2,70</v>
          </cell>
          <cell r="B136" t="str">
            <v>uni</v>
          </cell>
          <cell r="C136">
            <v>2700</v>
          </cell>
          <cell r="D136">
            <v>270</v>
          </cell>
          <cell r="F136">
            <v>2970</v>
          </cell>
        </row>
        <row r="137">
          <cell r="A137" t="str">
            <v>Porta mad revest c laminado melaminico - 0,80x2,70</v>
          </cell>
          <cell r="B137" t="str">
            <v>uni</v>
          </cell>
          <cell r="C137">
            <v>350</v>
          </cell>
          <cell r="D137">
            <v>80</v>
          </cell>
          <cell r="F137">
            <v>430</v>
          </cell>
        </row>
        <row r="138">
          <cell r="A138" t="str">
            <v>Ralo hemisférico e tubo de água pluvial de aço 100mm</v>
          </cell>
          <cell r="B138" t="str">
            <v>m</v>
          </cell>
          <cell r="C138">
            <v>100</v>
          </cell>
          <cell r="D138">
            <v>37</v>
          </cell>
          <cell r="F138">
            <v>137</v>
          </cell>
        </row>
        <row r="139">
          <cell r="A139" t="str">
            <v>Rodapé Monolitico alta resist  tipo Polipiso 600  A acab polido</v>
          </cell>
          <cell r="B139" t="str">
            <v>m</v>
          </cell>
          <cell r="E139">
            <v>20</v>
          </cell>
          <cell r="F139">
            <v>20</v>
          </cell>
        </row>
        <row r="140">
          <cell r="A140" t="str">
            <v>Serviço de comunicação</v>
          </cell>
          <cell r="B140" t="str">
            <v>m2</v>
          </cell>
          <cell r="E140">
            <v>10</v>
          </cell>
          <cell r="F140">
            <v>10</v>
          </cell>
        </row>
        <row r="141">
          <cell r="F141">
            <v>0</v>
          </cell>
        </row>
      </sheetData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E"/>
      <sheetName val="Preços"/>
      <sheetName val="ANALISE.XLS"/>
      <sheetName val="Capa"/>
      <sheetName val="Planilha1"/>
      <sheetName val="Plan1"/>
      <sheetName val="Referencias"/>
      <sheetName val="ANALISE_XLS"/>
    </sheetNames>
    <definedNames>
      <definedName name="Macro1"/>
    </defined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 refreshError="1"/>
      <sheetData sheetId="7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LICAÇÃO"/>
      <sheetName val="Parametros"/>
      <sheetName val="Índices de MdO"/>
      <sheetName val="Índices_de_MdO"/>
    </sheetNames>
    <sheetDataSet>
      <sheetData sheetId="0" refreshError="1"/>
      <sheetData sheetId="1" refreshError="1"/>
      <sheetData sheetId="2" refreshError="1"/>
      <sheetData sheetId="3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KBL"/>
      <sheetName val="Page 1"/>
      <sheetName val="Page 2 "/>
      <sheetName val="Page 3 "/>
      <sheetName val="Page 4"/>
      <sheetName val="Page 5"/>
      <sheetName val="Page 6"/>
      <sheetName val="7 Project Calculation"/>
      <sheetName val="8 Risk Analysis"/>
      <sheetName val="9 Project Cal. per BD"/>
      <sheetName val="APLICAÇÃO"/>
      <sheetName val="Page_1"/>
      <sheetName val="Page_2_"/>
      <sheetName val="Page_3_"/>
      <sheetName val="Page_4"/>
      <sheetName val="Page_5"/>
      <sheetName val="Page_6"/>
      <sheetName val="7_Project_Calculation"/>
      <sheetName val="8_Risk_Analysis"/>
      <sheetName val="9_Project_Cal__per_BD"/>
      <sheetName val="Capa"/>
      <sheetName val="Planilha1"/>
      <sheetName val="Plan1"/>
      <sheetName val="Referencias"/>
      <sheetName val="FCAC"/>
      <sheetName val="MEM_CALC"/>
      <sheetName val="wages"/>
      <sheetName val="2"/>
      <sheetName val="Page_11"/>
      <sheetName val="Page_2_1"/>
      <sheetName val="Page_3_1"/>
      <sheetName val="Page_41"/>
      <sheetName val="Page_51"/>
      <sheetName val="Page_61"/>
      <sheetName val="7_Project_Calculation1"/>
      <sheetName val="8_Risk_Analysis1"/>
      <sheetName val="9_Project_Cal__per_BD1"/>
    </sheetNames>
    <sheetDataSet>
      <sheetData sheetId="0"/>
      <sheetData sheetId="1" refreshError="1">
        <row r="7">
          <cell r="H7" t="str">
            <v>TL Chavantes - Botucatu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>
        <row r="7">
          <cell r="H7" t="str">
            <v>TL Chavantes - Botucatu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7">
          <cell r="H7" t="str">
            <v>DI-SPCI</v>
          </cell>
        </row>
      </sheetData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a"/>
      <sheetName val="Solo I"/>
      <sheetName val="SoloII"/>
      <sheetName val="Page 1"/>
      <sheetName val="Solo_I"/>
      <sheetName val="Page_1"/>
    </sheetNames>
    <sheetDataSet>
      <sheetData sheetId="0" refreshError="1"/>
      <sheetData sheetId="1"/>
      <sheetData sheetId="2" refreshError="1"/>
      <sheetData sheetId="3" refreshError="1"/>
      <sheetData sheetId="4"/>
      <sheetData sheetId="5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ope and Contents"/>
      <sheetName val="LISTA"/>
      <sheetName val="PSV"/>
      <sheetName val="Line List"/>
      <sheetName val="Croquis XV001-007-008-015-070"/>
      <sheetName val="Croquis XV002-018-019-021-032"/>
      <sheetName val="Croquis XV003-025-030"/>
      <sheetName val="Croquis XV004"/>
      <sheetName val="Croquis XV005"/>
      <sheetName val="Croquis XV006-XV013"/>
      <sheetName val="Croquis XV009"/>
      <sheetName val="Croquis XV010"/>
      <sheetName val="Croquis XV011-XV022-XV029"/>
      <sheetName val="Croquis XV012"/>
      <sheetName val="Croquis XV014-016-017-023-024"/>
      <sheetName val="Croquis XV020"/>
      <sheetName val="Croquis XV026-XV060-XV062"/>
      <sheetName val="Croquis XV027"/>
      <sheetName val="Croquis XV028"/>
      <sheetName val="Croquis XV031"/>
      <sheetName val="CROQUIS XV033-XV034"/>
      <sheetName val="CROQUIS XV035-36-37-38-39-48"/>
      <sheetName val="CROQUIS XV040-41-42-43-44-45-46"/>
      <sheetName val="CROQUIS XV047"/>
      <sheetName val="Croquis XV050-XV053-XV061"/>
      <sheetName val="Croquis XV054-XV055"/>
      <sheetName val="Croquis XV060-62-64-65-66-67-68"/>
      <sheetName val="Croquis XV049-051-052-058-059"/>
      <sheetName val="Croquis XV063-XV069"/>
      <sheetName val="Croquis XV075"/>
      <sheetName val="Croquis XV076"/>
      <sheetName val="Croquis XV081"/>
      <sheetName val="Croquis XV082"/>
      <sheetName val="Croquis XV083"/>
      <sheetName val="Croquis XV084"/>
      <sheetName val="Croquis XV071-073-077-079-085"/>
      <sheetName val="Croquis XV072-074-078-080-086"/>
      <sheetName val="Notas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1"/>
      <sheetName val="Plan2"/>
      <sheetName val="Plan3"/>
      <sheetName val="Plan4"/>
      <sheetName val="Plan5"/>
      <sheetName val="Plan6"/>
      <sheetName val="Solo I"/>
      <sheetName val="Ameacas-PreReacao"/>
      <sheetName val="Oport-PreReacao"/>
      <sheetName val="Solo_I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CBR"/>
      <sheetName val="Folha de Rosto - 50"/>
      <sheetName val="Plan4"/>
      <sheetName val="Folha_de_Rosto_-_50"/>
      <sheetName val="Folha_de_Rosto_-_501"/>
    </sheetNames>
    <sheetDataSet>
      <sheetData sheetId="0"/>
      <sheetData sheetId="1"/>
      <sheetData sheetId="2" refreshError="1"/>
      <sheetData sheetId="3" refreshError="1"/>
      <sheetData sheetId="4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4F07F-725B-4F1D-9874-19FF5FB4C1DE}">
  <sheetPr>
    <pageSetUpPr fitToPage="1"/>
  </sheetPr>
  <dimension ref="A1:BA38"/>
  <sheetViews>
    <sheetView tabSelected="1" view="pageLayout" zoomScaleNormal="85" zoomScaleSheetLayoutView="85" workbookViewId="0">
      <selection activeCell="P36" sqref="P36:U36"/>
    </sheetView>
  </sheetViews>
  <sheetFormatPr defaultColWidth="10" defaultRowHeight="11.4" x14ac:dyDescent="0.2"/>
  <cols>
    <col min="1" max="53" width="1.6640625" style="3" customWidth="1"/>
    <col min="54" max="16384" width="10" style="3"/>
  </cols>
  <sheetData>
    <row r="1" spans="1:53" ht="42" customHeight="1" x14ac:dyDescent="0.2">
      <c r="A1" s="300"/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64"/>
      <c r="AA1" s="164"/>
      <c r="AB1" s="164"/>
      <c r="AC1" s="164"/>
      <c r="AD1" s="164"/>
      <c r="AE1" s="164"/>
      <c r="AF1" s="164"/>
      <c r="AG1" s="164"/>
      <c r="AH1" s="164"/>
      <c r="AI1" s="164"/>
      <c r="AJ1" s="164"/>
      <c r="AK1" s="164"/>
      <c r="AL1" s="164"/>
      <c r="AM1" s="164"/>
      <c r="AN1" s="164"/>
      <c r="AO1" s="164"/>
      <c r="AP1" s="164"/>
      <c r="AQ1" s="164"/>
      <c r="AR1" s="164"/>
      <c r="AS1" s="164"/>
      <c r="AT1" s="164"/>
      <c r="AU1" s="164"/>
      <c r="AV1" s="164"/>
      <c r="AW1" s="164"/>
      <c r="AX1" s="164"/>
      <c r="AY1" s="164"/>
      <c r="AZ1" s="164"/>
      <c r="BA1" s="301"/>
    </row>
    <row r="2" spans="1:53" ht="12.9" customHeight="1" x14ac:dyDescent="0.25">
      <c r="A2" s="302" t="s">
        <v>122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164"/>
      <c r="Q2" s="164"/>
      <c r="R2" s="164"/>
      <c r="S2" s="164"/>
      <c r="T2" s="164"/>
      <c r="U2" s="164"/>
      <c r="V2" s="164"/>
      <c r="W2" s="164"/>
      <c r="X2" s="164"/>
      <c r="Y2" s="164"/>
      <c r="Z2" s="164"/>
      <c r="AA2" s="121"/>
      <c r="AB2" s="164"/>
      <c r="AC2" s="164"/>
      <c r="AD2" s="164"/>
      <c r="AE2" s="164"/>
      <c r="AF2" s="164"/>
      <c r="AG2" s="164"/>
      <c r="AH2" s="164"/>
      <c r="AI2" s="58"/>
      <c r="AJ2" s="58"/>
      <c r="AK2" s="58"/>
      <c r="AL2" s="58"/>
      <c r="AM2" s="58"/>
      <c r="AN2" s="58"/>
      <c r="AO2" s="58"/>
      <c r="AP2" s="58"/>
      <c r="AQ2" s="58"/>
      <c r="AR2" s="58"/>
      <c r="AS2" s="58"/>
      <c r="AT2" s="58"/>
      <c r="AU2" s="58"/>
      <c r="AV2" s="58"/>
      <c r="AW2" s="58"/>
      <c r="AX2" s="58"/>
      <c r="AY2" s="58"/>
      <c r="AZ2" s="58"/>
      <c r="BA2" s="303" t="s">
        <v>840</v>
      </c>
    </row>
    <row r="3" spans="1:53" ht="12.9" customHeight="1" x14ac:dyDescent="0.2">
      <c r="A3" s="304"/>
      <c r="B3" s="305"/>
      <c r="C3" s="305"/>
      <c r="D3" s="305"/>
      <c r="E3" s="305"/>
      <c r="F3" s="305"/>
      <c r="G3" s="305"/>
      <c r="H3" s="305"/>
      <c r="I3" s="305"/>
      <c r="J3" s="305"/>
      <c r="K3" s="305"/>
      <c r="L3" s="305"/>
      <c r="M3" s="305"/>
      <c r="N3" s="305"/>
      <c r="O3" s="305"/>
      <c r="P3" s="305"/>
      <c r="Q3" s="305"/>
      <c r="R3" s="305"/>
      <c r="S3" s="305"/>
      <c r="T3" s="305"/>
      <c r="AI3" s="306"/>
      <c r="AJ3" s="306"/>
      <c r="AK3" s="306"/>
      <c r="AM3" s="307"/>
      <c r="AN3" s="307"/>
      <c r="AO3" s="307"/>
      <c r="AP3" s="307"/>
      <c r="AQ3" s="307"/>
      <c r="AR3" s="307"/>
      <c r="AS3" s="307"/>
      <c r="AT3" s="307"/>
      <c r="AU3" s="307"/>
      <c r="AV3" s="307"/>
      <c r="AW3" s="307"/>
      <c r="AX3" s="307"/>
      <c r="AY3" s="307"/>
      <c r="AZ3" s="307"/>
      <c r="BA3" s="308"/>
    </row>
    <row r="4" spans="1:53" ht="12.9" customHeight="1" x14ac:dyDescent="0.2">
      <c r="A4" s="309" t="s">
        <v>839</v>
      </c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91"/>
      <c r="V4" s="91"/>
      <c r="W4" s="91"/>
      <c r="X4" s="91"/>
      <c r="Y4" s="91"/>
      <c r="Z4" s="91"/>
      <c r="AA4" s="91"/>
      <c r="AB4" s="91"/>
      <c r="AC4" s="91"/>
      <c r="AD4" s="91"/>
      <c r="AE4" s="91"/>
      <c r="AF4" s="91"/>
      <c r="AG4" s="91"/>
      <c r="AH4" s="91"/>
      <c r="AI4" s="91"/>
      <c r="AJ4" s="91"/>
      <c r="AK4" s="91"/>
      <c r="AL4" s="91"/>
      <c r="AM4" s="91"/>
      <c r="AN4" s="91"/>
      <c r="AO4" s="91"/>
      <c r="AP4" s="91"/>
      <c r="AQ4" s="91"/>
      <c r="AR4" s="91"/>
      <c r="AS4" s="91"/>
      <c r="AT4" s="91"/>
      <c r="AU4" s="91"/>
      <c r="AV4" s="91"/>
      <c r="AW4" s="91"/>
      <c r="AX4" s="166"/>
      <c r="AY4" s="166"/>
      <c r="AZ4" s="165"/>
      <c r="BA4" s="310" t="s">
        <v>831</v>
      </c>
    </row>
    <row r="5" spans="1:53" ht="22.35" customHeight="1" x14ac:dyDescent="0.25">
      <c r="A5" s="311"/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164"/>
      <c r="S5" s="164"/>
      <c r="T5" s="164"/>
      <c r="U5" s="164"/>
      <c r="V5" s="164"/>
      <c r="W5" s="164"/>
      <c r="X5" s="164"/>
      <c r="Y5" s="164"/>
      <c r="Z5" s="164"/>
      <c r="AA5" s="162"/>
      <c r="AC5" s="163"/>
      <c r="AD5" s="163"/>
      <c r="AE5" s="163"/>
      <c r="AF5" s="163"/>
      <c r="AG5" s="163"/>
      <c r="AH5" s="163"/>
      <c r="AI5" s="163"/>
      <c r="AJ5" s="163"/>
      <c r="AK5" s="163"/>
      <c r="AL5" s="163"/>
      <c r="AM5" s="162"/>
      <c r="AN5" s="162"/>
      <c r="AO5" s="162"/>
      <c r="AP5" s="162"/>
      <c r="AQ5" s="162"/>
      <c r="AR5" s="163"/>
      <c r="AS5" s="163"/>
      <c r="AT5" s="163"/>
      <c r="AU5" s="163"/>
      <c r="AV5" s="163"/>
      <c r="AW5" s="163"/>
      <c r="AX5" s="163"/>
      <c r="AY5" s="163"/>
      <c r="AZ5" s="163"/>
      <c r="BA5" s="312"/>
    </row>
    <row r="6" spans="1:53" ht="22.35" customHeight="1" x14ac:dyDescent="0.2">
      <c r="A6" s="313"/>
      <c r="BA6" s="314"/>
    </row>
    <row r="7" spans="1:53" ht="22.35" customHeight="1" x14ac:dyDescent="0.2">
      <c r="A7" s="313"/>
      <c r="F7" s="315"/>
      <c r="G7" s="315"/>
      <c r="H7" s="315"/>
      <c r="I7" s="315"/>
      <c r="J7" s="315"/>
      <c r="K7" s="315"/>
      <c r="L7" s="315"/>
      <c r="M7" s="315"/>
      <c r="N7" s="315"/>
      <c r="O7" s="315"/>
      <c r="P7" s="315"/>
      <c r="Q7" s="315"/>
      <c r="R7" s="315"/>
      <c r="S7" s="315"/>
      <c r="T7" s="315"/>
      <c r="U7" s="315"/>
      <c r="V7" s="315"/>
      <c r="W7" s="315"/>
      <c r="X7" s="315"/>
      <c r="Y7" s="315"/>
      <c r="Z7" s="315"/>
      <c r="AA7" s="315"/>
      <c r="AB7" s="315"/>
      <c r="AC7" s="315"/>
      <c r="AD7" s="315"/>
      <c r="AE7" s="315"/>
      <c r="AF7" s="315"/>
      <c r="AG7" s="315"/>
      <c r="AH7" s="315"/>
      <c r="AI7" s="315"/>
      <c r="AJ7" s="315"/>
      <c r="AK7" s="315"/>
      <c r="AL7" s="315"/>
      <c r="AM7" s="315"/>
      <c r="AN7" s="315"/>
      <c r="AO7" s="315"/>
      <c r="AP7" s="315"/>
      <c r="AQ7" s="315"/>
      <c r="AR7" s="315"/>
      <c r="AS7" s="315"/>
      <c r="AT7" s="315"/>
      <c r="AU7" s="315"/>
      <c r="AV7" s="315"/>
      <c r="AW7" s="315"/>
      <c r="BA7" s="314"/>
    </row>
    <row r="8" spans="1:53" ht="22.35" customHeight="1" x14ac:dyDescent="0.2">
      <c r="A8" s="313"/>
      <c r="F8" s="315"/>
      <c r="G8" s="315"/>
      <c r="H8" s="315"/>
      <c r="I8" s="315"/>
      <c r="J8" s="315"/>
      <c r="K8" s="316"/>
      <c r="L8" s="316"/>
      <c r="M8" s="316"/>
      <c r="N8" s="316"/>
      <c r="O8" s="316"/>
      <c r="P8" s="316"/>
      <c r="Q8" s="316"/>
      <c r="R8" s="316"/>
      <c r="S8" s="316"/>
      <c r="T8" s="316"/>
      <c r="U8" s="316"/>
      <c r="V8" s="316"/>
      <c r="W8" s="316"/>
      <c r="X8" s="316"/>
      <c r="Y8" s="316"/>
      <c r="Z8" s="316"/>
      <c r="AA8" s="316"/>
      <c r="AB8" s="316"/>
      <c r="AC8" s="316"/>
      <c r="AD8" s="316"/>
      <c r="AE8" s="316"/>
      <c r="AF8" s="316"/>
      <c r="AG8" s="316"/>
      <c r="AH8" s="316"/>
      <c r="AI8" s="316"/>
      <c r="AJ8" s="316"/>
      <c r="AK8" s="316"/>
      <c r="AL8" s="316"/>
      <c r="AM8" s="316"/>
      <c r="AN8" s="316"/>
      <c r="AO8" s="316"/>
      <c r="AP8" s="316"/>
      <c r="AQ8" s="316"/>
      <c r="AR8" s="316"/>
      <c r="AS8" s="316"/>
      <c r="AT8" s="315"/>
      <c r="AU8" s="315"/>
      <c r="AV8" s="315"/>
      <c r="AW8" s="315"/>
      <c r="BA8" s="314"/>
    </row>
    <row r="9" spans="1:53" ht="22.35" customHeight="1" x14ac:dyDescent="0.2">
      <c r="A9" s="313"/>
      <c r="F9" s="315"/>
      <c r="G9" s="315"/>
      <c r="H9" s="315"/>
      <c r="I9" s="315"/>
      <c r="J9" s="315"/>
      <c r="K9" s="316"/>
      <c r="L9" s="316"/>
      <c r="M9" s="316"/>
      <c r="N9" s="316"/>
      <c r="O9" s="316"/>
      <c r="P9" s="316"/>
      <c r="Q9" s="316"/>
      <c r="R9" s="316"/>
      <c r="S9" s="316"/>
      <c r="T9" s="316"/>
      <c r="U9" s="316"/>
      <c r="V9" s="316"/>
      <c r="W9" s="316"/>
      <c r="X9" s="316"/>
      <c r="Y9" s="316"/>
      <c r="Z9" s="316"/>
      <c r="AA9" s="316"/>
      <c r="AB9" s="316"/>
      <c r="AC9" s="316"/>
      <c r="AD9" s="316"/>
      <c r="AE9" s="316"/>
      <c r="AF9" s="316"/>
      <c r="AG9" s="316"/>
      <c r="AH9" s="316"/>
      <c r="AI9" s="316"/>
      <c r="AJ9" s="316"/>
      <c r="AK9" s="316"/>
      <c r="AL9" s="316"/>
      <c r="AM9" s="316"/>
      <c r="AN9" s="316"/>
      <c r="AO9" s="316"/>
      <c r="AP9" s="316"/>
      <c r="AQ9" s="316"/>
      <c r="AR9" s="316"/>
      <c r="AS9" s="316"/>
      <c r="AT9" s="315"/>
      <c r="AU9" s="315"/>
      <c r="AV9" s="315"/>
      <c r="AW9" s="315"/>
      <c r="BA9" s="314"/>
    </row>
    <row r="10" spans="1:53" ht="22.35" customHeight="1" x14ac:dyDescent="0.2">
      <c r="A10" s="313"/>
      <c r="K10" s="317"/>
      <c r="L10" s="317"/>
      <c r="M10" s="317"/>
      <c r="N10" s="317"/>
      <c r="O10" s="317"/>
      <c r="P10" s="317"/>
      <c r="Q10" s="317"/>
      <c r="R10" s="317"/>
      <c r="S10" s="317"/>
      <c r="T10" s="317"/>
      <c r="U10" s="317"/>
      <c r="V10" s="317"/>
      <c r="W10" s="317"/>
      <c r="X10" s="317"/>
      <c r="Y10" s="317"/>
      <c r="Z10" s="317"/>
      <c r="AA10" s="317"/>
      <c r="AB10" s="317"/>
      <c r="AC10" s="317"/>
      <c r="AD10" s="317"/>
      <c r="AE10" s="317"/>
      <c r="AF10" s="317"/>
      <c r="AG10" s="317"/>
      <c r="AH10" s="317"/>
      <c r="AI10" s="317"/>
      <c r="AJ10" s="317"/>
      <c r="AK10" s="317"/>
      <c r="AL10" s="317"/>
      <c r="AM10" s="317"/>
      <c r="AN10" s="317"/>
      <c r="AO10" s="317"/>
      <c r="AP10" s="317"/>
      <c r="AQ10" s="317"/>
      <c r="AR10" s="317"/>
      <c r="AS10" s="317"/>
      <c r="BA10" s="314"/>
    </row>
    <row r="11" spans="1:53" ht="22.35" customHeight="1" x14ac:dyDescent="0.2">
      <c r="A11" s="313"/>
      <c r="K11" s="317"/>
      <c r="L11" s="317"/>
      <c r="M11" s="317"/>
      <c r="N11" s="317"/>
      <c r="O11" s="317"/>
      <c r="P11" s="317"/>
      <c r="Q11" s="317"/>
      <c r="R11" s="317"/>
      <c r="S11" s="317"/>
      <c r="T11" s="317"/>
      <c r="U11" s="317"/>
      <c r="V11" s="317"/>
      <c r="W11" s="317"/>
      <c r="X11" s="317"/>
      <c r="Y11" s="317"/>
      <c r="Z11" s="317"/>
      <c r="AA11" s="317"/>
      <c r="AB11" s="317"/>
      <c r="AC11" s="317"/>
      <c r="AD11" s="317"/>
      <c r="AE11" s="317"/>
      <c r="AF11" s="317"/>
      <c r="AG11" s="317"/>
      <c r="AH11" s="317"/>
      <c r="AI11" s="317"/>
      <c r="AJ11" s="317"/>
      <c r="AK11" s="317"/>
      <c r="AL11" s="317"/>
      <c r="AM11" s="317"/>
      <c r="AN11" s="317"/>
      <c r="AO11" s="317"/>
      <c r="AP11" s="317"/>
      <c r="AQ11" s="317"/>
      <c r="AR11" s="317"/>
      <c r="AS11" s="317"/>
      <c r="BA11" s="314"/>
    </row>
    <row r="12" spans="1:53" ht="22.35" customHeight="1" x14ac:dyDescent="0.2">
      <c r="A12" s="313"/>
      <c r="K12" s="318"/>
      <c r="L12" s="318"/>
      <c r="M12" s="318"/>
      <c r="N12" s="318"/>
      <c r="O12" s="318"/>
      <c r="P12" s="318"/>
      <c r="Q12" s="318"/>
      <c r="R12" s="318"/>
      <c r="S12" s="318"/>
      <c r="T12" s="318"/>
      <c r="U12" s="318"/>
      <c r="V12" s="318"/>
      <c r="W12" s="318"/>
      <c r="X12" s="318"/>
      <c r="Y12" s="318"/>
      <c r="Z12" s="318"/>
      <c r="AA12" s="318"/>
      <c r="AB12" s="318"/>
      <c r="AC12" s="318"/>
      <c r="AD12" s="318"/>
      <c r="AE12" s="318"/>
      <c r="AF12" s="318"/>
      <c r="AG12" s="318"/>
      <c r="AH12" s="318"/>
      <c r="AI12" s="318"/>
      <c r="AJ12" s="318"/>
      <c r="AK12" s="318"/>
      <c r="AL12" s="318"/>
      <c r="AM12" s="318"/>
      <c r="AN12" s="318"/>
      <c r="AO12" s="318"/>
      <c r="AP12" s="318"/>
      <c r="AQ12" s="318"/>
      <c r="AR12" s="318"/>
      <c r="AS12" s="318"/>
      <c r="BA12" s="314"/>
    </row>
    <row r="13" spans="1:53" ht="22.35" customHeight="1" x14ac:dyDescent="0.2">
      <c r="A13" s="313"/>
      <c r="K13" s="318"/>
      <c r="L13" s="318"/>
      <c r="M13" s="318"/>
      <c r="N13" s="318"/>
      <c r="O13" s="318"/>
      <c r="P13" s="318"/>
      <c r="Q13" s="318"/>
      <c r="R13" s="318"/>
      <c r="S13" s="318"/>
      <c r="T13" s="318"/>
      <c r="U13" s="318"/>
      <c r="V13" s="318"/>
      <c r="W13" s="318"/>
      <c r="X13" s="318"/>
      <c r="Y13" s="318"/>
      <c r="Z13" s="318"/>
      <c r="AA13" s="318"/>
      <c r="AB13" s="318"/>
      <c r="AC13" s="318"/>
      <c r="AD13" s="318"/>
      <c r="AE13" s="318"/>
      <c r="AF13" s="318"/>
      <c r="AG13" s="318"/>
      <c r="AH13" s="318"/>
      <c r="AI13" s="318"/>
      <c r="AJ13" s="318"/>
      <c r="AK13" s="318"/>
      <c r="AL13" s="318"/>
      <c r="AM13" s="318"/>
      <c r="AN13" s="318"/>
      <c r="AO13" s="318"/>
      <c r="AP13" s="318"/>
      <c r="AQ13" s="318"/>
      <c r="AR13" s="318"/>
      <c r="AS13" s="318"/>
      <c r="BA13" s="314"/>
    </row>
    <row r="14" spans="1:53" ht="22.35" customHeight="1" x14ac:dyDescent="0.2">
      <c r="A14" s="313"/>
      <c r="K14" s="318"/>
      <c r="L14" s="318"/>
      <c r="M14" s="318"/>
      <c r="N14" s="318"/>
      <c r="O14" s="318"/>
      <c r="P14" s="318"/>
      <c r="Q14" s="318"/>
      <c r="R14" s="318"/>
      <c r="S14" s="318"/>
      <c r="T14" s="318"/>
      <c r="U14" s="318"/>
      <c r="V14" s="318"/>
      <c r="W14" s="318"/>
      <c r="X14" s="318"/>
      <c r="Y14" s="318"/>
      <c r="Z14" s="318"/>
      <c r="AA14" s="318"/>
      <c r="AB14" s="318"/>
      <c r="AC14" s="318"/>
      <c r="AD14" s="318"/>
      <c r="AE14" s="318"/>
      <c r="AF14" s="318"/>
      <c r="AG14" s="318"/>
      <c r="AH14" s="318"/>
      <c r="AI14" s="318"/>
      <c r="AJ14" s="318"/>
      <c r="AK14" s="318"/>
      <c r="AL14" s="318"/>
      <c r="AM14" s="318"/>
      <c r="AN14" s="318"/>
      <c r="AO14" s="318"/>
      <c r="AP14" s="318"/>
      <c r="AQ14" s="318"/>
      <c r="AR14" s="318"/>
      <c r="AS14" s="318"/>
      <c r="BA14" s="314"/>
    </row>
    <row r="15" spans="1:53" ht="22.35" customHeight="1" x14ac:dyDescent="0.2">
      <c r="A15" s="313"/>
      <c r="K15" s="318"/>
      <c r="L15" s="318"/>
      <c r="M15" s="318"/>
      <c r="N15" s="318"/>
      <c r="O15" s="318"/>
      <c r="P15" s="318"/>
      <c r="Q15" s="318"/>
      <c r="R15" s="318"/>
      <c r="S15" s="318"/>
      <c r="T15" s="318"/>
      <c r="U15" s="318"/>
      <c r="V15" s="318"/>
      <c r="W15" s="318"/>
      <c r="X15" s="318"/>
      <c r="Y15" s="318"/>
      <c r="Z15" s="318"/>
      <c r="AA15" s="318"/>
      <c r="AB15" s="318"/>
      <c r="AC15" s="318"/>
      <c r="AD15" s="318"/>
      <c r="AE15" s="318"/>
      <c r="AF15" s="318"/>
      <c r="AG15" s="318"/>
      <c r="AH15" s="318"/>
      <c r="AI15" s="318"/>
      <c r="AJ15" s="318"/>
      <c r="AK15" s="318"/>
      <c r="AL15" s="318"/>
      <c r="AM15" s="318"/>
      <c r="AN15" s="318"/>
      <c r="AO15" s="318"/>
      <c r="AP15" s="318"/>
      <c r="AQ15" s="318"/>
      <c r="AR15" s="318"/>
      <c r="AS15" s="318"/>
      <c r="BA15" s="314"/>
    </row>
    <row r="16" spans="1:53" ht="22.35" customHeight="1" x14ac:dyDescent="0.2">
      <c r="A16" s="313"/>
      <c r="K16" s="318"/>
      <c r="L16" s="318"/>
      <c r="M16" s="318"/>
      <c r="N16" s="318"/>
      <c r="O16" s="318"/>
      <c r="P16" s="318"/>
      <c r="Q16" s="318"/>
      <c r="R16" s="318"/>
      <c r="S16" s="318"/>
      <c r="T16" s="318"/>
      <c r="U16" s="318"/>
      <c r="V16" s="318"/>
      <c r="W16" s="318"/>
      <c r="X16" s="318"/>
      <c r="Y16" s="318"/>
      <c r="Z16" s="318"/>
      <c r="AA16" s="318"/>
      <c r="AB16" s="318"/>
      <c r="AC16" s="318"/>
      <c r="AD16" s="318"/>
      <c r="AE16" s="318"/>
      <c r="AF16" s="318"/>
      <c r="AG16" s="318"/>
      <c r="AH16" s="318"/>
      <c r="AI16" s="318"/>
      <c r="AJ16" s="318"/>
      <c r="AK16" s="318"/>
      <c r="AL16" s="318"/>
      <c r="AM16" s="318"/>
      <c r="AN16" s="318"/>
      <c r="AO16" s="318"/>
      <c r="AP16" s="318"/>
      <c r="AQ16" s="318"/>
      <c r="AR16" s="318"/>
      <c r="AS16" s="318"/>
      <c r="BA16" s="314"/>
    </row>
    <row r="17" spans="1:53" ht="36" customHeight="1" x14ac:dyDescent="0.2">
      <c r="A17" s="420" t="s">
        <v>122</v>
      </c>
      <c r="B17" s="421"/>
      <c r="C17" s="421"/>
      <c r="D17" s="421"/>
      <c r="E17" s="421"/>
      <c r="F17" s="421"/>
      <c r="G17" s="421"/>
      <c r="H17" s="421"/>
      <c r="I17" s="421"/>
      <c r="J17" s="421"/>
      <c r="K17" s="421"/>
      <c r="L17" s="421"/>
      <c r="M17" s="421"/>
      <c r="N17" s="421"/>
      <c r="O17" s="421"/>
      <c r="P17" s="421"/>
      <c r="Q17" s="421"/>
      <c r="R17" s="421"/>
      <c r="S17" s="421"/>
      <c r="T17" s="421"/>
      <c r="U17" s="421"/>
      <c r="V17" s="421"/>
      <c r="W17" s="421"/>
      <c r="X17" s="421"/>
      <c r="Y17" s="421"/>
      <c r="Z17" s="421"/>
      <c r="AA17" s="421"/>
      <c r="AB17" s="421"/>
      <c r="AC17" s="421"/>
      <c r="AD17" s="421"/>
      <c r="AE17" s="421"/>
      <c r="AF17" s="421"/>
      <c r="AG17" s="421"/>
      <c r="AH17" s="421"/>
      <c r="AI17" s="421"/>
      <c r="AJ17" s="421"/>
      <c r="AK17" s="421"/>
      <c r="AL17" s="421"/>
      <c r="AM17" s="421"/>
      <c r="AN17" s="421"/>
      <c r="AO17" s="421"/>
      <c r="AP17" s="421"/>
      <c r="AQ17" s="421"/>
      <c r="AR17" s="421"/>
      <c r="AS17" s="421"/>
      <c r="AT17" s="421"/>
      <c r="AU17" s="421"/>
      <c r="AV17" s="421"/>
      <c r="AW17" s="421"/>
      <c r="AX17" s="421"/>
      <c r="AY17" s="421"/>
      <c r="AZ17" s="421"/>
      <c r="BA17" s="422"/>
    </row>
    <row r="18" spans="1:53" ht="20.100000000000001" customHeight="1" x14ac:dyDescent="0.2">
      <c r="A18" s="313"/>
      <c r="K18" s="318"/>
      <c r="L18" s="318"/>
      <c r="M18" s="318"/>
      <c r="N18" s="318"/>
      <c r="O18" s="318"/>
      <c r="P18" s="318"/>
      <c r="Q18" s="318"/>
      <c r="R18" s="318"/>
      <c r="S18" s="318"/>
      <c r="T18" s="318"/>
      <c r="U18" s="318"/>
      <c r="V18" s="318"/>
      <c r="W18" s="318"/>
      <c r="X18" s="318"/>
      <c r="Y18" s="318"/>
      <c r="Z18" s="318"/>
      <c r="AA18" s="318"/>
      <c r="AB18" s="318"/>
      <c r="AC18" s="318"/>
      <c r="AD18" s="318"/>
      <c r="AE18" s="318"/>
      <c r="AF18" s="318"/>
      <c r="AG18" s="318"/>
      <c r="AH18" s="318"/>
      <c r="AI18" s="318"/>
      <c r="AJ18" s="318"/>
      <c r="AK18" s="318"/>
      <c r="AL18" s="318"/>
      <c r="AM18" s="318"/>
      <c r="AN18" s="318"/>
      <c r="AO18" s="318"/>
      <c r="AP18" s="318"/>
      <c r="AQ18" s="318"/>
      <c r="AR18" s="318"/>
      <c r="AS18" s="318"/>
      <c r="BA18" s="314"/>
    </row>
    <row r="19" spans="1:53" ht="20.100000000000001" customHeight="1" x14ac:dyDescent="0.2">
      <c r="A19" s="313"/>
      <c r="K19" s="318"/>
      <c r="L19" s="318"/>
      <c r="M19" s="318"/>
      <c r="N19" s="318"/>
      <c r="O19" s="318"/>
      <c r="P19" s="318"/>
      <c r="Q19" s="318"/>
      <c r="R19" s="318"/>
      <c r="S19" s="318"/>
      <c r="T19" s="318"/>
      <c r="U19" s="318"/>
      <c r="V19" s="318"/>
      <c r="W19" s="318"/>
      <c r="X19" s="318"/>
      <c r="Y19" s="318"/>
      <c r="Z19" s="318"/>
      <c r="AA19" s="318"/>
      <c r="AB19" s="318"/>
      <c r="AC19" s="318"/>
      <c r="AD19" s="318"/>
      <c r="AE19" s="318"/>
      <c r="AF19" s="318"/>
      <c r="AG19" s="318"/>
      <c r="AH19" s="318"/>
      <c r="AI19" s="318"/>
      <c r="AJ19" s="318"/>
      <c r="AK19" s="318"/>
      <c r="AL19" s="318"/>
      <c r="AM19" s="318"/>
      <c r="AN19" s="318"/>
      <c r="AO19" s="318"/>
      <c r="AP19" s="318"/>
      <c r="AQ19" s="318"/>
      <c r="AR19" s="318"/>
      <c r="AS19" s="318"/>
      <c r="BA19" s="314"/>
    </row>
    <row r="20" spans="1:53" ht="20.100000000000001" customHeight="1" x14ac:dyDescent="0.2">
      <c r="A20" s="313"/>
      <c r="K20" s="318"/>
      <c r="L20" s="318"/>
      <c r="M20" s="318"/>
      <c r="N20" s="318"/>
      <c r="O20" s="318"/>
      <c r="P20" s="318"/>
      <c r="Q20" s="318"/>
      <c r="R20" s="318"/>
      <c r="S20" s="318"/>
      <c r="T20" s="318"/>
      <c r="U20" s="318"/>
      <c r="V20" s="318"/>
      <c r="W20" s="318"/>
      <c r="X20" s="318"/>
      <c r="Y20" s="318"/>
      <c r="Z20" s="318"/>
      <c r="AA20" s="318"/>
      <c r="AB20" s="318"/>
      <c r="AC20" s="318"/>
      <c r="AD20" s="318"/>
      <c r="AE20" s="318"/>
      <c r="AF20" s="318"/>
      <c r="AG20" s="318"/>
      <c r="AH20" s="318"/>
      <c r="AI20" s="318"/>
      <c r="AJ20" s="318"/>
      <c r="AK20" s="318"/>
      <c r="AL20" s="318"/>
      <c r="AM20" s="318"/>
      <c r="AN20" s="318"/>
      <c r="AO20" s="318"/>
      <c r="AP20" s="318"/>
      <c r="AQ20" s="318"/>
      <c r="AR20" s="318"/>
      <c r="AS20" s="318"/>
      <c r="BA20" s="314"/>
    </row>
    <row r="21" spans="1:53" ht="20.100000000000001" customHeight="1" x14ac:dyDescent="0.2">
      <c r="A21" s="313"/>
      <c r="K21" s="318"/>
      <c r="L21" s="318"/>
      <c r="M21" s="318"/>
      <c r="N21" s="318"/>
      <c r="O21" s="318"/>
      <c r="P21" s="318"/>
      <c r="Q21" s="318"/>
      <c r="R21" s="318"/>
      <c r="S21" s="318"/>
      <c r="T21" s="318"/>
      <c r="U21" s="318"/>
      <c r="V21" s="318"/>
      <c r="W21" s="318"/>
      <c r="X21" s="318"/>
      <c r="Y21" s="318"/>
      <c r="Z21" s="318"/>
      <c r="AA21" s="318"/>
      <c r="AB21" s="318"/>
      <c r="AC21" s="318"/>
      <c r="AD21" s="318"/>
      <c r="AE21" s="318"/>
      <c r="AF21" s="318"/>
      <c r="AG21" s="318"/>
      <c r="AH21" s="318"/>
      <c r="AI21" s="318"/>
      <c r="AJ21" s="318"/>
      <c r="AK21" s="318"/>
      <c r="AL21" s="318"/>
      <c r="AM21" s="318"/>
      <c r="AN21" s="318"/>
      <c r="AO21" s="318"/>
      <c r="AP21" s="318"/>
      <c r="AQ21" s="318"/>
      <c r="AR21" s="318"/>
      <c r="AS21" s="318"/>
      <c r="BA21" s="314"/>
    </row>
    <row r="22" spans="1:53" ht="20.100000000000001" customHeight="1" x14ac:dyDescent="0.2">
      <c r="A22" s="313"/>
      <c r="K22" s="318"/>
      <c r="L22" s="318"/>
      <c r="M22" s="318"/>
      <c r="N22" s="318"/>
      <c r="O22" s="318"/>
      <c r="P22" s="318"/>
      <c r="Q22" s="318"/>
      <c r="R22" s="318"/>
      <c r="S22" s="318"/>
      <c r="T22" s="318"/>
      <c r="U22" s="318"/>
      <c r="V22" s="318"/>
      <c r="W22" s="318"/>
      <c r="X22" s="318"/>
      <c r="Y22" s="318"/>
      <c r="Z22" s="318"/>
      <c r="AA22" s="318"/>
      <c r="AB22" s="318"/>
      <c r="AC22" s="318"/>
      <c r="AD22" s="318"/>
      <c r="AE22" s="318"/>
      <c r="AF22" s="318"/>
      <c r="AG22" s="318"/>
      <c r="AH22" s="318"/>
      <c r="AI22" s="318"/>
      <c r="AJ22" s="318"/>
      <c r="AK22" s="318"/>
      <c r="AL22" s="318"/>
      <c r="AM22" s="318"/>
      <c r="AN22" s="318"/>
      <c r="AO22" s="318"/>
      <c r="AP22" s="318"/>
      <c r="AQ22" s="318"/>
      <c r="AR22" s="318"/>
      <c r="AS22" s="318"/>
      <c r="BA22" s="314"/>
    </row>
    <row r="23" spans="1:53" ht="20.100000000000001" customHeight="1" x14ac:dyDescent="0.2">
      <c r="A23" s="313"/>
      <c r="K23" s="318"/>
      <c r="L23" s="318"/>
      <c r="M23" s="318"/>
      <c r="N23" s="318"/>
      <c r="O23" s="318"/>
      <c r="P23" s="318"/>
      <c r="Q23" s="318"/>
      <c r="R23" s="318"/>
      <c r="S23" s="318"/>
      <c r="T23" s="318"/>
      <c r="U23" s="318"/>
      <c r="V23" s="318"/>
      <c r="W23" s="318"/>
      <c r="X23" s="318"/>
      <c r="Y23" s="318"/>
      <c r="Z23" s="318"/>
      <c r="AA23" s="318"/>
      <c r="AB23" s="318"/>
      <c r="AC23" s="318"/>
      <c r="AD23" s="318"/>
      <c r="AE23" s="318"/>
      <c r="AF23" s="318"/>
      <c r="AG23" s="318"/>
      <c r="AH23" s="318"/>
      <c r="AI23" s="318"/>
      <c r="AJ23" s="318"/>
      <c r="AK23" s="318"/>
      <c r="AL23" s="318"/>
      <c r="AM23" s="318"/>
      <c r="AN23" s="318"/>
      <c r="AO23" s="318"/>
      <c r="AP23" s="318"/>
      <c r="AQ23" s="318"/>
      <c r="AR23" s="318"/>
      <c r="AS23" s="318"/>
      <c r="BA23" s="314"/>
    </row>
    <row r="24" spans="1:53" ht="20.100000000000001" customHeight="1" x14ac:dyDescent="0.2">
      <c r="A24" s="313"/>
      <c r="K24" s="318"/>
      <c r="L24" s="318"/>
      <c r="M24" s="318"/>
      <c r="N24" s="318"/>
      <c r="O24" s="318"/>
      <c r="P24" s="318"/>
      <c r="Q24" s="318"/>
      <c r="R24" s="318"/>
      <c r="S24" s="318"/>
      <c r="T24" s="318"/>
      <c r="U24" s="318"/>
      <c r="V24" s="318"/>
      <c r="W24" s="318"/>
      <c r="X24" s="318"/>
      <c r="Y24" s="318"/>
      <c r="Z24" s="318"/>
      <c r="AA24" s="318"/>
      <c r="AB24" s="318"/>
      <c r="AC24" s="318"/>
      <c r="AD24" s="318"/>
      <c r="AE24" s="318"/>
      <c r="AF24" s="318"/>
      <c r="AG24" s="318"/>
      <c r="AH24" s="318"/>
      <c r="AI24" s="318"/>
      <c r="AJ24" s="318"/>
      <c r="AK24" s="318"/>
      <c r="AL24" s="318"/>
      <c r="AM24" s="318"/>
      <c r="AN24" s="318"/>
      <c r="AO24" s="318"/>
      <c r="AP24" s="318"/>
      <c r="AQ24" s="318"/>
      <c r="AR24" s="318"/>
      <c r="AS24" s="318"/>
      <c r="BA24" s="314"/>
    </row>
    <row r="25" spans="1:53" ht="20.100000000000001" customHeight="1" x14ac:dyDescent="0.2">
      <c r="A25" s="313"/>
      <c r="K25" s="318"/>
      <c r="L25" s="318"/>
      <c r="M25" s="318"/>
      <c r="N25" s="318"/>
      <c r="O25" s="318"/>
      <c r="P25" s="318"/>
      <c r="Q25" s="318"/>
      <c r="R25" s="318"/>
      <c r="S25" s="318"/>
      <c r="T25" s="318"/>
      <c r="U25" s="318"/>
      <c r="V25" s="318"/>
      <c r="W25" s="318"/>
      <c r="X25" s="318"/>
      <c r="Y25" s="318"/>
      <c r="Z25" s="318"/>
      <c r="AA25" s="318"/>
      <c r="AB25" s="318"/>
      <c r="AC25" s="318"/>
      <c r="AD25" s="318"/>
      <c r="AE25" s="318"/>
      <c r="AF25" s="318"/>
      <c r="AG25" s="318"/>
      <c r="AH25" s="318"/>
      <c r="AI25" s="318"/>
      <c r="AJ25" s="318"/>
      <c r="AK25" s="318"/>
      <c r="AL25" s="318"/>
      <c r="AM25" s="318"/>
      <c r="AN25" s="318"/>
      <c r="AO25" s="318"/>
      <c r="AP25" s="318"/>
      <c r="AQ25" s="318"/>
      <c r="AR25" s="318"/>
      <c r="AS25" s="318"/>
      <c r="BA25" s="314"/>
    </row>
    <row r="26" spans="1:53" ht="20.100000000000001" customHeight="1" x14ac:dyDescent="0.2">
      <c r="A26" s="313"/>
      <c r="K26" s="318"/>
      <c r="L26" s="318"/>
      <c r="M26" s="318"/>
      <c r="N26" s="318"/>
      <c r="O26" s="318"/>
      <c r="P26" s="318"/>
      <c r="Q26" s="318"/>
      <c r="R26" s="318"/>
      <c r="S26" s="318"/>
      <c r="T26" s="318"/>
      <c r="U26" s="318"/>
      <c r="V26" s="318"/>
      <c r="W26" s="318"/>
      <c r="X26" s="318"/>
      <c r="Y26" s="318"/>
      <c r="Z26" s="318"/>
      <c r="AA26" s="318"/>
      <c r="AB26" s="318"/>
      <c r="AC26" s="318"/>
      <c r="AD26" s="318"/>
      <c r="AE26" s="318"/>
      <c r="AF26" s="318"/>
      <c r="AG26" s="318"/>
      <c r="AH26" s="318"/>
      <c r="AI26" s="318"/>
      <c r="AJ26" s="318"/>
      <c r="AK26" s="318"/>
      <c r="AL26" s="318"/>
      <c r="AM26" s="318"/>
      <c r="AN26" s="318"/>
      <c r="AO26" s="318"/>
      <c r="AP26" s="318"/>
      <c r="AQ26" s="318"/>
      <c r="AR26" s="318"/>
      <c r="AS26" s="318"/>
      <c r="BA26" s="314"/>
    </row>
    <row r="27" spans="1:53" ht="20.100000000000001" customHeight="1" x14ac:dyDescent="0.2">
      <c r="A27" s="313"/>
      <c r="K27" s="318"/>
      <c r="L27" s="318"/>
      <c r="M27" s="318"/>
      <c r="N27" s="318"/>
      <c r="O27" s="318"/>
      <c r="P27" s="318"/>
      <c r="Q27" s="318"/>
      <c r="R27" s="318"/>
      <c r="S27" s="318"/>
      <c r="T27" s="318"/>
      <c r="U27" s="318"/>
      <c r="V27" s="318"/>
      <c r="W27" s="318"/>
      <c r="X27" s="318"/>
      <c r="Y27" s="318"/>
      <c r="Z27" s="318"/>
      <c r="AA27" s="318"/>
      <c r="AB27" s="318"/>
      <c r="AC27" s="318"/>
      <c r="AD27" s="318"/>
      <c r="AE27" s="318"/>
      <c r="AF27" s="318"/>
      <c r="AG27" s="318"/>
      <c r="AH27" s="318"/>
      <c r="AI27" s="318"/>
      <c r="AJ27" s="318"/>
      <c r="AK27" s="318"/>
      <c r="AL27" s="318"/>
      <c r="AM27" s="318"/>
      <c r="AN27" s="318"/>
      <c r="AO27" s="318"/>
      <c r="AP27" s="318"/>
      <c r="AQ27" s="318"/>
      <c r="AR27" s="318"/>
      <c r="AS27" s="318"/>
      <c r="BA27" s="314"/>
    </row>
    <row r="28" spans="1:53" ht="20.100000000000001" customHeight="1" x14ac:dyDescent="0.2">
      <c r="A28" s="313"/>
      <c r="K28" s="318"/>
      <c r="L28" s="318"/>
      <c r="M28" s="318"/>
      <c r="N28" s="318"/>
      <c r="O28" s="318"/>
      <c r="P28" s="318"/>
      <c r="Q28" s="318"/>
      <c r="R28" s="318"/>
      <c r="S28" s="318"/>
      <c r="T28" s="318"/>
      <c r="U28" s="318"/>
      <c r="V28" s="318"/>
      <c r="W28" s="318"/>
      <c r="X28" s="318"/>
      <c r="Y28" s="318"/>
      <c r="Z28" s="318"/>
      <c r="AA28" s="318"/>
      <c r="AB28" s="318"/>
      <c r="AC28" s="318"/>
      <c r="AD28" s="318"/>
      <c r="AE28" s="318"/>
      <c r="AF28" s="318"/>
      <c r="AG28" s="318"/>
      <c r="AH28" s="318"/>
      <c r="AI28" s="318"/>
      <c r="AJ28" s="318"/>
      <c r="AK28" s="318"/>
      <c r="AL28" s="318"/>
      <c r="AM28" s="318"/>
      <c r="AN28" s="318"/>
      <c r="AO28" s="318"/>
      <c r="AP28" s="318"/>
      <c r="AQ28" s="318"/>
      <c r="AR28" s="318"/>
      <c r="AS28" s="318"/>
      <c r="BA28" s="314"/>
    </row>
    <row r="29" spans="1:53" ht="20.100000000000001" customHeight="1" x14ac:dyDescent="0.2">
      <c r="A29" s="313"/>
      <c r="K29" s="318"/>
      <c r="L29" s="318"/>
      <c r="M29" s="318"/>
      <c r="N29" s="318"/>
      <c r="O29" s="318"/>
      <c r="P29" s="318"/>
      <c r="Q29" s="318"/>
      <c r="R29" s="318"/>
      <c r="S29" s="318"/>
      <c r="T29" s="318"/>
      <c r="U29" s="318"/>
      <c r="V29" s="318"/>
      <c r="W29" s="318"/>
      <c r="X29" s="318"/>
      <c r="Y29" s="318"/>
      <c r="Z29" s="318"/>
      <c r="AA29" s="318"/>
      <c r="AB29" s="318"/>
      <c r="AC29" s="318"/>
      <c r="AD29" s="318"/>
      <c r="AE29" s="318"/>
      <c r="AF29" s="318"/>
      <c r="AG29" s="318"/>
      <c r="AH29" s="318"/>
      <c r="AI29" s="318"/>
      <c r="AJ29" s="318"/>
      <c r="AK29" s="318"/>
      <c r="AL29" s="318"/>
      <c r="AM29" s="318"/>
      <c r="AN29" s="318"/>
      <c r="AO29" s="318"/>
      <c r="AP29" s="318"/>
      <c r="AQ29" s="318"/>
      <c r="AR29" s="318"/>
      <c r="AS29" s="318"/>
      <c r="BA29" s="314"/>
    </row>
    <row r="30" spans="1:53" ht="20.100000000000001" customHeight="1" x14ac:dyDescent="0.2">
      <c r="A30" s="313"/>
      <c r="K30" s="318"/>
      <c r="L30" s="318"/>
      <c r="M30" s="318"/>
      <c r="N30" s="318"/>
      <c r="O30" s="318"/>
      <c r="P30" s="318"/>
      <c r="Q30" s="318"/>
      <c r="R30" s="318"/>
      <c r="S30" s="318"/>
      <c r="T30" s="318"/>
      <c r="U30" s="318"/>
      <c r="V30" s="318"/>
      <c r="W30" s="318"/>
      <c r="X30" s="318"/>
      <c r="Y30" s="318"/>
      <c r="Z30" s="318"/>
      <c r="AA30" s="318"/>
      <c r="AB30" s="318"/>
      <c r="AC30" s="318"/>
      <c r="AD30" s="318"/>
      <c r="AE30" s="318"/>
      <c r="AF30" s="318"/>
      <c r="AG30" s="318"/>
      <c r="AH30" s="318"/>
      <c r="AI30" s="318"/>
      <c r="AJ30" s="318"/>
      <c r="AK30" s="318"/>
      <c r="AL30" s="318"/>
      <c r="AM30" s="318"/>
      <c r="AN30" s="318"/>
      <c r="AO30" s="318"/>
      <c r="AP30" s="318"/>
      <c r="AQ30" s="318"/>
      <c r="AR30" s="318"/>
      <c r="AS30" s="318"/>
      <c r="BA30" s="314"/>
    </row>
    <row r="31" spans="1:53" ht="16.5" customHeight="1" x14ac:dyDescent="0.2">
      <c r="A31" s="313"/>
      <c r="K31" s="318"/>
      <c r="L31" s="318"/>
      <c r="M31" s="318"/>
      <c r="N31" s="318"/>
      <c r="O31" s="318"/>
      <c r="P31" s="318"/>
      <c r="Q31" s="318"/>
      <c r="R31" s="318"/>
      <c r="S31" s="318"/>
      <c r="T31" s="318"/>
      <c r="U31" s="318"/>
      <c r="V31" s="318"/>
      <c r="W31" s="318"/>
      <c r="X31" s="318"/>
      <c r="Y31" s="318"/>
      <c r="Z31" s="318"/>
      <c r="AA31" s="318"/>
      <c r="AB31" s="318"/>
      <c r="AC31" s="318"/>
      <c r="AD31" s="318"/>
      <c r="AE31" s="318"/>
      <c r="AF31" s="318"/>
      <c r="AG31" s="318"/>
      <c r="AH31" s="318"/>
      <c r="AI31" s="318"/>
      <c r="AJ31" s="318"/>
      <c r="AK31" s="318"/>
      <c r="AL31" s="318"/>
      <c r="AM31" s="318"/>
      <c r="AN31" s="318"/>
      <c r="AO31" s="318"/>
      <c r="AP31" s="318"/>
      <c r="AQ31" s="318"/>
      <c r="AR31" s="318"/>
      <c r="AS31" s="318"/>
      <c r="BA31" s="314"/>
    </row>
    <row r="32" spans="1:53" ht="16.5" customHeight="1" x14ac:dyDescent="0.2">
      <c r="A32" s="313"/>
      <c r="K32" s="318"/>
      <c r="L32" s="318"/>
      <c r="M32" s="318"/>
      <c r="N32" s="318"/>
      <c r="O32" s="318"/>
      <c r="P32" s="318"/>
      <c r="Q32" s="318"/>
      <c r="R32" s="318"/>
      <c r="S32" s="318"/>
      <c r="T32" s="318"/>
      <c r="U32" s="318"/>
      <c r="V32" s="318"/>
      <c r="W32" s="318"/>
      <c r="X32" s="318"/>
      <c r="Y32" s="318"/>
      <c r="Z32" s="318"/>
      <c r="AA32" s="318"/>
      <c r="AB32" s="318"/>
      <c r="AC32" s="318"/>
      <c r="AD32" s="318"/>
      <c r="AE32" s="318"/>
      <c r="AF32" s="318"/>
      <c r="AG32" s="318"/>
      <c r="AH32" s="318"/>
      <c r="AI32" s="318"/>
      <c r="AJ32" s="318"/>
      <c r="AK32" s="318"/>
      <c r="AL32" s="318"/>
      <c r="AM32" s="318"/>
      <c r="AN32" s="318"/>
      <c r="AO32" s="318"/>
      <c r="AP32" s="318"/>
      <c r="AQ32" s="318"/>
      <c r="AR32" s="318"/>
      <c r="AS32" s="318"/>
      <c r="BA32" s="314"/>
    </row>
    <row r="33" spans="1:53" ht="20.100000000000001" customHeight="1" x14ac:dyDescent="0.2">
      <c r="A33" s="423"/>
      <c r="B33" s="424"/>
      <c r="C33" s="425"/>
      <c r="D33" s="426"/>
      <c r="E33" s="426"/>
      <c r="F33" s="426"/>
      <c r="G33" s="426"/>
      <c r="H33" s="426"/>
      <c r="I33" s="426"/>
      <c r="J33" s="419"/>
      <c r="K33" s="419"/>
      <c r="L33" s="419"/>
      <c r="M33" s="419"/>
      <c r="N33" s="419"/>
      <c r="O33" s="419"/>
      <c r="P33" s="419"/>
      <c r="Q33" s="419"/>
      <c r="R33" s="419"/>
      <c r="S33" s="419"/>
      <c r="T33" s="419"/>
      <c r="U33" s="419"/>
      <c r="V33" s="419"/>
      <c r="W33" s="419"/>
      <c r="X33" s="419"/>
      <c r="Y33" s="419"/>
      <c r="Z33" s="419"/>
      <c r="AA33" s="419"/>
      <c r="AB33" s="419"/>
      <c r="AC33" s="419"/>
      <c r="AD33" s="419"/>
      <c r="AE33" s="419"/>
      <c r="AF33" s="419"/>
      <c r="AG33" s="419"/>
      <c r="AH33" s="419"/>
      <c r="AI33" s="419"/>
      <c r="AJ33" s="419"/>
      <c r="AK33" s="419"/>
      <c r="AL33" s="419"/>
      <c r="AM33" s="419"/>
      <c r="AN33" s="419"/>
      <c r="AO33" s="419"/>
      <c r="AP33" s="419"/>
      <c r="AQ33" s="419"/>
      <c r="AR33" s="419"/>
      <c r="AS33" s="419"/>
      <c r="AT33" s="419"/>
      <c r="AU33" s="419"/>
      <c r="AV33" s="419"/>
      <c r="AW33" s="419"/>
      <c r="AX33" s="419"/>
      <c r="AY33" s="419"/>
      <c r="AZ33" s="419"/>
      <c r="BA33" s="419"/>
    </row>
    <row r="34" spans="1:53" ht="20.100000000000001" customHeight="1" x14ac:dyDescent="0.2">
      <c r="A34" s="423"/>
      <c r="B34" s="424"/>
      <c r="C34" s="425"/>
      <c r="D34" s="426"/>
      <c r="E34" s="426"/>
      <c r="F34" s="426"/>
      <c r="G34" s="426"/>
      <c r="H34" s="426"/>
      <c r="I34" s="426"/>
      <c r="J34" s="419"/>
      <c r="K34" s="419"/>
      <c r="L34" s="419"/>
      <c r="M34" s="419"/>
      <c r="N34" s="419"/>
      <c r="O34" s="419"/>
      <c r="P34" s="419"/>
      <c r="Q34" s="419"/>
      <c r="R34" s="419"/>
      <c r="S34" s="419"/>
      <c r="T34" s="419"/>
      <c r="U34" s="419"/>
      <c r="V34" s="419"/>
      <c r="W34" s="419"/>
      <c r="X34" s="419"/>
      <c r="Y34" s="419"/>
      <c r="Z34" s="419"/>
      <c r="AA34" s="419"/>
      <c r="AB34" s="419"/>
      <c r="AC34" s="419"/>
      <c r="AD34" s="419"/>
      <c r="AE34" s="419"/>
      <c r="AF34" s="419"/>
      <c r="AG34" s="419"/>
      <c r="AH34" s="419"/>
      <c r="AI34" s="419"/>
      <c r="AJ34" s="419"/>
      <c r="AK34" s="419"/>
      <c r="AL34" s="419"/>
      <c r="AM34" s="419"/>
      <c r="AN34" s="419"/>
      <c r="AO34" s="419"/>
      <c r="AP34" s="419"/>
      <c r="AQ34" s="419"/>
      <c r="AR34" s="419"/>
      <c r="AS34" s="419"/>
      <c r="AT34" s="419"/>
      <c r="AU34" s="419"/>
      <c r="AV34" s="419"/>
      <c r="AW34" s="419"/>
      <c r="AX34" s="419"/>
      <c r="AY34" s="419"/>
      <c r="AZ34" s="419"/>
      <c r="BA34" s="419"/>
    </row>
    <row r="35" spans="1:53" ht="20.100000000000001" customHeight="1" x14ac:dyDescent="0.2">
      <c r="A35" s="423" t="s">
        <v>822</v>
      </c>
      <c r="B35" s="424"/>
      <c r="C35" s="425"/>
      <c r="D35" s="426" t="s">
        <v>824</v>
      </c>
      <c r="E35" s="426"/>
      <c r="F35" s="426"/>
      <c r="G35" s="426"/>
      <c r="H35" s="426"/>
      <c r="I35" s="426"/>
      <c r="J35" s="419" t="s">
        <v>825</v>
      </c>
      <c r="K35" s="419"/>
      <c r="L35" s="419"/>
      <c r="M35" s="419"/>
      <c r="N35" s="419"/>
      <c r="O35" s="419"/>
      <c r="P35" s="419" t="s">
        <v>825</v>
      </c>
      <c r="Q35" s="419"/>
      <c r="R35" s="419"/>
      <c r="S35" s="419"/>
      <c r="T35" s="419"/>
      <c r="U35" s="419"/>
      <c r="V35" s="419" t="s">
        <v>826</v>
      </c>
      <c r="W35" s="419"/>
      <c r="X35" s="419"/>
      <c r="Y35" s="419"/>
      <c r="Z35" s="419"/>
      <c r="AA35" s="419"/>
      <c r="AB35" s="419" t="s">
        <v>55</v>
      </c>
      <c r="AC35" s="419"/>
      <c r="AD35" s="419"/>
      <c r="AE35" s="419"/>
      <c r="AF35" s="419"/>
      <c r="AG35" s="419"/>
      <c r="AH35" s="419"/>
      <c r="AI35" s="419"/>
      <c r="AJ35" s="419"/>
      <c r="AK35" s="419"/>
      <c r="AL35" s="419"/>
      <c r="AM35" s="419"/>
      <c r="AN35" s="419"/>
      <c r="AO35" s="419"/>
      <c r="AP35" s="419"/>
      <c r="AQ35" s="419"/>
      <c r="AR35" s="419"/>
      <c r="AS35" s="419"/>
      <c r="AT35" s="419"/>
      <c r="AU35" s="419"/>
      <c r="AV35" s="419"/>
      <c r="AW35" s="419"/>
      <c r="AX35" s="419"/>
      <c r="AY35" s="419"/>
      <c r="AZ35" s="419"/>
      <c r="BA35" s="419"/>
    </row>
    <row r="36" spans="1:53" ht="20.100000000000001" customHeight="1" x14ac:dyDescent="0.2">
      <c r="A36" s="423" t="s">
        <v>624</v>
      </c>
      <c r="B36" s="424"/>
      <c r="C36" s="425"/>
      <c r="D36" s="426" t="s">
        <v>823</v>
      </c>
      <c r="E36" s="426"/>
      <c r="F36" s="426"/>
      <c r="G36" s="426"/>
      <c r="H36" s="426"/>
      <c r="I36" s="426"/>
      <c r="J36" s="419" t="s">
        <v>825</v>
      </c>
      <c r="K36" s="419"/>
      <c r="L36" s="419"/>
      <c r="M36" s="419"/>
      <c r="N36" s="419"/>
      <c r="O36" s="419"/>
      <c r="P36" s="419" t="s">
        <v>825</v>
      </c>
      <c r="Q36" s="419"/>
      <c r="R36" s="419"/>
      <c r="S36" s="419"/>
      <c r="T36" s="419"/>
      <c r="U36" s="419"/>
      <c r="V36" s="419" t="s">
        <v>826</v>
      </c>
      <c r="W36" s="419"/>
      <c r="X36" s="419"/>
      <c r="Y36" s="419"/>
      <c r="Z36" s="419"/>
      <c r="AA36" s="419"/>
      <c r="AB36" s="419" t="s">
        <v>625</v>
      </c>
      <c r="AC36" s="419"/>
      <c r="AD36" s="419"/>
      <c r="AE36" s="419"/>
      <c r="AF36" s="419"/>
      <c r="AG36" s="419"/>
      <c r="AH36" s="419"/>
      <c r="AI36" s="419"/>
      <c r="AJ36" s="419"/>
      <c r="AK36" s="419"/>
      <c r="AL36" s="419"/>
      <c r="AM36" s="419"/>
      <c r="AN36" s="419"/>
      <c r="AO36" s="419"/>
      <c r="AP36" s="419"/>
      <c r="AQ36" s="419"/>
      <c r="AR36" s="419"/>
      <c r="AS36" s="419"/>
      <c r="AT36" s="419"/>
      <c r="AU36" s="419"/>
      <c r="AV36" s="419"/>
      <c r="AW36" s="419"/>
      <c r="AX36" s="419"/>
      <c r="AY36" s="419"/>
      <c r="AZ36" s="419"/>
      <c r="BA36" s="419"/>
    </row>
    <row r="37" spans="1:53" ht="20.100000000000001" customHeight="1" x14ac:dyDescent="0.2">
      <c r="A37" s="428" t="s">
        <v>27</v>
      </c>
      <c r="B37" s="429"/>
      <c r="C37" s="430"/>
      <c r="D37" s="427" t="s">
        <v>52</v>
      </c>
      <c r="E37" s="427"/>
      <c r="F37" s="427"/>
      <c r="G37" s="427"/>
      <c r="H37" s="427"/>
      <c r="I37" s="427"/>
      <c r="J37" s="427" t="s">
        <v>53</v>
      </c>
      <c r="K37" s="427"/>
      <c r="L37" s="427"/>
      <c r="M37" s="427"/>
      <c r="N37" s="427"/>
      <c r="O37" s="427"/>
      <c r="P37" s="427" t="s">
        <v>54</v>
      </c>
      <c r="Q37" s="427"/>
      <c r="R37" s="427"/>
      <c r="S37" s="427"/>
      <c r="T37" s="427"/>
      <c r="U37" s="427"/>
      <c r="V37" s="427" t="s">
        <v>55</v>
      </c>
      <c r="W37" s="427"/>
      <c r="X37" s="427"/>
      <c r="Y37" s="427"/>
      <c r="Z37" s="427"/>
      <c r="AA37" s="427"/>
      <c r="AB37" s="427" t="s">
        <v>56</v>
      </c>
      <c r="AC37" s="427"/>
      <c r="AD37" s="427"/>
      <c r="AE37" s="427"/>
      <c r="AF37" s="427"/>
      <c r="AG37" s="427"/>
      <c r="AH37" s="427"/>
      <c r="AI37" s="427"/>
      <c r="AJ37" s="427"/>
      <c r="AK37" s="427"/>
      <c r="AL37" s="427"/>
      <c r="AM37" s="427"/>
      <c r="AN37" s="427"/>
      <c r="AO37" s="427"/>
      <c r="AP37" s="427"/>
      <c r="AQ37" s="427"/>
      <c r="AR37" s="427"/>
      <c r="AS37" s="427"/>
      <c r="AT37" s="427"/>
      <c r="AU37" s="427"/>
      <c r="AV37" s="427"/>
      <c r="AW37" s="427"/>
      <c r="AX37" s="427"/>
      <c r="AY37" s="427"/>
      <c r="AZ37" s="427"/>
      <c r="BA37" s="427"/>
    </row>
    <row r="38" spans="1:53" ht="13.2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</row>
  </sheetData>
  <mergeCells count="31">
    <mergeCell ref="A35:C35"/>
    <mergeCell ref="D35:I35"/>
    <mergeCell ref="J35:O35"/>
    <mergeCell ref="AB37:BA37"/>
    <mergeCell ref="A36:C36"/>
    <mergeCell ref="D36:I36"/>
    <mergeCell ref="J36:O36"/>
    <mergeCell ref="P36:U36"/>
    <mergeCell ref="V36:AA36"/>
    <mergeCell ref="AB36:BA36"/>
    <mergeCell ref="A37:C37"/>
    <mergeCell ref="D37:I37"/>
    <mergeCell ref="J37:O37"/>
    <mergeCell ref="P37:U37"/>
    <mergeCell ref="V37:AA37"/>
    <mergeCell ref="P35:U35"/>
    <mergeCell ref="V35:AA35"/>
    <mergeCell ref="A17:BA17"/>
    <mergeCell ref="A34:C34"/>
    <mergeCell ref="D34:I34"/>
    <mergeCell ref="J34:O34"/>
    <mergeCell ref="P34:U34"/>
    <mergeCell ref="V34:AA34"/>
    <mergeCell ref="AB34:BA34"/>
    <mergeCell ref="A33:C33"/>
    <mergeCell ref="D33:I33"/>
    <mergeCell ref="J33:O33"/>
    <mergeCell ref="P33:U33"/>
    <mergeCell ref="V33:AA33"/>
    <mergeCell ref="AB33:BA33"/>
    <mergeCell ref="AB35:BA35"/>
  </mergeCells>
  <printOptions horizontalCentered="1"/>
  <pageMargins left="0.7" right="0.7" top="0.75" bottom="0.75" header="0.3" footer="0.3"/>
  <pageSetup paperSize="9" fitToHeight="0" orientation="portrait" r:id="rId1"/>
  <headerFooter>
    <oddFooter>&amp;LRevisão - 01&amp;RPBC-LC-25E-0001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89E06-5D01-4513-8ED3-B17CEAD8CA1E}">
  <dimension ref="A1:R58"/>
  <sheetViews>
    <sheetView view="pageLayout" zoomScale="85" zoomScaleNormal="85" zoomScaleSheetLayoutView="115" zoomScalePageLayoutView="85" workbookViewId="0">
      <selection activeCell="P36" sqref="P36:U36"/>
    </sheetView>
  </sheetViews>
  <sheetFormatPr defaultColWidth="9.109375" defaultRowHeight="11.4" x14ac:dyDescent="0.2"/>
  <cols>
    <col min="1" max="1" width="27.88671875" style="3" customWidth="1"/>
    <col min="2" max="2" width="8.109375" style="3" customWidth="1"/>
    <col min="3" max="3" width="12.6640625" style="3" customWidth="1"/>
    <col min="4" max="4" width="13.109375" style="3" customWidth="1"/>
    <col min="5" max="5" width="10.5546875" style="16" customWidth="1"/>
    <col min="6" max="6" width="10.88671875" style="16" customWidth="1"/>
    <col min="7" max="7" width="7.109375" style="3" customWidth="1"/>
    <col min="8" max="16384" width="9.109375" style="3"/>
  </cols>
  <sheetData>
    <row r="1" spans="1:18" ht="42" customHeight="1" x14ac:dyDescent="0.2">
      <c r="A1" s="321"/>
      <c r="B1" s="322"/>
      <c r="C1" s="322"/>
      <c r="D1" s="322"/>
      <c r="E1" s="323"/>
      <c r="F1" s="323"/>
      <c r="G1" s="324"/>
    </row>
    <row r="2" spans="1:18" ht="12.9" customHeight="1" x14ac:dyDescent="0.25">
      <c r="A2" s="302" t="s">
        <v>122</v>
      </c>
      <c r="B2" s="319"/>
      <c r="C2" s="319"/>
      <c r="D2" s="319"/>
      <c r="E2" s="118"/>
      <c r="F2" s="118"/>
      <c r="G2" s="303" t="s">
        <v>840</v>
      </c>
      <c r="R2" s="120"/>
    </row>
    <row r="3" spans="1:18" ht="12.9" customHeight="1" x14ac:dyDescent="0.2">
      <c r="A3" s="304"/>
      <c r="B3" s="331"/>
      <c r="C3" s="331"/>
      <c r="D3" s="331"/>
      <c r="G3" s="308"/>
    </row>
    <row r="4" spans="1:18" ht="12.9" customHeight="1" x14ac:dyDescent="0.2">
      <c r="A4" s="309" t="s">
        <v>839</v>
      </c>
      <c r="B4" s="320"/>
      <c r="C4" s="320"/>
      <c r="D4" s="320"/>
      <c r="E4" s="92"/>
      <c r="F4" s="92"/>
      <c r="G4" s="310" t="s">
        <v>831</v>
      </c>
    </row>
    <row r="5" spans="1:18" x14ac:dyDescent="0.2">
      <c r="A5" s="313"/>
      <c r="G5" s="314"/>
    </row>
    <row r="6" spans="1:18" ht="13.2" x14ac:dyDescent="0.25">
      <c r="A6" s="437" t="s">
        <v>828</v>
      </c>
      <c r="B6" s="437"/>
      <c r="C6" s="437"/>
      <c r="D6" s="437"/>
      <c r="E6" s="437"/>
      <c r="F6" s="437"/>
      <c r="G6" s="437"/>
    </row>
    <row r="7" spans="1:18" x14ac:dyDescent="0.2">
      <c r="A7" s="313"/>
      <c r="G7" s="314"/>
    </row>
    <row r="8" spans="1:18" ht="12.9" customHeight="1" x14ac:dyDescent="0.2">
      <c r="A8" s="443" t="s">
        <v>830</v>
      </c>
      <c r="B8" s="444"/>
      <c r="C8" s="444"/>
      <c r="D8" s="444"/>
      <c r="E8" s="444"/>
      <c r="F8" s="444"/>
      <c r="G8" s="445"/>
    </row>
    <row r="9" spans="1:18" ht="12.9" customHeight="1" x14ac:dyDescent="0.2">
      <c r="A9" s="434" t="s">
        <v>888</v>
      </c>
      <c r="B9" s="435"/>
      <c r="C9" s="435"/>
      <c r="D9" s="435"/>
      <c r="E9" s="435"/>
      <c r="F9" s="435"/>
      <c r="G9" s="436"/>
    </row>
    <row r="10" spans="1:18" ht="12.9" customHeight="1" x14ac:dyDescent="0.2">
      <c r="A10" s="431" t="s">
        <v>889</v>
      </c>
      <c r="B10" s="442"/>
      <c r="C10" s="442"/>
      <c r="D10" s="442"/>
      <c r="E10" s="442"/>
      <c r="F10" s="442"/>
      <c r="G10" s="433"/>
    </row>
    <row r="11" spans="1:18" ht="12.9" customHeight="1" x14ac:dyDescent="0.2">
      <c r="A11" s="431"/>
      <c r="B11" s="442"/>
      <c r="C11" s="442"/>
      <c r="D11" s="442"/>
      <c r="E11" s="442"/>
      <c r="F11" s="442"/>
      <c r="G11" s="433"/>
    </row>
    <row r="12" spans="1:18" ht="12.6" customHeight="1" x14ac:dyDescent="0.2">
      <c r="A12" s="431"/>
      <c r="B12" s="442"/>
      <c r="C12" s="442"/>
      <c r="D12" s="442"/>
      <c r="E12" s="442"/>
      <c r="F12" s="442"/>
      <c r="G12" s="433"/>
    </row>
    <row r="13" spans="1:18" ht="12.9" customHeight="1" x14ac:dyDescent="0.2">
      <c r="A13" s="434" t="s">
        <v>890</v>
      </c>
      <c r="B13" s="435"/>
      <c r="C13" s="435"/>
      <c r="D13" s="435"/>
      <c r="E13" s="435"/>
      <c r="F13" s="435"/>
      <c r="G13" s="436"/>
    </row>
    <row r="14" spans="1:18" ht="12.9" customHeight="1" x14ac:dyDescent="0.2">
      <c r="A14" s="434"/>
      <c r="B14" s="435"/>
      <c r="C14" s="435"/>
      <c r="D14" s="435"/>
      <c r="E14" s="435"/>
      <c r="F14" s="435"/>
      <c r="G14" s="436"/>
    </row>
    <row r="15" spans="1:18" ht="12.9" customHeight="1" x14ac:dyDescent="0.2">
      <c r="A15" s="434" t="s">
        <v>891</v>
      </c>
      <c r="B15" s="435"/>
      <c r="C15" s="435"/>
      <c r="D15" s="435"/>
      <c r="E15" s="435"/>
      <c r="F15" s="435"/>
      <c r="G15" s="436"/>
    </row>
    <row r="16" spans="1:18" ht="12.9" customHeight="1" x14ac:dyDescent="0.2">
      <c r="A16" s="434"/>
      <c r="B16" s="435"/>
      <c r="C16" s="435"/>
      <c r="D16" s="435"/>
      <c r="E16" s="435"/>
      <c r="F16" s="435"/>
      <c r="G16" s="436"/>
    </row>
    <row r="17" spans="1:7" ht="12.9" customHeight="1" x14ac:dyDescent="0.2">
      <c r="A17" s="434" t="s">
        <v>893</v>
      </c>
      <c r="B17" s="435"/>
      <c r="C17" s="435"/>
      <c r="D17" s="435"/>
      <c r="E17" s="435"/>
      <c r="F17" s="435"/>
      <c r="G17" s="436"/>
    </row>
    <row r="18" spans="1:7" ht="12.9" customHeight="1" x14ac:dyDescent="0.2">
      <c r="A18" s="434"/>
      <c r="B18" s="435"/>
      <c r="C18" s="435"/>
      <c r="D18" s="435"/>
      <c r="E18" s="435"/>
      <c r="F18" s="435"/>
      <c r="G18" s="436"/>
    </row>
    <row r="19" spans="1:7" ht="12.9" customHeight="1" x14ac:dyDescent="0.2">
      <c r="A19" s="434" t="s">
        <v>892</v>
      </c>
      <c r="B19" s="435"/>
      <c r="C19" s="435"/>
      <c r="D19" s="435"/>
      <c r="E19" s="435"/>
      <c r="F19" s="435"/>
      <c r="G19" s="436"/>
    </row>
    <row r="20" spans="1:7" ht="12.75" customHeight="1" x14ac:dyDescent="0.25">
      <c r="A20" s="327"/>
      <c r="B20" s="332"/>
      <c r="C20" s="332"/>
      <c r="D20" s="332"/>
      <c r="E20" s="332"/>
      <c r="F20" s="332"/>
      <c r="G20" s="326"/>
    </row>
    <row r="21" spans="1:7" ht="13.2" x14ac:dyDescent="0.25">
      <c r="A21" s="325"/>
      <c r="B21" s="332"/>
      <c r="C21" s="332"/>
      <c r="D21" s="332"/>
      <c r="E21" s="332"/>
      <c r="F21" s="332"/>
      <c r="G21" s="326"/>
    </row>
    <row r="22" spans="1:7" ht="13.2" x14ac:dyDescent="0.25">
      <c r="A22" s="439" t="s">
        <v>827</v>
      </c>
      <c r="B22" s="440"/>
      <c r="C22" s="440"/>
      <c r="D22" s="440"/>
      <c r="E22" s="440"/>
      <c r="F22" s="440"/>
      <c r="G22" s="441"/>
    </row>
    <row r="23" spans="1:7" x14ac:dyDescent="0.2">
      <c r="A23" s="434"/>
      <c r="B23" s="435"/>
      <c r="C23" s="435"/>
      <c r="D23" s="435"/>
      <c r="E23" s="435"/>
      <c r="F23" s="435"/>
      <c r="G23" s="436"/>
    </row>
    <row r="24" spans="1:7" ht="12.75" customHeight="1" x14ac:dyDescent="0.2">
      <c r="A24" s="431" t="s">
        <v>902</v>
      </c>
      <c r="B24" s="432"/>
      <c r="C24" s="432"/>
      <c r="D24" s="432"/>
      <c r="E24" s="432"/>
      <c r="F24" s="432"/>
      <c r="G24" s="433"/>
    </row>
    <row r="25" spans="1:7" ht="12.75" customHeight="1" x14ac:dyDescent="0.2">
      <c r="A25" s="431"/>
      <c r="B25" s="432"/>
      <c r="C25" s="432"/>
      <c r="D25" s="432"/>
      <c r="E25" s="432"/>
      <c r="F25" s="432"/>
      <c r="G25" s="433"/>
    </row>
    <row r="26" spans="1:7" ht="12.75" customHeight="1" x14ac:dyDescent="0.2">
      <c r="A26" s="431"/>
      <c r="B26" s="432"/>
      <c r="C26" s="432"/>
      <c r="D26" s="432"/>
      <c r="E26" s="432"/>
      <c r="F26" s="432"/>
      <c r="G26" s="433"/>
    </row>
    <row r="27" spans="1:7" ht="12.75" customHeight="1" x14ac:dyDescent="0.2">
      <c r="A27" s="431"/>
      <c r="B27" s="432"/>
      <c r="C27" s="432"/>
      <c r="D27" s="432"/>
      <c r="E27" s="432"/>
      <c r="F27" s="432"/>
      <c r="G27" s="433"/>
    </row>
    <row r="28" spans="1:7" ht="12.75" customHeight="1" x14ac:dyDescent="0.2">
      <c r="A28" s="431"/>
      <c r="B28" s="432"/>
      <c r="C28" s="432"/>
      <c r="D28" s="432"/>
      <c r="E28" s="432"/>
      <c r="F28" s="432"/>
      <c r="G28" s="433"/>
    </row>
    <row r="29" spans="1:7" ht="12.75" customHeight="1" x14ac:dyDescent="0.2">
      <c r="A29" s="431"/>
      <c r="B29" s="432"/>
      <c r="C29" s="432"/>
      <c r="D29" s="432"/>
      <c r="E29" s="432"/>
      <c r="F29" s="432"/>
      <c r="G29" s="433"/>
    </row>
    <row r="30" spans="1:7" ht="12.75" customHeight="1" x14ac:dyDescent="0.2">
      <c r="A30" s="431"/>
      <c r="B30" s="432"/>
      <c r="C30" s="432"/>
      <c r="D30" s="432"/>
      <c r="E30" s="432"/>
      <c r="F30" s="432"/>
      <c r="G30" s="433"/>
    </row>
    <row r="31" spans="1:7" ht="12.75" customHeight="1" x14ac:dyDescent="0.2">
      <c r="A31" s="431"/>
      <c r="B31" s="432"/>
      <c r="C31" s="432"/>
      <c r="D31" s="432"/>
      <c r="E31" s="432"/>
      <c r="F31" s="432"/>
      <c r="G31" s="433"/>
    </row>
    <row r="32" spans="1:7" ht="12.75" customHeight="1" x14ac:dyDescent="0.2">
      <c r="A32" s="431"/>
      <c r="B32" s="432"/>
      <c r="C32" s="432"/>
      <c r="D32" s="432"/>
      <c r="E32" s="432"/>
      <c r="F32" s="432"/>
      <c r="G32" s="433"/>
    </row>
    <row r="33" spans="1:7" ht="12.75" customHeight="1" x14ac:dyDescent="0.2">
      <c r="A33" s="431"/>
      <c r="B33" s="432"/>
      <c r="C33" s="432"/>
      <c r="D33" s="432"/>
      <c r="E33" s="432"/>
      <c r="F33" s="432"/>
      <c r="G33" s="433"/>
    </row>
    <row r="34" spans="1:7" ht="12.75" customHeight="1" x14ac:dyDescent="0.2">
      <c r="A34" s="431"/>
      <c r="B34" s="432"/>
      <c r="C34" s="432"/>
      <c r="D34" s="432"/>
      <c r="E34" s="432"/>
      <c r="F34" s="432"/>
      <c r="G34" s="433"/>
    </row>
    <row r="35" spans="1:7" ht="12.75" customHeight="1" x14ac:dyDescent="0.2">
      <c r="A35" s="431"/>
      <c r="B35" s="432"/>
      <c r="C35" s="432"/>
      <c r="D35" s="432"/>
      <c r="E35" s="432"/>
      <c r="F35" s="432"/>
      <c r="G35" s="433"/>
    </row>
    <row r="36" spans="1:7" ht="12.75" customHeight="1" x14ac:dyDescent="0.2">
      <c r="A36" s="431"/>
      <c r="B36" s="432"/>
      <c r="C36" s="432"/>
      <c r="D36" s="432"/>
      <c r="E36" s="432"/>
      <c r="F36" s="432"/>
      <c r="G36" s="433"/>
    </row>
    <row r="37" spans="1:7" ht="12.75" customHeight="1" x14ac:dyDescent="0.2">
      <c r="A37" s="431"/>
      <c r="B37" s="432"/>
      <c r="C37" s="432"/>
      <c r="D37" s="432"/>
      <c r="E37" s="432"/>
      <c r="F37" s="432"/>
      <c r="G37" s="433"/>
    </row>
    <row r="38" spans="1:7" ht="13.2" customHeight="1" x14ac:dyDescent="0.2">
      <c r="A38" s="431"/>
      <c r="B38" s="432"/>
      <c r="C38" s="432"/>
      <c r="D38" s="432"/>
      <c r="E38" s="432"/>
      <c r="F38" s="432"/>
      <c r="G38" s="433"/>
    </row>
    <row r="39" spans="1:7" ht="13.2" customHeight="1" x14ac:dyDescent="0.2">
      <c r="A39" s="431"/>
      <c r="B39" s="432"/>
      <c r="C39" s="432"/>
      <c r="D39" s="432"/>
      <c r="E39" s="432"/>
      <c r="F39" s="432"/>
      <c r="G39" s="433"/>
    </row>
    <row r="40" spans="1:7" ht="13.2" customHeight="1" x14ac:dyDescent="0.2">
      <c r="A40" s="431"/>
      <c r="B40" s="432"/>
      <c r="C40" s="432"/>
      <c r="D40" s="432"/>
      <c r="E40" s="432"/>
      <c r="F40" s="432"/>
      <c r="G40" s="433"/>
    </row>
    <row r="41" spans="1:7" ht="13.2" customHeight="1" x14ac:dyDescent="0.2">
      <c r="A41" s="431"/>
      <c r="B41" s="432"/>
      <c r="C41" s="432"/>
      <c r="D41" s="432"/>
      <c r="E41" s="432"/>
      <c r="F41" s="432"/>
      <c r="G41" s="433"/>
    </row>
    <row r="42" spans="1:7" ht="13.2" customHeight="1" x14ac:dyDescent="0.2">
      <c r="A42" s="431"/>
      <c r="B42" s="432"/>
      <c r="C42" s="432"/>
      <c r="D42" s="432"/>
      <c r="E42" s="432"/>
      <c r="F42" s="432"/>
      <c r="G42" s="433"/>
    </row>
    <row r="43" spans="1:7" ht="13.2" customHeight="1" x14ac:dyDescent="0.2">
      <c r="A43" s="431"/>
      <c r="B43" s="432"/>
      <c r="C43" s="432"/>
      <c r="D43" s="432"/>
      <c r="E43" s="432"/>
      <c r="F43" s="432"/>
      <c r="G43" s="433"/>
    </row>
    <row r="44" spans="1:7" ht="13.2" customHeight="1" x14ac:dyDescent="0.2">
      <c r="A44" s="431"/>
      <c r="B44" s="432"/>
      <c r="C44" s="432"/>
      <c r="D44" s="432"/>
      <c r="E44" s="432"/>
      <c r="F44" s="432"/>
      <c r="G44" s="433"/>
    </row>
    <row r="45" spans="1:7" ht="13.2" customHeight="1" x14ac:dyDescent="0.2">
      <c r="A45" s="431"/>
      <c r="B45" s="432"/>
      <c r="C45" s="432"/>
      <c r="D45" s="432"/>
      <c r="E45" s="432"/>
      <c r="F45" s="432"/>
      <c r="G45" s="433"/>
    </row>
    <row r="46" spans="1:7" ht="13.2" customHeight="1" x14ac:dyDescent="0.2">
      <c r="A46" s="431"/>
      <c r="B46" s="432"/>
      <c r="C46" s="432"/>
      <c r="D46" s="432"/>
      <c r="E46" s="432"/>
      <c r="F46" s="432"/>
      <c r="G46" s="433"/>
    </row>
    <row r="47" spans="1:7" ht="13.2" x14ac:dyDescent="0.25">
      <c r="A47" s="325"/>
      <c r="B47" s="332"/>
      <c r="C47" s="332"/>
      <c r="D47" s="332"/>
      <c r="E47" s="332"/>
      <c r="F47" s="332"/>
      <c r="G47" s="326"/>
    </row>
    <row r="48" spans="1:7" ht="13.2" x14ac:dyDescent="0.25">
      <c r="A48" s="437" t="s">
        <v>829</v>
      </c>
      <c r="B48" s="437"/>
      <c r="C48" s="437"/>
      <c r="D48" s="437"/>
      <c r="E48" s="437"/>
      <c r="F48" s="437"/>
      <c r="G48" s="437"/>
    </row>
    <row r="49" spans="1:11" ht="6" customHeight="1" x14ac:dyDescent="0.2">
      <c r="A49" s="328"/>
      <c r="B49" s="333"/>
      <c r="C49" s="333"/>
      <c r="D49" s="333"/>
      <c r="E49" s="333"/>
      <c r="F49" s="333"/>
      <c r="G49" s="329"/>
    </row>
    <row r="50" spans="1:11" ht="52.5" customHeight="1" x14ac:dyDescent="0.2">
      <c r="A50" s="447" t="s">
        <v>367</v>
      </c>
      <c r="B50" s="438" t="s">
        <v>837</v>
      </c>
      <c r="C50" s="438" t="s">
        <v>834</v>
      </c>
      <c r="D50" s="438" t="s">
        <v>835</v>
      </c>
      <c r="E50" s="438" t="s">
        <v>836</v>
      </c>
      <c r="F50" s="438" t="s">
        <v>838</v>
      </c>
      <c r="G50" s="438" t="s">
        <v>626</v>
      </c>
    </row>
    <row r="51" spans="1:11" ht="45" customHeight="1" x14ac:dyDescent="0.2">
      <c r="A51" s="447"/>
      <c r="B51" s="438"/>
      <c r="C51" s="438"/>
      <c r="D51" s="438"/>
      <c r="E51" s="438"/>
      <c r="F51" s="438"/>
      <c r="G51" s="438"/>
    </row>
    <row r="52" spans="1:11" ht="13.2" customHeight="1" x14ac:dyDescent="0.2">
      <c r="A52" s="221" t="s">
        <v>832</v>
      </c>
      <c r="B52" s="448">
        <f>'Lista de Carga'!P130</f>
        <v>0.86505319802136982</v>
      </c>
      <c r="C52" s="451" t="s">
        <v>2</v>
      </c>
      <c r="D52" s="452"/>
      <c r="E52" s="452"/>
      <c r="F52" s="453"/>
      <c r="G52" s="223">
        <v>1</v>
      </c>
      <c r="H52" s="119"/>
    </row>
    <row r="53" spans="1:11" x14ac:dyDescent="0.2">
      <c r="A53" s="224" t="s">
        <v>833</v>
      </c>
      <c r="B53" s="449"/>
      <c r="C53" s="222">
        <f>'Lista de Carga'!S130</f>
        <v>852.82242285312213</v>
      </c>
      <c r="D53" s="222">
        <f>'Lista de Carga'!U130</f>
        <v>985.86124506998749</v>
      </c>
      <c r="E53" s="222">
        <f>'Lista de Carga'!T130</f>
        <v>494.58700913982426</v>
      </c>
      <c r="F53" s="222">
        <f>'Lista de Carga'!V130</f>
        <v>1497.8611979599393</v>
      </c>
      <c r="G53" s="330">
        <f>SUM('Lista de Carga'!Y17:Y129)</f>
        <v>0.98874214321984866</v>
      </c>
      <c r="H53" s="119"/>
    </row>
    <row r="54" spans="1:11" x14ac:dyDescent="0.2">
      <c r="A54" s="221" t="s">
        <v>896</v>
      </c>
      <c r="B54" s="450"/>
      <c r="C54" s="222">
        <f>'Lista de Carga'!S131</f>
        <v>85.282242285312222</v>
      </c>
      <c r="D54" s="222">
        <f>'Lista de Carga'!U131</f>
        <v>98.586124506998758</v>
      </c>
      <c r="E54" s="222">
        <f>'Lista de Carga'!T131</f>
        <v>49.458700913982426</v>
      </c>
      <c r="F54" s="222">
        <f>'Lista de Carga'!V131</f>
        <v>149.78611979599393</v>
      </c>
      <c r="G54" s="330">
        <f>G52*0.1</f>
        <v>0.1</v>
      </c>
      <c r="H54" s="119"/>
      <c r="K54" s="16"/>
    </row>
    <row r="55" spans="1:11" x14ac:dyDescent="0.2">
      <c r="A55" s="446" t="s">
        <v>47</v>
      </c>
      <c r="B55" s="446"/>
      <c r="C55" s="225">
        <f>C53+C54</f>
        <v>938.10466513843437</v>
      </c>
      <c r="D55" s="225">
        <f>D53+D54</f>
        <v>1084.4473695769861</v>
      </c>
      <c r="E55" s="225">
        <f>E53+E54</f>
        <v>544.04571005380672</v>
      </c>
      <c r="F55" s="225">
        <f>F53+F54</f>
        <v>1647.6473177559333</v>
      </c>
      <c r="G55" s="337">
        <f>G53+G54</f>
        <v>1.0887421432198487</v>
      </c>
      <c r="H55" s="119"/>
      <c r="K55" s="16"/>
    </row>
    <row r="56" spans="1:11" s="64" customFormat="1" ht="12" x14ac:dyDescent="0.25">
      <c r="A56" s="219"/>
      <c r="B56" s="219"/>
      <c r="C56" s="220"/>
      <c r="D56" s="220"/>
      <c r="E56" s="220"/>
      <c r="F56" s="220"/>
      <c r="G56" s="220"/>
      <c r="K56" s="16"/>
    </row>
    <row r="57" spans="1:11" s="64" customFormat="1" ht="12" x14ac:dyDescent="0.25">
      <c r="A57" s="219"/>
      <c r="B57" s="219"/>
      <c r="C57" s="220"/>
      <c r="D57" s="220"/>
      <c r="E57" s="220"/>
      <c r="F57" s="220"/>
      <c r="G57" s="220"/>
      <c r="K57" s="16"/>
    </row>
    <row r="58" spans="1:11" s="64" customFormat="1" ht="12" x14ac:dyDescent="0.25">
      <c r="A58" s="219"/>
      <c r="B58" s="219"/>
      <c r="C58" s="220"/>
      <c r="D58" s="220"/>
      <c r="E58" s="220"/>
      <c r="F58" s="220"/>
      <c r="G58" s="220"/>
      <c r="K58" s="16"/>
    </row>
  </sheetData>
  <mergeCells count="22">
    <mergeCell ref="A55:B55"/>
    <mergeCell ref="A50:A51"/>
    <mergeCell ref="B50:B51"/>
    <mergeCell ref="C50:C51"/>
    <mergeCell ref="D50:D51"/>
    <mergeCell ref="B52:B54"/>
    <mergeCell ref="C52:F52"/>
    <mergeCell ref="G50:G51"/>
    <mergeCell ref="E50:E51"/>
    <mergeCell ref="F50:F51"/>
    <mergeCell ref="A22:G22"/>
    <mergeCell ref="A10:G12"/>
    <mergeCell ref="A15:G16"/>
    <mergeCell ref="A17:G18"/>
    <mergeCell ref="A19:G19"/>
    <mergeCell ref="A24:G46"/>
    <mergeCell ref="A13:G14"/>
    <mergeCell ref="A48:G48"/>
    <mergeCell ref="A23:G23"/>
    <mergeCell ref="A6:G6"/>
    <mergeCell ref="A8:G8"/>
    <mergeCell ref="A9:G9"/>
  </mergeCells>
  <printOptions horizontalCentered="1"/>
  <pageMargins left="0.7" right="0.7" top="0.75" bottom="0.75" header="0.3" footer="0.3"/>
  <pageSetup paperSize="9" scale="98" fitToHeight="0" orientation="portrait" r:id="rId1"/>
  <headerFooter>
    <oddFooter>&amp;LRevisão - 01&amp;RPBC-LC-25E-0001</oddFooter>
  </headerFooter>
  <ignoredErrors>
    <ignoredError sqref="D53:D54 E53:E55" formula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A8120-7F47-4CFB-A123-4719840F9EE9}">
  <sheetPr>
    <pageSetUpPr fitToPage="1"/>
  </sheetPr>
  <dimension ref="A1:BJ92"/>
  <sheetViews>
    <sheetView view="pageBreakPreview" zoomScale="90" zoomScaleNormal="100" zoomScaleSheetLayoutView="90" zoomScalePageLayoutView="85" workbookViewId="0">
      <selection activeCell="J29" sqref="J29"/>
    </sheetView>
  </sheetViews>
  <sheetFormatPr defaultColWidth="9.109375" defaultRowHeight="11.4" x14ac:dyDescent="0.2"/>
  <cols>
    <col min="1" max="1" width="4.88671875" style="11" customWidth="1"/>
    <col min="2" max="2" width="14.33203125" style="11" hidden="1" customWidth="1"/>
    <col min="3" max="3" width="6" style="11" customWidth="1"/>
    <col min="4" max="4" width="4.88671875" style="11" customWidth="1"/>
    <col min="5" max="5" width="7.33203125" style="11" customWidth="1"/>
    <col min="6" max="7" width="5.5546875" style="15" customWidth="1"/>
    <col min="8" max="8" width="6.109375" style="11" customWidth="1"/>
    <col min="9" max="9" width="14.109375" style="11" customWidth="1"/>
    <col min="10" max="10" width="33.109375" style="11" bestFit="1" customWidth="1"/>
    <col min="11" max="11" width="57.6640625" style="11" customWidth="1"/>
    <col min="12" max="12" width="13.88671875" style="11" hidden="1" customWidth="1"/>
    <col min="13" max="13" width="12.44140625" style="11" hidden="1" customWidth="1"/>
    <col min="14" max="14" width="4.88671875" style="11" customWidth="1"/>
    <col min="15" max="16" width="10.88671875" style="11" customWidth="1"/>
    <col min="17" max="17" width="10.6640625" style="11" customWidth="1"/>
    <col min="18" max="18" width="9.6640625" style="11" customWidth="1"/>
    <col min="19" max="19" width="9.44140625" style="11" customWidth="1"/>
    <col min="20" max="20" width="3.5546875" style="11" customWidth="1"/>
    <col min="21" max="21" width="5.33203125" style="11" customWidth="1"/>
    <col min="22" max="22" width="6.88671875" style="11" customWidth="1"/>
    <col min="23" max="23" width="5" style="11" customWidth="1"/>
    <col min="24" max="24" width="8.109375" style="11" customWidth="1"/>
    <col min="25" max="25" width="7.33203125" style="11" customWidth="1"/>
    <col min="26" max="26" width="5.44140625" style="11" customWidth="1"/>
    <col min="27" max="27" width="9.88671875" style="11" customWidth="1"/>
    <col min="28" max="28" width="11.6640625" style="11" customWidth="1"/>
    <col min="29" max="30" width="8.88671875" style="11" customWidth="1"/>
    <col min="31" max="31" width="6.33203125" style="11" customWidth="1"/>
    <col min="32" max="34" width="8.44140625" style="11" hidden="1" customWidth="1"/>
    <col min="35" max="35" width="6.109375" style="11" hidden="1" customWidth="1"/>
    <col min="36" max="38" width="9.109375" style="11" hidden="1" customWidth="1"/>
    <col min="39" max="39" width="7.33203125" style="11" hidden="1" customWidth="1"/>
    <col min="40" max="43" width="9.109375" style="11" hidden="1" customWidth="1"/>
    <col min="44" max="46" width="8.33203125" style="11" hidden="1" customWidth="1"/>
    <col min="47" max="47" width="7.6640625" style="11" hidden="1" customWidth="1"/>
    <col min="48" max="51" width="8.33203125" style="11" customWidth="1"/>
    <col min="52" max="52" width="7.33203125" style="11" customWidth="1"/>
    <col min="53" max="53" width="5.6640625" style="11" customWidth="1"/>
    <col min="54" max="54" width="7.44140625" style="11" customWidth="1"/>
    <col min="55" max="55" width="14.109375" style="15" customWidth="1"/>
    <col min="56" max="59" width="9.109375" style="15" customWidth="1"/>
    <col min="60" max="61" width="9.109375" style="11" customWidth="1"/>
    <col min="62" max="62" width="9.109375" style="15" customWidth="1"/>
    <col min="63" max="63" width="9.109375" style="11" customWidth="1"/>
    <col min="64" max="16384" width="9.109375" style="11"/>
  </cols>
  <sheetData>
    <row r="1" spans="1:62" x14ac:dyDescent="0.2">
      <c r="A1" s="454"/>
      <c r="B1" s="454"/>
      <c r="C1" s="454"/>
      <c r="D1" s="454"/>
      <c r="E1" s="454"/>
      <c r="F1" s="454"/>
      <c r="G1" s="454"/>
      <c r="H1" s="454"/>
      <c r="I1" s="454"/>
      <c r="J1" s="454"/>
      <c r="K1" s="454"/>
      <c r="L1" s="454"/>
      <c r="M1" s="454"/>
      <c r="N1" s="454"/>
      <c r="O1" s="454"/>
      <c r="P1" s="454"/>
      <c r="Q1" s="454"/>
      <c r="R1" s="454"/>
      <c r="S1" s="454"/>
      <c r="T1" s="454"/>
      <c r="U1" s="454"/>
      <c r="V1" s="454"/>
      <c r="W1" s="454"/>
      <c r="X1" s="454"/>
      <c r="Y1" s="454"/>
      <c r="Z1" s="454"/>
      <c r="AA1" s="454"/>
      <c r="AB1" s="454"/>
      <c r="AC1" s="454"/>
    </row>
    <row r="2" spans="1:62" s="5" customFormat="1" ht="22.5" customHeight="1" x14ac:dyDescent="0.2">
      <c r="A2" s="463" t="s">
        <v>57</v>
      </c>
      <c r="B2" s="464" t="s">
        <v>159</v>
      </c>
      <c r="C2" s="456" t="s">
        <v>317</v>
      </c>
      <c r="D2" s="456"/>
      <c r="E2" s="456"/>
      <c r="F2" s="456"/>
      <c r="G2" s="457" t="s">
        <v>332</v>
      </c>
      <c r="H2" s="457" t="s">
        <v>58</v>
      </c>
      <c r="I2" s="457" t="s">
        <v>373</v>
      </c>
      <c r="J2" s="457" t="s">
        <v>82</v>
      </c>
      <c r="K2" s="457" t="s">
        <v>70</v>
      </c>
      <c r="L2" s="462" t="s">
        <v>364</v>
      </c>
      <c r="M2" s="457" t="s">
        <v>126</v>
      </c>
      <c r="N2" s="457" t="s">
        <v>59</v>
      </c>
      <c r="O2" s="457" t="s">
        <v>374</v>
      </c>
      <c r="P2" s="457" t="s">
        <v>60</v>
      </c>
      <c r="Q2" s="457" t="s">
        <v>365</v>
      </c>
      <c r="R2" s="457" t="s">
        <v>368</v>
      </c>
      <c r="S2" s="457" t="s">
        <v>369</v>
      </c>
      <c r="T2" s="457" t="s">
        <v>64</v>
      </c>
      <c r="U2" s="457" t="s">
        <v>157</v>
      </c>
      <c r="V2" s="457" t="s">
        <v>366</v>
      </c>
      <c r="W2" s="457" t="s">
        <v>65</v>
      </c>
      <c r="X2" s="457" t="s">
        <v>117</v>
      </c>
      <c r="Y2" s="457" t="s">
        <v>375</v>
      </c>
      <c r="Z2" s="457" t="s">
        <v>376</v>
      </c>
      <c r="AA2" s="457" t="s">
        <v>66</v>
      </c>
      <c r="AB2" s="457" t="s">
        <v>67</v>
      </c>
      <c r="AC2" s="457" t="s">
        <v>68</v>
      </c>
      <c r="AD2" s="86"/>
      <c r="AF2" s="459" t="s">
        <v>71</v>
      </c>
      <c r="AG2" s="459" t="s">
        <v>30</v>
      </c>
      <c r="AH2" s="65"/>
      <c r="AI2" s="65"/>
      <c r="AJ2" s="65"/>
      <c r="AK2" s="65"/>
      <c r="AL2" s="65"/>
      <c r="AM2" s="65"/>
      <c r="AN2" s="65"/>
      <c r="AO2" s="65"/>
      <c r="AP2" s="65"/>
      <c r="AQ2" s="65"/>
      <c r="AR2" s="65"/>
      <c r="AS2" s="65"/>
      <c r="AT2" s="65"/>
      <c r="AU2" s="65"/>
      <c r="AV2" s="467" t="s">
        <v>35</v>
      </c>
      <c r="AW2" s="467"/>
      <c r="AX2" s="467"/>
      <c r="AY2" s="467"/>
      <c r="AZ2" s="467"/>
      <c r="BA2" s="467"/>
      <c r="BC2" s="465" t="s">
        <v>25</v>
      </c>
      <c r="BD2" s="465"/>
      <c r="BE2" s="465"/>
      <c r="BF2" s="465"/>
      <c r="BG2" s="465"/>
      <c r="BH2" s="465"/>
      <c r="BI2" s="466"/>
      <c r="BJ2" s="17" t="s">
        <v>26</v>
      </c>
    </row>
    <row r="3" spans="1:62" s="5" customFormat="1" ht="65.400000000000006" customHeight="1" x14ac:dyDescent="0.2">
      <c r="A3" s="463"/>
      <c r="B3" s="464"/>
      <c r="C3" s="152" t="s">
        <v>318</v>
      </c>
      <c r="D3" s="153" t="s">
        <v>319</v>
      </c>
      <c r="E3" s="150" t="s">
        <v>370</v>
      </c>
      <c r="F3" s="150" t="s">
        <v>320</v>
      </c>
      <c r="G3" s="457"/>
      <c r="H3" s="457"/>
      <c r="I3" s="457"/>
      <c r="J3" s="457"/>
      <c r="K3" s="457"/>
      <c r="L3" s="462"/>
      <c r="M3" s="457"/>
      <c r="N3" s="457"/>
      <c r="O3" s="457"/>
      <c r="P3" s="457"/>
      <c r="Q3" s="457"/>
      <c r="R3" s="457"/>
      <c r="S3" s="457"/>
      <c r="T3" s="457"/>
      <c r="U3" s="457"/>
      <c r="V3" s="457"/>
      <c r="W3" s="457"/>
      <c r="X3" s="457"/>
      <c r="Y3" s="457"/>
      <c r="Z3" s="457"/>
      <c r="AA3" s="457"/>
      <c r="AB3" s="457"/>
      <c r="AC3" s="457"/>
      <c r="AD3" s="86" t="s">
        <v>316</v>
      </c>
      <c r="AE3" s="86" t="s">
        <v>315</v>
      </c>
      <c r="AF3" s="460"/>
      <c r="AG3" s="460"/>
      <c r="AH3" s="65" t="s">
        <v>9</v>
      </c>
      <c r="AI3" s="65" t="s">
        <v>48</v>
      </c>
      <c r="AJ3" s="65" t="s">
        <v>72</v>
      </c>
      <c r="AK3" s="65" t="s">
        <v>29</v>
      </c>
      <c r="AL3" s="65" t="s">
        <v>8</v>
      </c>
      <c r="AM3" s="65" t="s">
        <v>49</v>
      </c>
      <c r="AN3" s="65" t="s">
        <v>73</v>
      </c>
      <c r="AO3" s="65" t="s">
        <v>44</v>
      </c>
      <c r="AP3" s="65" t="s">
        <v>43</v>
      </c>
      <c r="AQ3" s="65" t="s">
        <v>50</v>
      </c>
      <c r="AR3" s="65" t="s">
        <v>74</v>
      </c>
      <c r="AS3" s="65" t="s">
        <v>31</v>
      </c>
      <c r="AT3" s="65" t="s">
        <v>7</v>
      </c>
      <c r="AU3" s="65" t="s">
        <v>51</v>
      </c>
      <c r="AV3" s="6" t="s">
        <v>32</v>
      </c>
      <c r="AW3" s="6" t="s">
        <v>33</v>
      </c>
      <c r="AX3" s="6" t="s">
        <v>34</v>
      </c>
      <c r="AY3" s="6" t="s">
        <v>10</v>
      </c>
      <c r="AZ3" s="7" t="s">
        <v>0</v>
      </c>
      <c r="BA3" s="8" t="s">
        <v>6</v>
      </c>
      <c r="BB3" s="9" t="s">
        <v>5</v>
      </c>
      <c r="BC3" s="7" t="s">
        <v>39</v>
      </c>
      <c r="BD3" s="7" t="s">
        <v>46</v>
      </c>
      <c r="BE3" s="7" t="s">
        <v>23</v>
      </c>
      <c r="BF3" s="1" t="s">
        <v>45</v>
      </c>
      <c r="BG3" s="7" t="s">
        <v>40</v>
      </c>
      <c r="BH3" s="7" t="s">
        <v>11</v>
      </c>
      <c r="BI3" s="7" t="s">
        <v>24</v>
      </c>
      <c r="BJ3" s="7" t="s">
        <v>24</v>
      </c>
    </row>
    <row r="4" spans="1:62" s="116" customFormat="1" ht="12" customHeight="1" x14ac:dyDescent="0.2">
      <c r="A4" s="93" t="s">
        <v>377</v>
      </c>
      <c r="B4" s="93" t="s">
        <v>341</v>
      </c>
      <c r="C4" s="93" t="s">
        <v>2</v>
      </c>
      <c r="D4" s="93" t="s">
        <v>2</v>
      </c>
      <c r="E4" s="93" t="s">
        <v>361</v>
      </c>
      <c r="F4" s="93" t="s">
        <v>349</v>
      </c>
      <c r="G4" s="93" t="s">
        <v>351</v>
      </c>
      <c r="H4" s="94" t="s">
        <v>76</v>
      </c>
      <c r="I4" s="94" t="s">
        <v>371</v>
      </c>
      <c r="J4" s="95" t="s">
        <v>382</v>
      </c>
      <c r="K4" s="117" t="s">
        <v>348</v>
      </c>
      <c r="L4" s="94" t="s">
        <v>2</v>
      </c>
      <c r="M4" s="94" t="s">
        <v>2</v>
      </c>
      <c r="N4" s="96">
        <f t="shared" ref="N4:N5" si="0">AX4</f>
        <v>440</v>
      </c>
      <c r="O4" s="97">
        <v>20</v>
      </c>
      <c r="P4" s="97">
        <f t="shared" ref="P4:P5" si="1">AV4</f>
        <v>20</v>
      </c>
      <c r="Q4" s="98">
        <f t="shared" ref="Q4:Q5" si="2">P4/V4/W4</f>
        <v>25</v>
      </c>
      <c r="R4" s="98">
        <f t="shared" ref="R4:R5" si="3">P4*U4*X4</f>
        <v>14</v>
      </c>
      <c r="S4" s="98">
        <f t="shared" ref="S4:S5" si="4">Q4*U4*X4</f>
        <v>17.5</v>
      </c>
      <c r="T4" s="114">
        <f t="shared" ref="T4:T5" si="5">AW4</f>
        <v>3</v>
      </c>
      <c r="U4" s="99">
        <v>1</v>
      </c>
      <c r="V4" s="100">
        <f t="shared" ref="V4:V5" si="6">IF((BE4="N")*AND(BG4="M"),BJ4,BI4)</f>
        <v>0.8</v>
      </c>
      <c r="W4" s="100">
        <f t="shared" ref="W4:W5" si="7">IF(BE4="N",1,BH4/100)</f>
        <v>1</v>
      </c>
      <c r="X4" s="99">
        <v>0.7</v>
      </c>
      <c r="Y4" s="99" t="str">
        <f t="shared" ref="Y4:Y5" si="8">BB4</f>
        <v>N</v>
      </c>
      <c r="Z4" s="115">
        <v>24</v>
      </c>
      <c r="AA4" s="101">
        <f t="shared" ref="AA4:AA5" si="9">Z4*R4</f>
        <v>336</v>
      </c>
      <c r="AB4" s="102" t="str">
        <f t="shared" ref="AB4:AB5" si="10">AY4</f>
        <v>NB</v>
      </c>
      <c r="AC4" s="103">
        <f t="shared" ref="AC4:AC5" si="11">IF((((T4=3))),(Q4*1000)/((SQRT(3)*N4)),(IF(((T4=1)),(Q4*1000)/((N4)),(IF(((T4=2)),(Q4*1000)/((N4)),0)))))</f>
        <v>32.803992567592374</v>
      </c>
      <c r="AD4" s="104"/>
      <c r="AE4" s="105"/>
      <c r="AF4" s="106" t="str">
        <f t="shared" ref="AF4:AF9" si="12">IF(AND($AX4=440,$AB4="-"),$S4," ")</f>
        <v xml:space="preserve"> </v>
      </c>
      <c r="AG4" s="106" t="str">
        <f t="shared" ref="AG4:AG9" si="13">IF(AND($AX4=380,$AB4="-"),$S4," ")</f>
        <v xml:space="preserve"> </v>
      </c>
      <c r="AH4" s="106" t="str">
        <f t="shared" ref="AH4:AH9" si="14">IF(AND($AX4=220,$AB4="-"),$S4," ")</f>
        <v xml:space="preserve"> </v>
      </c>
      <c r="AI4" s="106" t="str">
        <f t="shared" ref="AI4:AI9" si="15">IF(AND($AX4=127,$AB4="-"),$S4," ")</f>
        <v xml:space="preserve"> </v>
      </c>
      <c r="AJ4" s="106" t="str">
        <f t="shared" ref="AJ4:AJ9" si="16">IF(AND($AX4=440,$AB4="GE"),$S4," ")</f>
        <v xml:space="preserve"> </v>
      </c>
      <c r="AK4" s="106" t="str">
        <f t="shared" ref="AK4:AK9" si="17">IF(AND($AX4=380,$AB4="GE"),$S4," ")</f>
        <v xml:space="preserve"> </v>
      </c>
      <c r="AL4" s="106" t="str">
        <f t="shared" ref="AL4:AL9" si="18">IF(AND($AX4=220,$AB4="GE"),$S4," ")</f>
        <v xml:space="preserve"> </v>
      </c>
      <c r="AM4" s="106" t="str">
        <f t="shared" ref="AM4:AM9" si="19">IF(AND($AX4=127,$AB4="GE"),$S4," ")</f>
        <v xml:space="preserve"> </v>
      </c>
      <c r="AN4" s="106" t="str">
        <f t="shared" ref="AN4:AN9" si="20">IF(AND($AX4=440,$AB4="GE+NBL"),$S4," ")</f>
        <v xml:space="preserve"> </v>
      </c>
      <c r="AO4" s="106" t="str">
        <f t="shared" ref="AO4:AO9" si="21">IF(AND($AX4=380,$AB4="GE+NBL"),$S4," ")</f>
        <v xml:space="preserve"> </v>
      </c>
      <c r="AP4" s="106" t="str">
        <f t="shared" ref="AP4:AP9" si="22">IF(AND($AX4=220,$AB4="GE+NBL"),$S4," ")</f>
        <v xml:space="preserve"> </v>
      </c>
      <c r="AQ4" s="106" t="str">
        <f t="shared" ref="AQ4:AQ9" si="23">IF(AND($AX4=127,$AB4="GE+NBL"),$S4," ")</f>
        <v xml:space="preserve"> </v>
      </c>
      <c r="AR4" s="106" t="str">
        <f t="shared" ref="AR4:AR9" si="24">IF(AND($AX4=440,$AB4="GE+NB"),$S4," ")</f>
        <v xml:space="preserve"> </v>
      </c>
      <c r="AS4" s="106" t="str">
        <f t="shared" ref="AS4:AS9" si="25">IF(AND($AX4=380,$AB4="GE+NB"),$S4," ")</f>
        <v xml:space="preserve"> </v>
      </c>
      <c r="AT4" s="106" t="str">
        <f t="shared" ref="AT4:AT9" si="26">IF(AND($AX4=220,$AB4="GE+NB"),$S4," ")</f>
        <v xml:space="preserve"> </v>
      </c>
      <c r="AU4" s="106" t="str">
        <f t="shared" ref="AU4:AU9" si="27">IF(AND($AX4=127,$AB4="GE+NB"),$S4," ")</f>
        <v xml:space="preserve"> </v>
      </c>
      <c r="AV4" s="106">
        <v>20</v>
      </c>
      <c r="AW4" s="107">
        <v>3</v>
      </c>
      <c r="AX4" s="107">
        <v>440</v>
      </c>
      <c r="AY4" s="108" t="s">
        <v>353</v>
      </c>
      <c r="AZ4" s="109" t="s">
        <v>3</v>
      </c>
      <c r="BA4" s="109" t="s">
        <v>1</v>
      </c>
      <c r="BB4" s="110" t="s">
        <v>1</v>
      </c>
      <c r="BC4" s="111" t="str">
        <f t="shared" ref="BC4" si="28">IF(((AZ4="P")*AND(BA4="N")*AND(BF4="S")*AND(BE4="S")*AND(BD4="N")*AND(AV4&lt;=3.68)),"RELÉ",(IF(((AZ4="P")*AND(BA4="N")*AND(BE4="S")*AND(BD4="S")),"C-FORNECIDO",(IF(((AZ4="P")*AND(BA4="S")*AND(BD4="S")),"C-FORNECIDO",(IF(((AZ4="D")*AND(BA4="S")*AND(BD4="N")),"I-PROJETAR",(IF(((AZ4="P")*AND(BA4="N")*AND(BE4="S")*AND(AV4&gt;=3.68)*AND(BD4="N")),"I-PROJETAR",(IF(((AZ4="D")*AND(BA4="N")*AND(BE4="S")*AND(AV4&lt;=3.68)*AND(BD4="N")),"DIRETA",(IF(((AZ4="D")*AND(BA4="N")*AND(BE4="S")*AND(AV4&gt;=3.68)*AND(BD4="N")),"I-PROJETAR",IF(((AZ4="T")*AND(BA4="N")),"TOMADA",IF(((AZ4="P")*AND(BA4="N")*AND(BE4="N")),"PAINEL NORMAL",0)))))))))))))))</f>
        <v>PAINEL NORMAL</v>
      </c>
      <c r="BD4" s="94" t="s">
        <v>1</v>
      </c>
      <c r="BE4" s="94" t="s">
        <v>1</v>
      </c>
      <c r="BF4" s="94" t="s">
        <v>1</v>
      </c>
      <c r="BG4" s="94" t="s">
        <v>347</v>
      </c>
      <c r="BH4" s="112" t="e">
        <f>IF(P4&lt;=#REF!,#REF!,IF(P4&lt;=#REF!,#REF!,IF(P4&lt;=#REF!,#REF!,IF(P4&lt;=#REF!,#REF!,IF(P4&lt;=#REF!,#REF!,IF(P4&lt;=#REF!,#REF!,IF(P4&lt;=#REF!,#REF!,IF(P4&lt;=#REF!,#REF!,IF(P4&lt;=#REF!,#REF!,IF(P4&lt;=#REF!,#REF!,IF(P4&lt;=#REF!,#REF!,IF(P4&lt;=#REF!,#REF!,IF(P4&lt;=#REF!,#REF!,IF(P4&lt;=#REF!,#REF!,IF(P4&lt;=#REF!,#REF!,IF(P4&lt;=#REF!,#REF!,IF(P4&lt;=#REF!,#REF!,IF(P4&lt;=#REF!,#REF!,IF(P4&lt;=#REF!,#REF!,IF(P4&lt;=#REF!,#REF!,IF(P4&lt;=#REF!,#REF!,IF(P4&lt;=#REF!,#REF!,IF(P4&lt;=#REF!,#REF!,IF(P4&lt;=#REF!,#REF!,0))))))))))))))))))))))))</f>
        <v>#REF!</v>
      </c>
      <c r="BI4" s="112" t="e">
        <f>IF(P4&lt;=#REF!,#REF!,IF(P4&lt;=#REF!,#REF!,IF(P4&lt;=#REF!,#REF!,IF(P4&lt;=#REF!,#REF!,IF(P4&lt;=#REF!,#REF!,IF(P4&lt;=#REF!,#REF!,IF(P4&lt;=#REF!,#REF!,IF(P4&lt;=#REF!,#REF!,IF(P4&lt;=#REF!,#REF!,IF(P4&lt;=#REF!,#REF!,IF(P4&lt;=#REF!,#REF!,IF(P4&lt;=#REF!,#REF!,IF(P4&lt;=#REF!,#REF!,IF(P4&lt;=#REF!,#REF!,IF(P4&lt;=#REF!,#REF!,IF(P4&lt;=#REF!,#REF!,IF(P4&lt;=#REF!,#REF!,IF(P4&lt;=#REF!,#REF!,IF(P4&lt;=#REF!,#REF!,IF(P4&lt;=#REF!,#REF!,IF(P4&lt;=#REF!,#REF!,IF(P4&lt;=#REF!,#REF!,IF(P4&lt;=#REF!,#REF!,IF(P4&lt;=#REF!,#REF!,0))))))))))))))))))))))))</f>
        <v>#REF!</v>
      </c>
      <c r="BJ4" s="113">
        <v>0.8</v>
      </c>
    </row>
    <row r="5" spans="1:62" s="116" customFormat="1" ht="12" customHeight="1" x14ac:dyDescent="0.2">
      <c r="A5" s="93" t="s">
        <v>377</v>
      </c>
      <c r="B5" s="93" t="s">
        <v>341</v>
      </c>
      <c r="C5" s="93" t="s">
        <v>2</v>
      </c>
      <c r="D5" s="93" t="s">
        <v>2</v>
      </c>
      <c r="E5" s="93" t="s">
        <v>362</v>
      </c>
      <c r="F5" s="93" t="s">
        <v>349</v>
      </c>
      <c r="G5" s="93" t="s">
        <v>351</v>
      </c>
      <c r="H5" s="94" t="s">
        <v>76</v>
      </c>
      <c r="I5" s="94" t="s">
        <v>383</v>
      </c>
      <c r="J5" s="95" t="s">
        <v>382</v>
      </c>
      <c r="K5" s="117" t="s">
        <v>354</v>
      </c>
      <c r="L5" s="94">
        <v>60</v>
      </c>
      <c r="M5" s="94" t="s">
        <v>350</v>
      </c>
      <c r="N5" s="96">
        <f t="shared" si="0"/>
        <v>220</v>
      </c>
      <c r="O5" s="97">
        <v>0.01</v>
      </c>
      <c r="P5" s="97">
        <f t="shared" si="1"/>
        <v>0.01</v>
      </c>
      <c r="Q5" s="98">
        <f t="shared" si="2"/>
        <v>1.1764705882352941E-2</v>
      </c>
      <c r="R5" s="98">
        <f t="shared" si="3"/>
        <v>6.9999999999999993E-3</v>
      </c>
      <c r="S5" s="98">
        <f t="shared" si="4"/>
        <v>8.2352941176470577E-3</v>
      </c>
      <c r="T5" s="114">
        <f t="shared" si="5"/>
        <v>2</v>
      </c>
      <c r="U5" s="99">
        <v>1</v>
      </c>
      <c r="V5" s="100">
        <f t="shared" si="6"/>
        <v>0.85</v>
      </c>
      <c r="W5" s="100">
        <f t="shared" si="7"/>
        <v>1</v>
      </c>
      <c r="X5" s="99">
        <v>0.7</v>
      </c>
      <c r="Y5" s="99" t="str">
        <f t="shared" si="8"/>
        <v>N</v>
      </c>
      <c r="Z5" s="115">
        <v>24</v>
      </c>
      <c r="AA5" s="101">
        <f t="shared" si="9"/>
        <v>0.16799999999999998</v>
      </c>
      <c r="AB5" s="148" t="str">
        <f t="shared" si="10"/>
        <v>NB</v>
      </c>
      <c r="AC5" s="103">
        <f t="shared" si="11"/>
        <v>5.3475935828877004E-2</v>
      </c>
      <c r="AD5" s="104"/>
      <c r="AE5" s="105"/>
      <c r="AF5" s="106" t="str">
        <f t="shared" si="12"/>
        <v xml:space="preserve"> </v>
      </c>
      <c r="AG5" s="106" t="str">
        <f t="shared" si="13"/>
        <v xml:space="preserve"> </v>
      </c>
      <c r="AH5" s="106" t="str">
        <f t="shared" si="14"/>
        <v xml:space="preserve"> </v>
      </c>
      <c r="AI5" s="106" t="str">
        <f t="shared" si="15"/>
        <v xml:space="preserve"> </v>
      </c>
      <c r="AJ5" s="106" t="str">
        <f t="shared" si="16"/>
        <v xml:space="preserve"> </v>
      </c>
      <c r="AK5" s="106" t="str">
        <f t="shared" si="17"/>
        <v xml:space="preserve"> </v>
      </c>
      <c r="AL5" s="106" t="str">
        <f t="shared" si="18"/>
        <v xml:space="preserve"> </v>
      </c>
      <c r="AM5" s="106" t="str">
        <f t="shared" si="19"/>
        <v xml:space="preserve"> </v>
      </c>
      <c r="AN5" s="106" t="str">
        <f t="shared" si="20"/>
        <v xml:space="preserve"> </v>
      </c>
      <c r="AO5" s="106" t="str">
        <f t="shared" si="21"/>
        <v xml:space="preserve"> </v>
      </c>
      <c r="AP5" s="106" t="str">
        <f t="shared" si="22"/>
        <v xml:space="preserve"> </v>
      </c>
      <c r="AQ5" s="106" t="str">
        <f t="shared" si="23"/>
        <v xml:space="preserve"> </v>
      </c>
      <c r="AR5" s="106" t="str">
        <f t="shared" si="24"/>
        <v xml:space="preserve"> </v>
      </c>
      <c r="AS5" s="106" t="str">
        <f t="shared" si="25"/>
        <v xml:space="preserve"> </v>
      </c>
      <c r="AT5" s="106" t="str">
        <f t="shared" si="26"/>
        <v xml:space="preserve"> </v>
      </c>
      <c r="AU5" s="106" t="str">
        <f t="shared" si="27"/>
        <v xml:space="preserve"> </v>
      </c>
      <c r="AV5" s="106">
        <v>0.01</v>
      </c>
      <c r="AW5" s="107">
        <v>2</v>
      </c>
      <c r="AX5" s="107">
        <v>220</v>
      </c>
      <c r="AY5" s="108" t="s">
        <v>353</v>
      </c>
      <c r="AZ5" s="109" t="s">
        <v>351</v>
      </c>
      <c r="BA5" s="109" t="s">
        <v>1</v>
      </c>
      <c r="BB5" s="110" t="s">
        <v>1</v>
      </c>
      <c r="BC5" s="111" t="str">
        <f t="shared" ref="BC5" si="29">IF(((AZ5="P")*AND(BA5="N")*AND(BF5="S")*AND(BE5="S")*AND(BD5="N")*AND(AV5&lt;=3.68)),"RELÉ",(IF(((AZ5="P")*AND(BA5="N")*AND(BE5="S")*AND(BD5="S")),"C-FORNECIDO",(IF(((AZ5="P")*AND(BA5="S")*AND(BD5="S")),"C-FORNECIDO",(IF(((AZ5="D")*AND(BA5="S")*AND(BD5="N")),"I-PROJETAR",(IF(((AZ5="P")*AND(BA5="N")*AND(BE5="S")*AND(AV5&gt;=3.68)*AND(BD5="N")),"I-PROJETAR",(IF(((AZ5="D")*AND(BA5="N")*AND(BE5="S")*AND(AV5&lt;=3.68)*AND(BD5="N")),"DIRETA",(IF(((AZ5="D")*AND(BA5="N")*AND(BE5="S")*AND(AV5&gt;=3.68)*AND(BD5="N")),"I-PROJETAR",IF(((AZ5="T")*AND(BA5="N")),"TOMADA",IF(((AZ5="P")*AND(BA5="N")*AND(BE5="N")),"PAINEL NORMAL",0)))))))))))))))</f>
        <v>TOMADA</v>
      </c>
      <c r="BD5" s="94" t="s">
        <v>1</v>
      </c>
      <c r="BE5" s="94" t="s">
        <v>1</v>
      </c>
      <c r="BF5" s="94" t="s">
        <v>1</v>
      </c>
      <c r="BG5" s="94" t="s">
        <v>347</v>
      </c>
      <c r="BH5" s="112" t="e">
        <f>IF(P5&lt;=#REF!,#REF!,IF(P5&lt;=#REF!,#REF!,IF(P5&lt;=#REF!,#REF!,IF(P5&lt;=#REF!,#REF!,IF(P5&lt;=#REF!,#REF!,IF(P5&lt;=#REF!,#REF!,IF(P5&lt;=#REF!,#REF!,IF(P5&lt;=#REF!,#REF!,IF(P5&lt;=#REF!,#REF!,IF(P5&lt;=#REF!,#REF!,IF(P5&lt;=#REF!,#REF!,IF(P5&lt;=#REF!,#REF!,IF(P5&lt;=#REF!,#REF!,IF(P5&lt;=#REF!,#REF!,IF(P5&lt;=#REF!,#REF!,IF(P5&lt;=#REF!,#REF!,IF(P5&lt;=#REF!,#REF!,IF(P5&lt;=#REF!,#REF!,IF(P5&lt;=#REF!,#REF!,IF(P5&lt;=#REF!,#REF!,IF(P5&lt;=#REF!,#REF!,IF(P5&lt;=#REF!,#REF!,IF(P5&lt;=#REF!,#REF!,IF(P5&lt;=#REF!,#REF!,0))))))))))))))))))))))))</f>
        <v>#REF!</v>
      </c>
      <c r="BI5" s="112" t="e">
        <f>IF(P5&lt;=#REF!,#REF!,IF(P5&lt;=#REF!,#REF!,IF(P5&lt;=#REF!,#REF!,IF(P5&lt;=#REF!,#REF!,IF(P5&lt;=#REF!,#REF!,IF(P5&lt;=#REF!,#REF!,IF(P5&lt;=#REF!,#REF!,IF(P5&lt;=#REF!,#REF!,IF(P5&lt;=#REF!,#REF!,IF(P5&lt;=#REF!,#REF!,IF(P5&lt;=#REF!,#REF!,IF(P5&lt;=#REF!,#REF!,IF(P5&lt;=#REF!,#REF!,IF(P5&lt;=#REF!,#REF!,IF(P5&lt;=#REF!,#REF!,IF(P5&lt;=#REF!,#REF!,IF(P5&lt;=#REF!,#REF!,IF(P5&lt;=#REF!,#REF!,IF(P5&lt;=#REF!,#REF!,IF(P5&lt;=#REF!,#REF!,IF(P5&lt;=#REF!,#REF!,IF(P5&lt;=#REF!,#REF!,IF(P5&lt;=#REF!,#REF!,IF(P5&lt;=#REF!,#REF!,0))))))))))))))))))))))))</f>
        <v>#REF!</v>
      </c>
      <c r="BJ5" s="113">
        <v>0.85</v>
      </c>
    </row>
    <row r="6" spans="1:62" s="116" customFormat="1" ht="12" customHeight="1" x14ac:dyDescent="0.2">
      <c r="A6" s="93" t="s">
        <v>377</v>
      </c>
      <c r="B6" s="93" t="s">
        <v>342</v>
      </c>
      <c r="C6" s="93" t="s">
        <v>2</v>
      </c>
      <c r="D6" s="93" t="s">
        <v>2</v>
      </c>
      <c r="E6" s="93" t="s">
        <v>362</v>
      </c>
      <c r="F6" s="93" t="s">
        <v>352</v>
      </c>
      <c r="G6" s="93" t="s">
        <v>351</v>
      </c>
      <c r="H6" s="94" t="s">
        <v>76</v>
      </c>
      <c r="I6" s="94" t="s">
        <v>383</v>
      </c>
      <c r="J6" s="95" t="s">
        <v>382</v>
      </c>
      <c r="K6" s="117" t="s">
        <v>355</v>
      </c>
      <c r="L6" s="94">
        <v>6</v>
      </c>
      <c r="M6" s="94" t="s">
        <v>350</v>
      </c>
      <c r="N6" s="96">
        <f t="shared" ref="N6:N8" si="30">AX6</f>
        <v>220</v>
      </c>
      <c r="O6" s="97">
        <v>0.01</v>
      </c>
      <c r="P6" s="97">
        <f t="shared" ref="P6:P8" si="31">AV6</f>
        <v>0.01</v>
      </c>
      <c r="Q6" s="98">
        <f t="shared" ref="Q6:Q8" si="32">P6/V6/W6</f>
        <v>1.1764705882352941E-2</v>
      </c>
      <c r="R6" s="98">
        <f t="shared" ref="R6:R8" si="33">P6*U6*X6</f>
        <v>6.9999999999999993E-3</v>
      </c>
      <c r="S6" s="98">
        <f t="shared" ref="S6:S11" si="34">Q6*U6*X6</f>
        <v>8.2352941176470577E-3</v>
      </c>
      <c r="T6" s="114">
        <f t="shared" ref="T6:T8" si="35">AW6</f>
        <v>2</v>
      </c>
      <c r="U6" s="99">
        <v>1</v>
      </c>
      <c r="V6" s="100">
        <f t="shared" ref="V6:V8" si="36">IF((BE6="N")*AND(BG6="M"),BJ6,BI6)</f>
        <v>0.85</v>
      </c>
      <c r="W6" s="100">
        <f t="shared" ref="W6:W8" si="37">IF(BE6="N",1,BH6/100)</f>
        <v>1</v>
      </c>
      <c r="X6" s="99">
        <v>0.7</v>
      </c>
      <c r="Y6" s="99" t="str">
        <f t="shared" ref="Y6:Y8" si="38">BB6</f>
        <v>N</v>
      </c>
      <c r="Z6" s="115">
        <v>24</v>
      </c>
      <c r="AA6" s="101">
        <f t="shared" ref="AA6:AA8" si="39">Z6*R6</f>
        <v>0.16799999999999998</v>
      </c>
      <c r="AB6" s="148" t="str">
        <f t="shared" ref="AB6:AB8" si="40">AY6</f>
        <v>NB</v>
      </c>
      <c r="AC6" s="103">
        <f t="shared" ref="AC6:AC8" si="41">IF((((T6=3))),(Q6*1000)/((SQRT(3)*N6)),(IF(((T6=1)),(Q6*1000)/((N6)),(IF(((T6=2)),(Q6*1000)/((N6)),0)))))</f>
        <v>5.3475935828877004E-2</v>
      </c>
      <c r="AD6" s="104"/>
      <c r="AE6" s="105"/>
      <c r="AF6" s="106" t="str">
        <f t="shared" si="12"/>
        <v xml:space="preserve"> </v>
      </c>
      <c r="AG6" s="106" t="str">
        <f t="shared" si="13"/>
        <v xml:space="preserve"> </v>
      </c>
      <c r="AH6" s="106" t="str">
        <f t="shared" si="14"/>
        <v xml:space="preserve"> </v>
      </c>
      <c r="AI6" s="106" t="str">
        <f t="shared" si="15"/>
        <v xml:space="preserve"> </v>
      </c>
      <c r="AJ6" s="106" t="str">
        <f t="shared" si="16"/>
        <v xml:space="preserve"> </v>
      </c>
      <c r="AK6" s="106" t="str">
        <f t="shared" si="17"/>
        <v xml:space="preserve"> </v>
      </c>
      <c r="AL6" s="106" t="str">
        <f t="shared" si="18"/>
        <v xml:space="preserve"> </v>
      </c>
      <c r="AM6" s="106" t="str">
        <f t="shared" si="19"/>
        <v xml:space="preserve"> </v>
      </c>
      <c r="AN6" s="106" t="str">
        <f t="shared" si="20"/>
        <v xml:space="preserve"> </v>
      </c>
      <c r="AO6" s="106" t="str">
        <f t="shared" si="21"/>
        <v xml:space="preserve"> </v>
      </c>
      <c r="AP6" s="106" t="str">
        <f t="shared" si="22"/>
        <v xml:space="preserve"> </v>
      </c>
      <c r="AQ6" s="106" t="str">
        <f t="shared" si="23"/>
        <v xml:space="preserve"> </v>
      </c>
      <c r="AR6" s="106" t="str">
        <f t="shared" si="24"/>
        <v xml:space="preserve"> </v>
      </c>
      <c r="AS6" s="106" t="str">
        <f t="shared" si="25"/>
        <v xml:space="preserve"> </v>
      </c>
      <c r="AT6" s="106" t="str">
        <f t="shared" si="26"/>
        <v xml:space="preserve"> </v>
      </c>
      <c r="AU6" s="106" t="str">
        <f t="shared" si="27"/>
        <v xml:space="preserve"> </v>
      </c>
      <c r="AV6" s="106">
        <v>0.01</v>
      </c>
      <c r="AW6" s="107">
        <v>2</v>
      </c>
      <c r="AX6" s="107">
        <v>220</v>
      </c>
      <c r="AY6" s="108" t="s">
        <v>353</v>
      </c>
      <c r="AZ6" s="109" t="s">
        <v>351</v>
      </c>
      <c r="BA6" s="109" t="s">
        <v>1</v>
      </c>
      <c r="BB6" s="110" t="s">
        <v>1</v>
      </c>
      <c r="BC6" s="111" t="str">
        <f t="shared" ref="BC6:BC8" si="42">IF(((AZ6="P")*AND(BA6="N")*AND(BF6="S")*AND(BE6="S")*AND(BD6="N")*AND(AV6&lt;=3.68)),"RELÉ",(IF(((AZ6="P")*AND(BA6="N")*AND(BE6="S")*AND(BD6="S")),"C-FORNECIDO",(IF(((AZ6="P")*AND(BA6="S")*AND(BD6="S")),"C-FORNECIDO",(IF(((AZ6="D")*AND(BA6="S")*AND(BD6="N")),"I-PROJETAR",(IF(((AZ6="P")*AND(BA6="N")*AND(BE6="S")*AND(AV6&gt;=3.68)*AND(BD6="N")),"I-PROJETAR",(IF(((AZ6="D")*AND(BA6="N")*AND(BE6="S")*AND(AV6&lt;=3.68)*AND(BD6="N")),"DIRETA",(IF(((AZ6="D")*AND(BA6="N")*AND(BE6="S")*AND(AV6&gt;=3.68)*AND(BD6="N")),"I-PROJETAR",IF(((AZ6="T")*AND(BA6="N")),"TOMADA",IF(((AZ6="P")*AND(BA6="N")*AND(BE6="N")),"PAINEL NORMAL",0)))))))))))))))</f>
        <v>TOMADA</v>
      </c>
      <c r="BD6" s="94" t="s">
        <v>1</v>
      </c>
      <c r="BE6" s="94" t="s">
        <v>1</v>
      </c>
      <c r="BF6" s="94" t="s">
        <v>1</v>
      </c>
      <c r="BG6" s="94" t="s">
        <v>347</v>
      </c>
      <c r="BH6" s="112" t="e">
        <f>IF(P6&lt;=#REF!,#REF!,IF(P6&lt;=#REF!,#REF!,IF(P6&lt;=#REF!,#REF!,IF(P6&lt;=#REF!,#REF!,IF(P6&lt;=#REF!,#REF!,IF(P6&lt;=#REF!,#REF!,IF(P6&lt;=#REF!,#REF!,IF(P6&lt;=#REF!,#REF!,IF(P6&lt;=#REF!,#REF!,IF(P6&lt;=#REF!,#REF!,IF(P6&lt;=#REF!,#REF!,IF(P6&lt;=#REF!,#REF!,IF(P6&lt;=#REF!,#REF!,IF(P6&lt;=#REF!,#REF!,IF(P6&lt;=#REF!,#REF!,IF(P6&lt;=#REF!,#REF!,IF(P6&lt;=#REF!,#REF!,IF(P6&lt;=#REF!,#REF!,IF(P6&lt;=#REF!,#REF!,IF(P6&lt;=#REF!,#REF!,IF(P6&lt;=#REF!,#REF!,IF(P6&lt;=#REF!,#REF!,IF(P6&lt;=#REF!,#REF!,IF(P6&lt;=#REF!,#REF!,0))))))))))))))))))))))))</f>
        <v>#REF!</v>
      </c>
      <c r="BI6" s="112" t="e">
        <f>IF(P6&lt;=#REF!,#REF!,IF(P6&lt;=#REF!,#REF!,IF(P6&lt;=#REF!,#REF!,IF(P6&lt;=#REF!,#REF!,IF(P6&lt;=#REF!,#REF!,IF(P6&lt;=#REF!,#REF!,IF(P6&lt;=#REF!,#REF!,IF(P6&lt;=#REF!,#REF!,IF(P6&lt;=#REF!,#REF!,IF(P6&lt;=#REF!,#REF!,IF(P6&lt;=#REF!,#REF!,IF(P6&lt;=#REF!,#REF!,IF(P6&lt;=#REF!,#REF!,IF(P6&lt;=#REF!,#REF!,IF(P6&lt;=#REF!,#REF!,IF(P6&lt;=#REF!,#REF!,IF(P6&lt;=#REF!,#REF!,IF(P6&lt;=#REF!,#REF!,IF(P6&lt;=#REF!,#REF!,IF(P6&lt;=#REF!,#REF!,IF(P6&lt;=#REF!,#REF!,IF(P6&lt;=#REF!,#REF!,IF(P6&lt;=#REF!,#REF!,IF(P6&lt;=#REF!,#REF!,0))))))))))))))))))))))))</f>
        <v>#REF!</v>
      </c>
      <c r="BJ6" s="113">
        <v>0.85</v>
      </c>
    </row>
    <row r="7" spans="1:62" s="116" customFormat="1" ht="12" customHeight="1" x14ac:dyDescent="0.2">
      <c r="A7" s="93" t="s">
        <v>377</v>
      </c>
      <c r="B7" s="93" t="s">
        <v>343</v>
      </c>
      <c r="C7" s="93" t="s">
        <v>2</v>
      </c>
      <c r="D7" s="93" t="s">
        <v>2</v>
      </c>
      <c r="E7" s="93" t="s">
        <v>363</v>
      </c>
      <c r="F7" s="93" t="s">
        <v>349</v>
      </c>
      <c r="G7" s="93" t="s">
        <v>351</v>
      </c>
      <c r="H7" s="94" t="s">
        <v>76</v>
      </c>
      <c r="I7" s="94" t="s">
        <v>383</v>
      </c>
      <c r="J7" s="95" t="s">
        <v>382</v>
      </c>
      <c r="K7" s="117" t="s">
        <v>358</v>
      </c>
      <c r="L7" s="94" t="s">
        <v>2</v>
      </c>
      <c r="M7" s="94" t="s">
        <v>2</v>
      </c>
      <c r="N7" s="96">
        <f t="shared" si="30"/>
        <v>220</v>
      </c>
      <c r="O7" s="97">
        <v>0.01</v>
      </c>
      <c r="P7" s="97">
        <f t="shared" si="31"/>
        <v>0.01</v>
      </c>
      <c r="Q7" s="98">
        <f t="shared" si="32"/>
        <v>1.1764705882352941E-2</v>
      </c>
      <c r="R7" s="98">
        <f t="shared" si="33"/>
        <v>6.9999999999999993E-3</v>
      </c>
      <c r="S7" s="98">
        <f t="shared" si="34"/>
        <v>8.2352941176470577E-3</v>
      </c>
      <c r="T7" s="114">
        <f t="shared" si="35"/>
        <v>2</v>
      </c>
      <c r="U7" s="99">
        <v>1</v>
      </c>
      <c r="V7" s="100">
        <f t="shared" si="36"/>
        <v>0.85</v>
      </c>
      <c r="W7" s="100">
        <f t="shared" si="37"/>
        <v>1</v>
      </c>
      <c r="X7" s="99">
        <v>0.7</v>
      </c>
      <c r="Y7" s="99" t="str">
        <f t="shared" si="38"/>
        <v>N</v>
      </c>
      <c r="Z7" s="115">
        <v>24</v>
      </c>
      <c r="AA7" s="101">
        <f t="shared" si="39"/>
        <v>0.16799999999999998</v>
      </c>
      <c r="AB7" s="148" t="str">
        <f t="shared" si="40"/>
        <v>NB</v>
      </c>
      <c r="AC7" s="103">
        <f t="shared" si="41"/>
        <v>5.3475935828877004E-2</v>
      </c>
      <c r="AD7" s="104"/>
      <c r="AE7" s="105"/>
      <c r="AF7" s="106" t="str">
        <f t="shared" si="12"/>
        <v xml:space="preserve"> </v>
      </c>
      <c r="AG7" s="106" t="str">
        <f t="shared" si="13"/>
        <v xml:space="preserve"> </v>
      </c>
      <c r="AH7" s="106" t="str">
        <f t="shared" si="14"/>
        <v xml:space="preserve"> </v>
      </c>
      <c r="AI7" s="106" t="str">
        <f t="shared" si="15"/>
        <v xml:space="preserve"> </v>
      </c>
      <c r="AJ7" s="106" t="str">
        <f t="shared" si="16"/>
        <v xml:space="preserve"> </v>
      </c>
      <c r="AK7" s="106" t="str">
        <f t="shared" si="17"/>
        <v xml:space="preserve"> </v>
      </c>
      <c r="AL7" s="106" t="str">
        <f t="shared" si="18"/>
        <v xml:space="preserve"> </v>
      </c>
      <c r="AM7" s="106" t="str">
        <f t="shared" si="19"/>
        <v xml:space="preserve"> </v>
      </c>
      <c r="AN7" s="106" t="str">
        <f t="shared" si="20"/>
        <v xml:space="preserve"> </v>
      </c>
      <c r="AO7" s="106" t="str">
        <f t="shared" si="21"/>
        <v xml:space="preserve"> </v>
      </c>
      <c r="AP7" s="106" t="str">
        <f t="shared" si="22"/>
        <v xml:space="preserve"> </v>
      </c>
      <c r="AQ7" s="106" t="str">
        <f t="shared" si="23"/>
        <v xml:space="preserve"> </v>
      </c>
      <c r="AR7" s="106" t="str">
        <f t="shared" si="24"/>
        <v xml:space="preserve"> </v>
      </c>
      <c r="AS7" s="106" t="str">
        <f t="shared" si="25"/>
        <v xml:space="preserve"> </v>
      </c>
      <c r="AT7" s="106" t="str">
        <f t="shared" si="26"/>
        <v xml:space="preserve"> </v>
      </c>
      <c r="AU7" s="106" t="str">
        <f t="shared" si="27"/>
        <v xml:space="preserve"> </v>
      </c>
      <c r="AV7" s="106">
        <v>0.01</v>
      </c>
      <c r="AW7" s="107">
        <v>2</v>
      </c>
      <c r="AX7" s="107">
        <v>220</v>
      </c>
      <c r="AY7" s="108" t="s">
        <v>353</v>
      </c>
      <c r="AZ7" s="109" t="s">
        <v>351</v>
      </c>
      <c r="BA7" s="109" t="s">
        <v>1</v>
      </c>
      <c r="BB7" s="110" t="s">
        <v>1</v>
      </c>
      <c r="BC7" s="111" t="str">
        <f t="shared" si="42"/>
        <v>TOMADA</v>
      </c>
      <c r="BD7" s="94" t="s">
        <v>1</v>
      </c>
      <c r="BE7" s="94" t="s">
        <v>1</v>
      </c>
      <c r="BF7" s="94" t="s">
        <v>1</v>
      </c>
      <c r="BG7" s="94" t="s">
        <v>347</v>
      </c>
      <c r="BH7" s="112" t="e">
        <f>IF(P7&lt;=#REF!,#REF!,IF(P7&lt;=#REF!,#REF!,IF(P7&lt;=#REF!,#REF!,IF(P7&lt;=#REF!,#REF!,IF(P7&lt;=#REF!,#REF!,IF(P7&lt;=#REF!,#REF!,IF(P7&lt;=#REF!,#REF!,IF(P7&lt;=#REF!,#REF!,IF(P7&lt;=#REF!,#REF!,IF(P7&lt;=#REF!,#REF!,IF(P7&lt;=#REF!,#REF!,IF(P7&lt;=#REF!,#REF!,IF(P7&lt;=#REF!,#REF!,IF(P7&lt;=#REF!,#REF!,IF(P7&lt;=#REF!,#REF!,IF(P7&lt;=#REF!,#REF!,IF(P7&lt;=#REF!,#REF!,IF(P7&lt;=#REF!,#REF!,IF(P7&lt;=#REF!,#REF!,IF(P7&lt;=#REF!,#REF!,IF(P7&lt;=#REF!,#REF!,IF(P7&lt;=#REF!,#REF!,IF(P7&lt;=#REF!,#REF!,IF(P7&lt;=#REF!,#REF!,0))))))))))))))))))))))))</f>
        <v>#REF!</v>
      </c>
      <c r="BI7" s="112" t="e">
        <f>IF(P7&lt;=#REF!,#REF!,IF(P7&lt;=#REF!,#REF!,IF(P7&lt;=#REF!,#REF!,IF(P7&lt;=#REF!,#REF!,IF(P7&lt;=#REF!,#REF!,IF(P7&lt;=#REF!,#REF!,IF(P7&lt;=#REF!,#REF!,IF(P7&lt;=#REF!,#REF!,IF(P7&lt;=#REF!,#REF!,IF(P7&lt;=#REF!,#REF!,IF(P7&lt;=#REF!,#REF!,IF(P7&lt;=#REF!,#REF!,IF(P7&lt;=#REF!,#REF!,IF(P7&lt;=#REF!,#REF!,IF(P7&lt;=#REF!,#REF!,IF(P7&lt;=#REF!,#REF!,IF(P7&lt;=#REF!,#REF!,IF(P7&lt;=#REF!,#REF!,IF(P7&lt;=#REF!,#REF!,IF(P7&lt;=#REF!,#REF!,IF(P7&lt;=#REF!,#REF!,IF(P7&lt;=#REF!,#REF!,IF(P7&lt;=#REF!,#REF!,IF(P7&lt;=#REF!,#REF!,0))))))))))))))))))))))))</f>
        <v>#REF!</v>
      </c>
      <c r="BJ7" s="113">
        <v>0.85</v>
      </c>
    </row>
    <row r="8" spans="1:62" s="116" customFormat="1" ht="12" customHeight="1" x14ac:dyDescent="0.2">
      <c r="A8" s="93" t="s">
        <v>377</v>
      </c>
      <c r="B8" s="93" t="s">
        <v>344</v>
      </c>
      <c r="C8" s="93" t="s">
        <v>2</v>
      </c>
      <c r="D8" s="93" t="s">
        <v>2</v>
      </c>
      <c r="E8" s="93" t="s">
        <v>363</v>
      </c>
      <c r="F8" s="93" t="s">
        <v>352</v>
      </c>
      <c r="G8" s="93" t="s">
        <v>351</v>
      </c>
      <c r="H8" s="94" t="s">
        <v>76</v>
      </c>
      <c r="I8" s="94" t="s">
        <v>383</v>
      </c>
      <c r="J8" s="95" t="s">
        <v>382</v>
      </c>
      <c r="K8" s="117" t="s">
        <v>359</v>
      </c>
      <c r="L8" s="94" t="s">
        <v>2</v>
      </c>
      <c r="M8" s="94" t="s">
        <v>2</v>
      </c>
      <c r="N8" s="96">
        <f t="shared" si="30"/>
        <v>220</v>
      </c>
      <c r="O8" s="97">
        <v>0.01</v>
      </c>
      <c r="P8" s="97">
        <f t="shared" si="31"/>
        <v>0.01</v>
      </c>
      <c r="Q8" s="98">
        <f t="shared" si="32"/>
        <v>1.1764705882352941E-2</v>
      </c>
      <c r="R8" s="98">
        <f t="shared" si="33"/>
        <v>6.9999999999999993E-3</v>
      </c>
      <c r="S8" s="98">
        <f t="shared" si="34"/>
        <v>8.2352941176470577E-3</v>
      </c>
      <c r="T8" s="114">
        <f t="shared" si="35"/>
        <v>2</v>
      </c>
      <c r="U8" s="99">
        <v>1</v>
      </c>
      <c r="V8" s="100">
        <f t="shared" si="36"/>
        <v>0.85</v>
      </c>
      <c r="W8" s="100">
        <f t="shared" si="37"/>
        <v>1</v>
      </c>
      <c r="X8" s="99">
        <v>0.7</v>
      </c>
      <c r="Y8" s="99" t="str">
        <f t="shared" si="38"/>
        <v>N</v>
      </c>
      <c r="Z8" s="115">
        <v>24</v>
      </c>
      <c r="AA8" s="101">
        <f t="shared" si="39"/>
        <v>0.16799999999999998</v>
      </c>
      <c r="AB8" s="148" t="str">
        <f t="shared" si="40"/>
        <v>NB</v>
      </c>
      <c r="AC8" s="103">
        <f t="shared" si="41"/>
        <v>5.3475935828877004E-2</v>
      </c>
      <c r="AD8" s="104"/>
      <c r="AE8" s="105"/>
      <c r="AF8" s="106" t="str">
        <f t="shared" si="12"/>
        <v xml:space="preserve"> </v>
      </c>
      <c r="AG8" s="106" t="str">
        <f t="shared" si="13"/>
        <v xml:space="preserve"> </v>
      </c>
      <c r="AH8" s="106" t="str">
        <f t="shared" si="14"/>
        <v xml:space="preserve"> </v>
      </c>
      <c r="AI8" s="106" t="str">
        <f t="shared" si="15"/>
        <v xml:space="preserve"> </v>
      </c>
      <c r="AJ8" s="106" t="str">
        <f t="shared" si="16"/>
        <v xml:space="preserve"> </v>
      </c>
      <c r="AK8" s="106" t="str">
        <f t="shared" si="17"/>
        <v xml:space="preserve"> </v>
      </c>
      <c r="AL8" s="106" t="str">
        <f t="shared" si="18"/>
        <v xml:space="preserve"> </v>
      </c>
      <c r="AM8" s="106" t="str">
        <f t="shared" si="19"/>
        <v xml:space="preserve"> </v>
      </c>
      <c r="AN8" s="106" t="str">
        <f t="shared" si="20"/>
        <v xml:space="preserve"> </v>
      </c>
      <c r="AO8" s="106" t="str">
        <f t="shared" si="21"/>
        <v xml:space="preserve"> </v>
      </c>
      <c r="AP8" s="106" t="str">
        <f t="shared" si="22"/>
        <v xml:space="preserve"> </v>
      </c>
      <c r="AQ8" s="106" t="str">
        <f t="shared" si="23"/>
        <v xml:space="preserve"> </v>
      </c>
      <c r="AR8" s="106" t="str">
        <f t="shared" si="24"/>
        <v xml:space="preserve"> </v>
      </c>
      <c r="AS8" s="106" t="str">
        <f t="shared" si="25"/>
        <v xml:space="preserve"> </v>
      </c>
      <c r="AT8" s="106" t="str">
        <f t="shared" si="26"/>
        <v xml:space="preserve"> </v>
      </c>
      <c r="AU8" s="106" t="str">
        <f t="shared" si="27"/>
        <v xml:space="preserve"> </v>
      </c>
      <c r="AV8" s="106">
        <v>0.01</v>
      </c>
      <c r="AW8" s="107">
        <v>2</v>
      </c>
      <c r="AX8" s="107">
        <v>220</v>
      </c>
      <c r="AY8" s="108" t="s">
        <v>353</v>
      </c>
      <c r="AZ8" s="109" t="s">
        <v>351</v>
      </c>
      <c r="BA8" s="109" t="s">
        <v>1</v>
      </c>
      <c r="BB8" s="110" t="s">
        <v>1</v>
      </c>
      <c r="BC8" s="111" t="str">
        <f t="shared" si="42"/>
        <v>TOMADA</v>
      </c>
      <c r="BD8" s="94" t="s">
        <v>1</v>
      </c>
      <c r="BE8" s="94" t="s">
        <v>1</v>
      </c>
      <c r="BF8" s="94" t="s">
        <v>1</v>
      </c>
      <c r="BG8" s="94" t="s">
        <v>347</v>
      </c>
      <c r="BH8" s="112" t="e">
        <f>IF(P8&lt;=#REF!,#REF!,IF(P8&lt;=#REF!,#REF!,IF(P8&lt;=#REF!,#REF!,IF(P8&lt;=#REF!,#REF!,IF(P8&lt;=#REF!,#REF!,IF(P8&lt;=#REF!,#REF!,IF(P8&lt;=#REF!,#REF!,IF(P8&lt;=#REF!,#REF!,IF(P8&lt;=#REF!,#REF!,IF(P8&lt;=#REF!,#REF!,IF(P8&lt;=#REF!,#REF!,IF(P8&lt;=#REF!,#REF!,IF(P8&lt;=#REF!,#REF!,IF(P8&lt;=#REF!,#REF!,IF(P8&lt;=#REF!,#REF!,IF(P8&lt;=#REF!,#REF!,IF(P8&lt;=#REF!,#REF!,IF(P8&lt;=#REF!,#REF!,IF(P8&lt;=#REF!,#REF!,IF(P8&lt;=#REF!,#REF!,IF(P8&lt;=#REF!,#REF!,IF(P8&lt;=#REF!,#REF!,IF(P8&lt;=#REF!,#REF!,IF(P8&lt;=#REF!,#REF!,0))))))))))))))))))))))))</f>
        <v>#REF!</v>
      </c>
      <c r="BI8" s="112" t="e">
        <f>IF(P8&lt;=#REF!,#REF!,IF(P8&lt;=#REF!,#REF!,IF(P8&lt;=#REF!,#REF!,IF(P8&lt;=#REF!,#REF!,IF(P8&lt;=#REF!,#REF!,IF(P8&lt;=#REF!,#REF!,IF(P8&lt;=#REF!,#REF!,IF(P8&lt;=#REF!,#REF!,IF(P8&lt;=#REF!,#REF!,IF(P8&lt;=#REF!,#REF!,IF(P8&lt;=#REF!,#REF!,IF(P8&lt;=#REF!,#REF!,IF(P8&lt;=#REF!,#REF!,IF(P8&lt;=#REF!,#REF!,IF(P8&lt;=#REF!,#REF!,IF(P8&lt;=#REF!,#REF!,IF(P8&lt;=#REF!,#REF!,IF(P8&lt;=#REF!,#REF!,IF(P8&lt;=#REF!,#REF!,IF(P8&lt;=#REF!,#REF!,IF(P8&lt;=#REF!,#REF!,IF(P8&lt;=#REF!,#REF!,IF(P8&lt;=#REF!,#REF!,IF(P8&lt;=#REF!,#REF!,0))))))))))))))))))))))))</f>
        <v>#REF!</v>
      </c>
      <c r="BJ8" s="113">
        <v>0.85</v>
      </c>
    </row>
    <row r="9" spans="1:62" s="145" customFormat="1" ht="12" customHeight="1" x14ac:dyDescent="0.2">
      <c r="A9" s="122" t="s">
        <v>377</v>
      </c>
      <c r="B9" s="122"/>
      <c r="C9" s="122" t="s">
        <v>2</v>
      </c>
      <c r="D9" s="122" t="s">
        <v>2</v>
      </c>
      <c r="E9" s="122" t="s">
        <v>386</v>
      </c>
      <c r="F9" s="122" t="s">
        <v>349</v>
      </c>
      <c r="G9" s="122" t="s">
        <v>351</v>
      </c>
      <c r="H9" s="123" t="s">
        <v>76</v>
      </c>
      <c r="I9" s="123" t="s">
        <v>383</v>
      </c>
      <c r="J9" s="147" t="s">
        <v>391</v>
      </c>
      <c r="K9" s="125" t="s">
        <v>387</v>
      </c>
      <c r="L9" s="123"/>
      <c r="M9" s="123"/>
      <c r="N9" s="126">
        <v>220</v>
      </c>
      <c r="O9" s="127">
        <v>0.3</v>
      </c>
      <c r="P9" s="127">
        <f t="shared" ref="P9" si="43">AV9</f>
        <v>0.3</v>
      </c>
      <c r="Q9" s="128">
        <f t="shared" ref="Q9" si="44">P9/V9/W9</f>
        <v>0.35294117647058826</v>
      </c>
      <c r="R9" s="128">
        <f t="shared" ref="R9" si="45">P9*U9*X9</f>
        <v>0.21</v>
      </c>
      <c r="S9" s="128">
        <f t="shared" ref="S9" si="46">Q9*U9*X9</f>
        <v>0.24705882352941178</v>
      </c>
      <c r="T9" s="129">
        <f t="shared" ref="T9" si="47">AW9</f>
        <v>2</v>
      </c>
      <c r="U9" s="130">
        <v>1</v>
      </c>
      <c r="V9" s="131">
        <f t="shared" ref="V9" si="48">IF((BE9="N")*AND(BG9="M"),BJ9,BI9)</f>
        <v>0.85</v>
      </c>
      <c r="W9" s="131">
        <f t="shared" ref="W9" si="49">IF(BE9="N",1,BH9/100)</f>
        <v>1</v>
      </c>
      <c r="X9" s="130">
        <v>0.7</v>
      </c>
      <c r="Y9" s="130" t="str">
        <f t="shared" ref="Y9" si="50">BB9</f>
        <v>N</v>
      </c>
      <c r="Z9" s="132">
        <v>24</v>
      </c>
      <c r="AA9" s="133">
        <f t="shared" ref="AA9" si="51">Z9*R9</f>
        <v>5.04</v>
      </c>
      <c r="AB9" s="134" t="str">
        <f t="shared" ref="AB9" si="52">AY9</f>
        <v>NB</v>
      </c>
      <c r="AC9" s="135">
        <f t="shared" ref="AC9" si="53">IF((((T9=3))),(Q9*1000)/((SQRT(3)*N9)),(IF(((T9=1)),(Q9*1000)/((N9)),(IF(((T9=2)),(Q9*1000)/((N9)),0)))))</f>
        <v>1.6042780748663101</v>
      </c>
      <c r="AD9" s="104"/>
      <c r="AE9" s="105"/>
      <c r="AF9" s="106" t="str">
        <f t="shared" si="12"/>
        <v xml:space="preserve"> </v>
      </c>
      <c r="AG9" s="106" t="str">
        <f t="shared" si="13"/>
        <v xml:space="preserve"> </v>
      </c>
      <c r="AH9" s="106" t="str">
        <f t="shared" si="14"/>
        <v xml:space="preserve"> </v>
      </c>
      <c r="AI9" s="106" t="str">
        <f t="shared" si="15"/>
        <v xml:space="preserve"> </v>
      </c>
      <c r="AJ9" s="106" t="str">
        <f t="shared" si="16"/>
        <v xml:space="preserve"> </v>
      </c>
      <c r="AK9" s="106" t="str">
        <f t="shared" si="17"/>
        <v xml:space="preserve"> </v>
      </c>
      <c r="AL9" s="106" t="str">
        <f t="shared" si="18"/>
        <v xml:space="preserve"> </v>
      </c>
      <c r="AM9" s="106" t="str">
        <f t="shared" si="19"/>
        <v xml:space="preserve"> </v>
      </c>
      <c r="AN9" s="106" t="str">
        <f t="shared" si="20"/>
        <v xml:space="preserve"> </v>
      </c>
      <c r="AO9" s="106" t="str">
        <f t="shared" si="21"/>
        <v xml:space="preserve"> </v>
      </c>
      <c r="AP9" s="106" t="str">
        <f t="shared" si="22"/>
        <v xml:space="preserve"> </v>
      </c>
      <c r="AQ9" s="106" t="str">
        <f t="shared" si="23"/>
        <v xml:space="preserve"> </v>
      </c>
      <c r="AR9" s="106" t="str">
        <f t="shared" si="24"/>
        <v xml:space="preserve"> </v>
      </c>
      <c r="AS9" s="106" t="str">
        <f t="shared" si="25"/>
        <v xml:space="preserve"> </v>
      </c>
      <c r="AT9" s="106" t="str">
        <f t="shared" si="26"/>
        <v xml:space="preserve"> </v>
      </c>
      <c r="AU9" s="106" t="str">
        <f t="shared" si="27"/>
        <v xml:space="preserve"> </v>
      </c>
      <c r="AV9" s="106">
        <f>O9</f>
        <v>0.3</v>
      </c>
      <c r="AW9" s="107">
        <v>2</v>
      </c>
      <c r="AX9" s="107">
        <v>220</v>
      </c>
      <c r="AY9" s="108" t="s">
        <v>353</v>
      </c>
      <c r="AZ9" s="109" t="s">
        <v>351</v>
      </c>
      <c r="BA9" s="109" t="s">
        <v>1</v>
      </c>
      <c r="BB9" s="110" t="s">
        <v>1</v>
      </c>
      <c r="BC9" s="111" t="str">
        <f t="shared" ref="BC9" si="54">IF(((AZ9="P")*AND(BA9="N")*AND(BF9="S")*AND(BE9="S")*AND(BD9="N")*AND(AV9&lt;=3.68)),"RELÉ",(IF(((AZ9="P")*AND(BA9="N")*AND(BE9="S")*AND(BD9="S")),"C-FORNECIDO",(IF(((AZ9="P")*AND(BA9="S")*AND(BD9="S")),"C-FORNECIDO",(IF(((AZ9="D")*AND(BA9="S")*AND(BD9="N")),"I-PROJETAR",(IF(((AZ9="P")*AND(BA9="N")*AND(BE9="S")*AND(AV9&gt;=3.68)*AND(BD9="N")),"I-PROJETAR",(IF(((AZ9="D")*AND(BA9="N")*AND(BE9="S")*AND(AV9&lt;=3.68)*AND(BD9="N")),"DIRETA",(IF(((AZ9="D")*AND(BA9="N")*AND(BE9="S")*AND(AV9&gt;=3.68)*AND(BD9="N")),"I-PROJETAR",IF(((AZ9="T")*AND(BA9="N")),"TOMADA",IF(((AZ9="P")*AND(BA9="N")*AND(BE9="N")),"PAINEL NORMAL",0)))))))))))))))</f>
        <v>TOMADA</v>
      </c>
      <c r="BD9" s="94" t="s">
        <v>1</v>
      </c>
      <c r="BE9" s="94" t="s">
        <v>1</v>
      </c>
      <c r="BF9" s="94" t="s">
        <v>1</v>
      </c>
      <c r="BG9" s="94" t="s">
        <v>347</v>
      </c>
      <c r="BH9" s="112" t="e">
        <f>IF(P9&lt;=#REF!,#REF!,IF(P9&lt;=#REF!,#REF!,IF(P9&lt;=#REF!,#REF!,IF(P9&lt;=#REF!,#REF!,IF(P9&lt;=#REF!,#REF!,IF(P9&lt;=#REF!,#REF!,IF(P9&lt;=#REF!,#REF!,IF(P9&lt;=#REF!,#REF!,IF(P9&lt;=#REF!,#REF!,IF(P9&lt;=#REF!,#REF!,IF(P9&lt;=#REF!,#REF!,IF(P9&lt;=#REF!,#REF!,IF(P9&lt;=#REF!,#REF!,IF(P9&lt;=#REF!,#REF!,IF(P9&lt;=#REF!,#REF!,IF(P9&lt;=#REF!,#REF!,IF(P9&lt;=#REF!,#REF!,IF(P9&lt;=#REF!,#REF!,IF(P9&lt;=#REF!,#REF!,IF(P9&lt;=#REF!,#REF!,IF(P9&lt;=#REF!,#REF!,IF(P9&lt;=#REF!,#REF!,IF(P9&lt;=#REF!,#REF!,IF(P9&lt;=#REF!,#REF!,0))))))))))))))))))))))))</f>
        <v>#REF!</v>
      </c>
      <c r="BI9" s="112" t="e">
        <f>IF(P9&lt;=#REF!,#REF!,IF(P9&lt;=#REF!,#REF!,IF(P9&lt;=#REF!,#REF!,IF(P9&lt;=#REF!,#REF!,IF(P9&lt;=#REF!,#REF!,IF(P9&lt;=#REF!,#REF!,IF(P9&lt;=#REF!,#REF!,IF(P9&lt;=#REF!,#REF!,IF(P9&lt;=#REF!,#REF!,IF(P9&lt;=#REF!,#REF!,IF(P9&lt;=#REF!,#REF!,IF(P9&lt;=#REF!,#REF!,IF(P9&lt;=#REF!,#REF!,IF(P9&lt;=#REF!,#REF!,IF(P9&lt;=#REF!,#REF!,IF(P9&lt;=#REF!,#REF!,IF(P9&lt;=#REF!,#REF!,IF(P9&lt;=#REF!,#REF!,IF(P9&lt;=#REF!,#REF!,IF(P9&lt;=#REF!,#REF!,IF(P9&lt;=#REF!,#REF!,IF(P9&lt;=#REF!,#REF!,IF(P9&lt;=#REF!,#REF!,IF(P9&lt;=#REF!,#REF!,0))))))))))))))))))))))))</f>
        <v>#REF!</v>
      </c>
      <c r="BJ9" s="113">
        <v>0.85</v>
      </c>
    </row>
    <row r="10" spans="1:62" s="145" customFormat="1" ht="12" customHeight="1" x14ac:dyDescent="0.2">
      <c r="A10" s="122" t="s">
        <v>377</v>
      </c>
      <c r="B10" s="122" t="s">
        <v>344</v>
      </c>
      <c r="C10" s="122" t="s">
        <v>2</v>
      </c>
      <c r="D10" s="122" t="s">
        <v>2</v>
      </c>
      <c r="E10" s="122" t="s">
        <v>395</v>
      </c>
      <c r="F10" s="122" t="s">
        <v>396</v>
      </c>
      <c r="G10" s="122" t="s">
        <v>351</v>
      </c>
      <c r="H10" s="123" t="s">
        <v>76</v>
      </c>
      <c r="I10" s="123" t="s">
        <v>383</v>
      </c>
      <c r="J10" s="124" t="s">
        <v>382</v>
      </c>
      <c r="K10" s="125" t="s">
        <v>356</v>
      </c>
      <c r="L10" s="123" t="s">
        <v>2</v>
      </c>
      <c r="M10" s="123" t="s">
        <v>2</v>
      </c>
      <c r="N10" s="126">
        <f t="shared" ref="N10:N11" si="55">AX10</f>
        <v>220</v>
      </c>
      <c r="O10" s="127">
        <v>1.87</v>
      </c>
      <c r="P10" s="127">
        <f t="shared" ref="P10:P11" si="56">AV10</f>
        <v>1.87</v>
      </c>
      <c r="Q10" s="128">
        <f t="shared" ref="Q10:Q11" si="57">P10/V10/W10</f>
        <v>2.2000000000000002</v>
      </c>
      <c r="R10" s="128">
        <f t="shared" ref="R10:R11" si="58">P10*U10*X10</f>
        <v>1.3089999999999999</v>
      </c>
      <c r="S10" s="128">
        <f t="shared" si="34"/>
        <v>1.54</v>
      </c>
      <c r="T10" s="129">
        <f t="shared" ref="T10:T11" si="59">AW10</f>
        <v>2</v>
      </c>
      <c r="U10" s="130">
        <v>1</v>
      </c>
      <c r="V10" s="131">
        <f t="shared" ref="V10:V11" si="60">IF((BE10="N")*AND(BG10="M"),BJ10,BI10)</f>
        <v>0.85</v>
      </c>
      <c r="W10" s="131">
        <f t="shared" ref="W10:W11" si="61">IF(BE10="N",1,BH10/100)</f>
        <v>1</v>
      </c>
      <c r="X10" s="130">
        <v>0.7</v>
      </c>
      <c r="Y10" s="130" t="str">
        <f t="shared" ref="Y10:Y11" si="62">BB10</f>
        <v>N</v>
      </c>
      <c r="Z10" s="132">
        <v>24</v>
      </c>
      <c r="AA10" s="133">
        <f t="shared" ref="AA10:AA11" si="63">Z10*R10</f>
        <v>31.415999999999997</v>
      </c>
      <c r="AB10" s="134" t="str">
        <f t="shared" ref="AB10:AB11" si="64">AY10</f>
        <v>NB</v>
      </c>
      <c r="AC10" s="135">
        <f t="shared" ref="AC10:AC11" si="65">IF((((T10=3))),(Q10*1000)/((SQRT(3)*N10)),(IF(((T10=1)),(Q10*1000)/((N10)),(IF(((T10=2)),(Q10*1000)/((N10)),0)))))</f>
        <v>10</v>
      </c>
      <c r="AD10" s="136"/>
      <c r="AE10" s="137"/>
      <c r="AF10" s="138"/>
      <c r="AG10" s="138"/>
      <c r="AH10" s="138"/>
      <c r="AI10" s="138"/>
      <c r="AJ10" s="138"/>
      <c r="AK10" s="138"/>
      <c r="AL10" s="138"/>
      <c r="AM10" s="138"/>
      <c r="AN10" s="138"/>
      <c r="AO10" s="138"/>
      <c r="AP10" s="138"/>
      <c r="AQ10" s="138"/>
      <c r="AR10" s="138"/>
      <c r="AS10" s="138"/>
      <c r="AT10" s="138"/>
      <c r="AU10" s="138"/>
      <c r="AV10" s="138">
        <v>1.87</v>
      </c>
      <c r="AW10" s="139">
        <v>2</v>
      </c>
      <c r="AX10" s="139">
        <v>220</v>
      </c>
      <c r="AY10" s="140" t="s">
        <v>353</v>
      </c>
      <c r="AZ10" s="141" t="s">
        <v>351</v>
      </c>
      <c r="BA10" s="141" t="s">
        <v>1</v>
      </c>
      <c r="BB10" s="142" t="s">
        <v>1</v>
      </c>
      <c r="BC10" s="146" t="str">
        <f t="shared" ref="BC10:BC11" si="66">IF(((AZ10="P")*AND(BA10="N")*AND(BF10="S")*AND(BE10="S")*AND(BD10="N")*AND(AV10&lt;=3.68)),"RELÉ",(IF(((AZ10="P")*AND(BA10="N")*AND(BE10="S")*AND(BD10="S")),"C-FORNECIDO",(IF(((AZ10="P")*AND(BA10="S")*AND(BD10="S")),"C-FORNECIDO",(IF(((AZ10="D")*AND(BA10="S")*AND(BD10="N")),"I-PROJETAR",(IF(((AZ10="P")*AND(BA10="N")*AND(BE10="S")*AND(AV10&gt;=3.68)*AND(BD10="N")),"I-PROJETAR",(IF(((AZ10="D")*AND(BA10="N")*AND(BE10="S")*AND(AV10&lt;=3.68)*AND(BD10="N")),"DIRETA",(IF(((AZ10="D")*AND(BA10="N")*AND(BE10="S")*AND(AV10&gt;=3.68)*AND(BD10="N")),"I-PROJETAR",IF(((AZ10="T")*AND(BA10="N")),"TOMADA",IF(((AZ10="P")*AND(BA10="N")*AND(BE10="N")),"PAINEL NORMAL",0)))))))))))))))</f>
        <v>TOMADA</v>
      </c>
      <c r="BD10" s="123" t="s">
        <v>1</v>
      </c>
      <c r="BE10" s="123" t="s">
        <v>1</v>
      </c>
      <c r="BF10" s="123" t="s">
        <v>1</v>
      </c>
      <c r="BG10" s="123" t="s">
        <v>347</v>
      </c>
      <c r="BH10" s="143" t="e">
        <f>IF(P10&lt;=#REF!,#REF!,IF(P10&lt;=#REF!,#REF!,IF(P10&lt;=#REF!,#REF!,IF(P10&lt;=#REF!,#REF!,IF(P10&lt;=#REF!,#REF!,IF(P10&lt;=#REF!,#REF!,IF(P10&lt;=#REF!,#REF!,IF(P10&lt;=#REF!,#REF!,IF(P10&lt;=#REF!,#REF!,IF(P10&lt;=#REF!,#REF!,IF(P10&lt;=#REF!,#REF!,IF(P10&lt;=#REF!,#REF!,IF(P10&lt;=#REF!,#REF!,IF(P10&lt;=#REF!,#REF!,IF(P10&lt;=#REF!,#REF!,IF(P10&lt;=#REF!,#REF!,IF(P10&lt;=#REF!,#REF!,IF(P10&lt;=#REF!,#REF!,IF(P10&lt;=#REF!,#REF!,IF(P10&lt;=#REF!,#REF!,IF(P10&lt;=#REF!,#REF!,IF(P10&lt;=#REF!,#REF!,IF(P10&lt;=#REF!,#REF!,IF(P10&lt;=#REF!,#REF!,0))))))))))))))))))))))))</f>
        <v>#REF!</v>
      </c>
      <c r="BI10" s="143" t="e">
        <f>IF(P10&lt;=#REF!,#REF!,IF(P10&lt;=#REF!,#REF!,IF(P10&lt;=#REF!,#REF!,IF(P10&lt;=#REF!,#REF!,IF(P10&lt;=#REF!,#REF!,IF(P10&lt;=#REF!,#REF!,IF(P10&lt;=#REF!,#REF!,IF(P10&lt;=#REF!,#REF!,IF(P10&lt;=#REF!,#REF!,IF(P10&lt;=#REF!,#REF!,IF(P10&lt;=#REF!,#REF!,IF(P10&lt;=#REF!,#REF!,IF(P10&lt;=#REF!,#REF!,IF(P10&lt;=#REF!,#REF!,IF(P10&lt;=#REF!,#REF!,IF(P10&lt;=#REF!,#REF!,IF(P10&lt;=#REF!,#REF!,IF(P10&lt;=#REF!,#REF!,IF(P10&lt;=#REF!,#REF!,IF(P10&lt;=#REF!,#REF!,IF(P10&lt;=#REF!,#REF!,IF(P10&lt;=#REF!,#REF!,IF(P10&lt;=#REF!,#REF!,IF(P10&lt;=#REF!,#REF!,0))))))))))))))))))))))))</f>
        <v>#REF!</v>
      </c>
      <c r="BJ10" s="144">
        <v>0.85</v>
      </c>
    </row>
    <row r="11" spans="1:62" s="145" customFormat="1" ht="12" customHeight="1" x14ac:dyDescent="0.2">
      <c r="A11" s="122" t="s">
        <v>377</v>
      </c>
      <c r="B11" s="122" t="s">
        <v>344</v>
      </c>
      <c r="C11" s="122" t="s">
        <v>2</v>
      </c>
      <c r="D11" s="122" t="s">
        <v>2</v>
      </c>
      <c r="E11" s="122" t="s">
        <v>395</v>
      </c>
      <c r="F11" s="122" t="s">
        <v>397</v>
      </c>
      <c r="G11" s="122" t="s">
        <v>351</v>
      </c>
      <c r="H11" s="123" t="s">
        <v>76</v>
      </c>
      <c r="I11" s="123" t="s">
        <v>383</v>
      </c>
      <c r="J11" s="124" t="s">
        <v>382</v>
      </c>
      <c r="K11" s="125" t="s">
        <v>357</v>
      </c>
      <c r="L11" s="123" t="s">
        <v>2</v>
      </c>
      <c r="M11" s="123" t="s">
        <v>2</v>
      </c>
      <c r="N11" s="126">
        <f t="shared" si="55"/>
        <v>220</v>
      </c>
      <c r="O11" s="127">
        <v>1.87</v>
      </c>
      <c r="P11" s="127">
        <f t="shared" si="56"/>
        <v>1.87</v>
      </c>
      <c r="Q11" s="128">
        <f t="shared" si="57"/>
        <v>2.2000000000000002</v>
      </c>
      <c r="R11" s="128">
        <f t="shared" si="58"/>
        <v>1.3089999999999999</v>
      </c>
      <c r="S11" s="128">
        <f t="shared" si="34"/>
        <v>1.54</v>
      </c>
      <c r="T11" s="129">
        <f t="shared" si="59"/>
        <v>2</v>
      </c>
      <c r="U11" s="130">
        <v>1</v>
      </c>
      <c r="V11" s="131">
        <f t="shared" si="60"/>
        <v>0.85</v>
      </c>
      <c r="W11" s="131">
        <f t="shared" si="61"/>
        <v>1</v>
      </c>
      <c r="X11" s="130">
        <v>0.7</v>
      </c>
      <c r="Y11" s="130" t="str">
        <f t="shared" si="62"/>
        <v>N</v>
      </c>
      <c r="Z11" s="132">
        <v>24</v>
      </c>
      <c r="AA11" s="133">
        <f t="shared" si="63"/>
        <v>31.415999999999997</v>
      </c>
      <c r="AB11" s="134" t="str">
        <f t="shared" si="64"/>
        <v>NB</v>
      </c>
      <c r="AC11" s="135">
        <f t="shared" si="65"/>
        <v>10</v>
      </c>
      <c r="AD11" s="136"/>
      <c r="AE11" s="137"/>
      <c r="AF11" s="138"/>
      <c r="AG11" s="138"/>
      <c r="AH11" s="138"/>
      <c r="AI11" s="138"/>
      <c r="AJ11" s="138"/>
      <c r="AK11" s="138"/>
      <c r="AL11" s="138"/>
      <c r="AM11" s="138"/>
      <c r="AN11" s="138"/>
      <c r="AO11" s="138"/>
      <c r="AP11" s="138"/>
      <c r="AQ11" s="138"/>
      <c r="AR11" s="138"/>
      <c r="AS11" s="138"/>
      <c r="AT11" s="138"/>
      <c r="AU11" s="138"/>
      <c r="AV11" s="138">
        <v>1.87</v>
      </c>
      <c r="AW11" s="139">
        <v>2</v>
      </c>
      <c r="AX11" s="139">
        <v>220</v>
      </c>
      <c r="AY11" s="140" t="s">
        <v>353</v>
      </c>
      <c r="AZ11" s="141" t="s">
        <v>351</v>
      </c>
      <c r="BA11" s="141" t="s">
        <v>1</v>
      </c>
      <c r="BB11" s="142" t="s">
        <v>1</v>
      </c>
      <c r="BC11" s="146" t="str">
        <f t="shared" si="66"/>
        <v>TOMADA</v>
      </c>
      <c r="BD11" s="123" t="s">
        <v>1</v>
      </c>
      <c r="BE11" s="123" t="s">
        <v>1</v>
      </c>
      <c r="BF11" s="123" t="s">
        <v>1</v>
      </c>
      <c r="BG11" s="123" t="s">
        <v>347</v>
      </c>
      <c r="BH11" s="143" t="e">
        <f>IF(P11&lt;=#REF!,#REF!,IF(P11&lt;=#REF!,#REF!,IF(P11&lt;=#REF!,#REF!,IF(P11&lt;=#REF!,#REF!,IF(P11&lt;=#REF!,#REF!,IF(P11&lt;=#REF!,#REF!,IF(P11&lt;=#REF!,#REF!,IF(P11&lt;=#REF!,#REF!,IF(P11&lt;=#REF!,#REF!,IF(P11&lt;=#REF!,#REF!,IF(P11&lt;=#REF!,#REF!,IF(P11&lt;=#REF!,#REF!,IF(P11&lt;=#REF!,#REF!,IF(P11&lt;=#REF!,#REF!,IF(P11&lt;=#REF!,#REF!,IF(P11&lt;=#REF!,#REF!,IF(P11&lt;=#REF!,#REF!,IF(P11&lt;=#REF!,#REF!,IF(P11&lt;=#REF!,#REF!,IF(P11&lt;=#REF!,#REF!,IF(P11&lt;=#REF!,#REF!,IF(P11&lt;=#REF!,#REF!,IF(P11&lt;=#REF!,#REF!,IF(P11&lt;=#REF!,#REF!,0))))))))))))))))))))))))</f>
        <v>#REF!</v>
      </c>
      <c r="BI11" s="143" t="e">
        <f>IF(P11&lt;=#REF!,#REF!,IF(P11&lt;=#REF!,#REF!,IF(P11&lt;=#REF!,#REF!,IF(P11&lt;=#REF!,#REF!,IF(P11&lt;=#REF!,#REF!,IF(P11&lt;=#REF!,#REF!,IF(P11&lt;=#REF!,#REF!,IF(P11&lt;=#REF!,#REF!,IF(P11&lt;=#REF!,#REF!,IF(P11&lt;=#REF!,#REF!,IF(P11&lt;=#REF!,#REF!,IF(P11&lt;=#REF!,#REF!,IF(P11&lt;=#REF!,#REF!,IF(P11&lt;=#REF!,#REF!,IF(P11&lt;=#REF!,#REF!,IF(P11&lt;=#REF!,#REF!,IF(P11&lt;=#REF!,#REF!,IF(P11&lt;=#REF!,#REF!,IF(P11&lt;=#REF!,#REF!,IF(P11&lt;=#REF!,#REF!,IF(P11&lt;=#REF!,#REF!,IF(P11&lt;=#REF!,#REF!,IF(P11&lt;=#REF!,#REF!,IF(P11&lt;=#REF!,#REF!,0))))))))))))))))))))))))</f>
        <v>#REF!</v>
      </c>
      <c r="BJ11" s="144">
        <v>0.85</v>
      </c>
    </row>
    <row r="12" spans="1:62" s="145" customFormat="1" ht="12" customHeight="1" x14ac:dyDescent="0.2">
      <c r="A12" s="122" t="s">
        <v>377</v>
      </c>
      <c r="B12" s="122" t="s">
        <v>344</v>
      </c>
      <c r="C12" s="122" t="s">
        <v>2</v>
      </c>
      <c r="D12" s="122" t="s">
        <v>392</v>
      </c>
      <c r="E12" s="122" t="s">
        <v>393</v>
      </c>
      <c r="F12" s="122" t="s">
        <v>4</v>
      </c>
      <c r="G12" s="122" t="s">
        <v>351</v>
      </c>
      <c r="H12" s="123" t="s">
        <v>158</v>
      </c>
      <c r="I12" s="123" t="s">
        <v>383</v>
      </c>
      <c r="J12" s="124" t="s">
        <v>381</v>
      </c>
      <c r="K12" s="125" t="s">
        <v>378</v>
      </c>
      <c r="L12" s="123"/>
      <c r="M12" s="123"/>
      <c r="N12" s="126">
        <f t="shared" ref="N12:N16" si="67">AX12</f>
        <v>220</v>
      </c>
      <c r="O12" s="127">
        <v>1.5</v>
      </c>
      <c r="P12" s="127">
        <f t="shared" ref="P12:P16" si="68">AV12</f>
        <v>1.5</v>
      </c>
      <c r="Q12" s="128" t="e">
        <f t="shared" ref="Q12:Q16" si="69">P12/V12/W12</f>
        <v>#REF!</v>
      </c>
      <c r="R12" s="128">
        <f t="shared" ref="R12:R16" si="70">P12*U12*X12</f>
        <v>1.0499999999999998</v>
      </c>
      <c r="S12" s="128" t="e">
        <f t="shared" ref="S12:S16" si="71">Q12*U12*X12</f>
        <v>#REF!</v>
      </c>
      <c r="T12" s="129">
        <f t="shared" ref="T12:T16" si="72">AW12</f>
        <v>2</v>
      </c>
      <c r="U12" s="130">
        <v>1</v>
      </c>
      <c r="V12" s="131" t="e">
        <f t="shared" ref="V12:V16" si="73">IF((BE12="N")*AND(BG12="M"),BJ12,BI12)</f>
        <v>#REF!</v>
      </c>
      <c r="W12" s="131" t="e">
        <f t="shared" ref="W12:W16" si="74">IF(BE12="N",1,BH12/100)</f>
        <v>#REF!</v>
      </c>
      <c r="X12" s="130">
        <v>0.7</v>
      </c>
      <c r="Y12" s="130" t="str">
        <f t="shared" ref="Y12:Y16" si="75">BB12</f>
        <v>N</v>
      </c>
      <c r="Z12" s="132">
        <v>24</v>
      </c>
      <c r="AA12" s="133">
        <f t="shared" ref="AA12:AA16" si="76">Z12*R12</f>
        <v>25.199999999999996</v>
      </c>
      <c r="AB12" s="134" t="str">
        <f t="shared" ref="AB12:AB16" si="77">AY12</f>
        <v>NB</v>
      </c>
      <c r="AC12" s="135" t="e">
        <f t="shared" ref="AC12:AC16" si="78">IF((((T12=3))),(Q12*1000)/((SQRT(3)*N12)),(IF(((T12=1)),(Q12*1000)/((N12)),(IF(((T12=2)),(Q12*1000)/((N12)),0)))))</f>
        <v>#REF!</v>
      </c>
      <c r="AD12" s="136"/>
      <c r="AE12" s="137"/>
      <c r="AF12" s="138"/>
      <c r="AG12" s="138"/>
      <c r="AH12" s="138"/>
      <c r="AI12" s="138"/>
      <c r="AJ12" s="138"/>
      <c r="AK12" s="138"/>
      <c r="AL12" s="138"/>
      <c r="AM12" s="138"/>
      <c r="AN12" s="138"/>
      <c r="AO12" s="138"/>
      <c r="AP12" s="138"/>
      <c r="AQ12" s="138"/>
      <c r="AR12" s="138"/>
      <c r="AS12" s="138"/>
      <c r="AT12" s="138"/>
      <c r="AU12" s="138"/>
      <c r="AV12" s="138">
        <v>1.5</v>
      </c>
      <c r="AW12" s="139">
        <v>2</v>
      </c>
      <c r="AX12" s="139">
        <v>220</v>
      </c>
      <c r="AY12" s="140" t="s">
        <v>353</v>
      </c>
      <c r="AZ12" s="141" t="s">
        <v>3</v>
      </c>
      <c r="BA12" s="141" t="s">
        <v>1</v>
      </c>
      <c r="BB12" s="142" t="s">
        <v>1</v>
      </c>
      <c r="BC12" s="142" t="s">
        <v>384</v>
      </c>
      <c r="BD12" s="123" t="s">
        <v>1</v>
      </c>
      <c r="BE12" s="123" t="s">
        <v>385</v>
      </c>
      <c r="BF12" s="123" t="s">
        <v>1</v>
      </c>
      <c r="BG12" s="123" t="s">
        <v>28</v>
      </c>
      <c r="BH12" s="143" t="e">
        <f>IF(P12&lt;=#REF!,#REF!,IF(P12&lt;=#REF!,#REF!,IF(P12&lt;=#REF!,#REF!,IF(P12&lt;=#REF!,#REF!,IF(P12&lt;=#REF!,#REF!,IF(P12&lt;=#REF!,#REF!,IF(P12&lt;=#REF!,#REF!,IF(P12&lt;=#REF!,#REF!,IF(P12&lt;=#REF!,#REF!,IF(P12&lt;=#REF!,#REF!,IF(P12&lt;=#REF!,#REF!,IF(P12&lt;=#REF!,#REF!,IF(P12&lt;=#REF!,#REF!,IF(P12&lt;=#REF!,#REF!,IF(P12&lt;=#REF!,#REF!,IF(P12&lt;=#REF!,#REF!,IF(P12&lt;=#REF!,#REF!,IF(P12&lt;=#REF!,#REF!,IF(P12&lt;=#REF!,#REF!,IF(P12&lt;=#REF!,#REF!,IF(P12&lt;=#REF!,#REF!,IF(P12&lt;=#REF!,#REF!,IF(P12&lt;=#REF!,#REF!,IF(P12&lt;=#REF!,#REF!,0))))))))))))))))))))))))</f>
        <v>#REF!</v>
      </c>
      <c r="BI12" s="143" t="e">
        <f>IF(P12&lt;=#REF!,#REF!,IF(P12&lt;=#REF!,#REF!,IF(P12&lt;=#REF!,#REF!,IF(P12&lt;=#REF!,#REF!,IF(P12&lt;=#REF!,#REF!,IF(P12&lt;=#REF!,#REF!,IF(P12&lt;=#REF!,#REF!,IF(P12&lt;=#REF!,#REF!,IF(P12&lt;=#REF!,#REF!,IF(P12&lt;=#REF!,#REF!,IF(P12&lt;=#REF!,#REF!,IF(P12&lt;=#REF!,#REF!,IF(P12&lt;=#REF!,#REF!,IF(P12&lt;=#REF!,#REF!,IF(P12&lt;=#REF!,#REF!,IF(P12&lt;=#REF!,#REF!,IF(P12&lt;=#REF!,#REF!,IF(P12&lt;=#REF!,#REF!,IF(P12&lt;=#REF!,#REF!,IF(P12&lt;=#REF!,#REF!,IF(P12&lt;=#REF!,#REF!,IF(P12&lt;=#REF!,#REF!,IF(P12&lt;=#REF!,#REF!,IF(P12&lt;=#REF!,#REF!,0))))))))))))))))))))))))</f>
        <v>#REF!</v>
      </c>
      <c r="BJ12" s="144">
        <v>0.85</v>
      </c>
    </row>
    <row r="13" spans="1:62" s="145" customFormat="1" ht="12" customHeight="1" x14ac:dyDescent="0.2">
      <c r="A13" s="122" t="s">
        <v>377</v>
      </c>
      <c r="B13" s="122" t="s">
        <v>344</v>
      </c>
      <c r="C13" s="122" t="s">
        <v>2</v>
      </c>
      <c r="D13" s="122" t="s">
        <v>392</v>
      </c>
      <c r="E13" s="122" t="s">
        <v>393</v>
      </c>
      <c r="F13" s="122" t="s">
        <v>377</v>
      </c>
      <c r="G13" s="122" t="s">
        <v>351</v>
      </c>
      <c r="H13" s="123" t="s">
        <v>158</v>
      </c>
      <c r="I13" s="123" t="s">
        <v>383</v>
      </c>
      <c r="J13" s="124" t="s">
        <v>381</v>
      </c>
      <c r="K13" s="125" t="s">
        <v>378</v>
      </c>
      <c r="L13" s="123"/>
      <c r="M13" s="123"/>
      <c r="N13" s="126">
        <f t="shared" ref="N13" si="79">AX13</f>
        <v>220</v>
      </c>
      <c r="O13" s="127">
        <v>1.5</v>
      </c>
      <c r="P13" s="127">
        <f t="shared" ref="P13" si="80">AV13</f>
        <v>1.5</v>
      </c>
      <c r="Q13" s="128" t="e">
        <f t="shared" ref="Q13" si="81">P13/V13/W13</f>
        <v>#REF!</v>
      </c>
      <c r="R13" s="128">
        <f t="shared" ref="R13" si="82">P13*U13*X13</f>
        <v>1.0499999999999998</v>
      </c>
      <c r="S13" s="128" t="e">
        <f t="shared" ref="S13" si="83">Q13*U13*X13</f>
        <v>#REF!</v>
      </c>
      <c r="T13" s="129">
        <f t="shared" ref="T13" si="84">AW13</f>
        <v>2</v>
      </c>
      <c r="U13" s="130">
        <v>1</v>
      </c>
      <c r="V13" s="131" t="e">
        <f t="shared" ref="V13" si="85">IF((BE13="N")*AND(BG13="M"),BJ13,BI13)</f>
        <v>#REF!</v>
      </c>
      <c r="W13" s="131" t="e">
        <f t="shared" ref="W13" si="86">IF(BE13="N",1,BH13/100)</f>
        <v>#REF!</v>
      </c>
      <c r="X13" s="130">
        <v>0.7</v>
      </c>
      <c r="Y13" s="130" t="str">
        <f t="shared" ref="Y13" si="87">BB13</f>
        <v>N</v>
      </c>
      <c r="Z13" s="132">
        <v>24</v>
      </c>
      <c r="AA13" s="133">
        <f t="shared" ref="AA13" si="88">Z13*R13</f>
        <v>25.199999999999996</v>
      </c>
      <c r="AB13" s="134" t="str">
        <f t="shared" ref="AB13" si="89">AY13</f>
        <v>NB</v>
      </c>
      <c r="AC13" s="135" t="e">
        <f t="shared" ref="AC13" si="90">IF((((T13=3))),(Q13*1000)/((SQRT(3)*N13)),(IF(((T13=1)),(Q13*1000)/((N13)),(IF(((T13=2)),(Q13*1000)/((N13)),0)))))</f>
        <v>#REF!</v>
      </c>
      <c r="AD13" s="136"/>
      <c r="AE13" s="137"/>
      <c r="AF13" s="138"/>
      <c r="AG13" s="138"/>
      <c r="AH13" s="138"/>
      <c r="AI13" s="138"/>
      <c r="AJ13" s="138"/>
      <c r="AK13" s="138"/>
      <c r="AL13" s="138"/>
      <c r="AM13" s="138"/>
      <c r="AN13" s="138"/>
      <c r="AO13" s="138"/>
      <c r="AP13" s="138"/>
      <c r="AQ13" s="138"/>
      <c r="AR13" s="138"/>
      <c r="AS13" s="138"/>
      <c r="AT13" s="138"/>
      <c r="AU13" s="138"/>
      <c r="AV13" s="138">
        <v>1.5</v>
      </c>
      <c r="AW13" s="139">
        <v>2</v>
      </c>
      <c r="AX13" s="139">
        <v>220</v>
      </c>
      <c r="AY13" s="140" t="s">
        <v>353</v>
      </c>
      <c r="AZ13" s="141" t="s">
        <v>3</v>
      </c>
      <c r="BA13" s="141" t="s">
        <v>1</v>
      </c>
      <c r="BB13" s="142" t="s">
        <v>1</v>
      </c>
      <c r="BC13" s="142" t="s">
        <v>384</v>
      </c>
      <c r="BD13" s="123" t="s">
        <v>1</v>
      </c>
      <c r="BE13" s="123" t="s">
        <v>385</v>
      </c>
      <c r="BF13" s="123" t="s">
        <v>1</v>
      </c>
      <c r="BG13" s="123" t="s">
        <v>28</v>
      </c>
      <c r="BH13" s="143" t="e">
        <f>IF(P13&lt;=#REF!,#REF!,IF(P13&lt;=#REF!,#REF!,IF(P13&lt;=#REF!,#REF!,IF(P13&lt;=#REF!,#REF!,IF(P13&lt;=#REF!,#REF!,IF(P13&lt;=#REF!,#REF!,IF(P13&lt;=#REF!,#REF!,IF(P13&lt;=#REF!,#REF!,IF(P13&lt;=#REF!,#REF!,IF(P13&lt;=#REF!,#REF!,IF(P13&lt;=#REF!,#REF!,IF(P13&lt;=#REF!,#REF!,IF(P13&lt;=#REF!,#REF!,IF(P13&lt;=#REF!,#REF!,IF(P13&lt;=#REF!,#REF!,IF(P13&lt;=#REF!,#REF!,IF(P13&lt;=#REF!,#REF!,IF(P13&lt;=#REF!,#REF!,IF(P13&lt;=#REF!,#REF!,IF(P13&lt;=#REF!,#REF!,IF(P13&lt;=#REF!,#REF!,IF(P13&lt;=#REF!,#REF!,IF(P13&lt;=#REF!,#REF!,IF(P13&lt;=#REF!,#REF!,0))))))))))))))))))))))))</f>
        <v>#REF!</v>
      </c>
      <c r="BI13" s="143" t="e">
        <f>IF(P13&lt;=#REF!,#REF!,IF(P13&lt;=#REF!,#REF!,IF(P13&lt;=#REF!,#REF!,IF(P13&lt;=#REF!,#REF!,IF(P13&lt;=#REF!,#REF!,IF(P13&lt;=#REF!,#REF!,IF(P13&lt;=#REF!,#REF!,IF(P13&lt;=#REF!,#REF!,IF(P13&lt;=#REF!,#REF!,IF(P13&lt;=#REF!,#REF!,IF(P13&lt;=#REF!,#REF!,IF(P13&lt;=#REF!,#REF!,IF(P13&lt;=#REF!,#REF!,IF(P13&lt;=#REF!,#REF!,IF(P13&lt;=#REF!,#REF!,IF(P13&lt;=#REF!,#REF!,IF(P13&lt;=#REF!,#REF!,IF(P13&lt;=#REF!,#REF!,IF(P13&lt;=#REF!,#REF!,IF(P13&lt;=#REF!,#REF!,IF(P13&lt;=#REF!,#REF!,IF(P13&lt;=#REF!,#REF!,IF(P13&lt;=#REF!,#REF!,IF(P13&lt;=#REF!,#REF!,0))))))))))))))))))))))))</f>
        <v>#REF!</v>
      </c>
      <c r="BJ13" s="144">
        <v>0.85</v>
      </c>
    </row>
    <row r="14" spans="1:62" s="145" customFormat="1" ht="12" customHeight="1" x14ac:dyDescent="0.2">
      <c r="A14" s="122" t="s">
        <v>377</v>
      </c>
      <c r="B14" s="122" t="s">
        <v>344</v>
      </c>
      <c r="C14" s="122" t="s">
        <v>2</v>
      </c>
      <c r="D14" s="122" t="s">
        <v>392</v>
      </c>
      <c r="E14" s="122" t="s">
        <v>393</v>
      </c>
      <c r="F14" s="122" t="s">
        <v>388</v>
      </c>
      <c r="G14" s="122" t="s">
        <v>351</v>
      </c>
      <c r="H14" s="123" t="s">
        <v>158</v>
      </c>
      <c r="I14" s="123" t="s">
        <v>383</v>
      </c>
      <c r="J14" s="124" t="s">
        <v>389</v>
      </c>
      <c r="K14" s="125" t="s">
        <v>378</v>
      </c>
      <c r="L14" s="123"/>
      <c r="M14" s="123"/>
      <c r="N14" s="126">
        <f t="shared" si="67"/>
        <v>220</v>
      </c>
      <c r="O14" s="127">
        <v>1.5</v>
      </c>
      <c r="P14" s="127">
        <f t="shared" si="68"/>
        <v>1.5</v>
      </c>
      <c r="Q14" s="128" t="e">
        <f t="shared" si="69"/>
        <v>#REF!</v>
      </c>
      <c r="R14" s="128">
        <f t="shared" si="70"/>
        <v>1.0499999999999998</v>
      </c>
      <c r="S14" s="128" t="e">
        <f t="shared" si="71"/>
        <v>#REF!</v>
      </c>
      <c r="T14" s="129">
        <f t="shared" si="72"/>
        <v>2</v>
      </c>
      <c r="U14" s="130">
        <v>1</v>
      </c>
      <c r="V14" s="131" t="e">
        <f t="shared" si="73"/>
        <v>#REF!</v>
      </c>
      <c r="W14" s="131" t="e">
        <f t="shared" si="74"/>
        <v>#REF!</v>
      </c>
      <c r="X14" s="130">
        <v>0.7</v>
      </c>
      <c r="Y14" s="130" t="str">
        <f t="shared" si="75"/>
        <v>N</v>
      </c>
      <c r="Z14" s="132">
        <v>24</v>
      </c>
      <c r="AA14" s="133">
        <f t="shared" si="76"/>
        <v>25.199999999999996</v>
      </c>
      <c r="AB14" s="134" t="str">
        <f t="shared" si="77"/>
        <v>NB</v>
      </c>
      <c r="AC14" s="135" t="e">
        <f t="shared" si="78"/>
        <v>#REF!</v>
      </c>
      <c r="AD14" s="136"/>
      <c r="AE14" s="137"/>
      <c r="AF14" s="138"/>
      <c r="AG14" s="138"/>
      <c r="AH14" s="138"/>
      <c r="AI14" s="138"/>
      <c r="AJ14" s="138"/>
      <c r="AK14" s="138"/>
      <c r="AL14" s="138"/>
      <c r="AM14" s="138"/>
      <c r="AN14" s="138"/>
      <c r="AO14" s="138"/>
      <c r="AP14" s="138"/>
      <c r="AQ14" s="138"/>
      <c r="AR14" s="138"/>
      <c r="AS14" s="138"/>
      <c r="AT14" s="138"/>
      <c r="AU14" s="138"/>
      <c r="AV14" s="138">
        <v>1.5</v>
      </c>
      <c r="AW14" s="139">
        <v>2</v>
      </c>
      <c r="AX14" s="139">
        <v>220</v>
      </c>
      <c r="AY14" s="140" t="s">
        <v>353</v>
      </c>
      <c r="AZ14" s="141" t="s">
        <v>3</v>
      </c>
      <c r="BA14" s="141" t="s">
        <v>1</v>
      </c>
      <c r="BB14" s="142" t="s">
        <v>1</v>
      </c>
      <c r="BC14" s="142" t="s">
        <v>384</v>
      </c>
      <c r="BD14" s="123" t="s">
        <v>1</v>
      </c>
      <c r="BE14" s="123" t="s">
        <v>385</v>
      </c>
      <c r="BF14" s="123" t="s">
        <v>1</v>
      </c>
      <c r="BG14" s="123" t="s">
        <v>28</v>
      </c>
      <c r="BH14" s="143" t="e">
        <f>IF(P14&lt;=#REF!,#REF!,IF(P14&lt;=#REF!,#REF!,IF(P14&lt;=#REF!,#REF!,IF(P14&lt;=#REF!,#REF!,IF(P14&lt;=#REF!,#REF!,IF(P14&lt;=#REF!,#REF!,IF(P14&lt;=#REF!,#REF!,IF(P14&lt;=#REF!,#REF!,IF(P14&lt;=#REF!,#REF!,IF(P14&lt;=#REF!,#REF!,IF(P14&lt;=#REF!,#REF!,IF(P14&lt;=#REF!,#REF!,IF(P14&lt;=#REF!,#REF!,IF(P14&lt;=#REF!,#REF!,IF(P14&lt;=#REF!,#REF!,IF(P14&lt;=#REF!,#REF!,IF(P14&lt;=#REF!,#REF!,IF(P14&lt;=#REF!,#REF!,IF(P14&lt;=#REF!,#REF!,IF(P14&lt;=#REF!,#REF!,IF(P14&lt;=#REF!,#REF!,IF(P14&lt;=#REF!,#REF!,IF(P14&lt;=#REF!,#REF!,IF(P14&lt;=#REF!,#REF!,0))))))))))))))))))))))))</f>
        <v>#REF!</v>
      </c>
      <c r="BI14" s="143" t="e">
        <f>IF(P14&lt;=#REF!,#REF!,IF(P14&lt;=#REF!,#REF!,IF(P14&lt;=#REF!,#REF!,IF(P14&lt;=#REF!,#REF!,IF(P14&lt;=#REF!,#REF!,IF(P14&lt;=#REF!,#REF!,IF(P14&lt;=#REF!,#REF!,IF(P14&lt;=#REF!,#REF!,IF(P14&lt;=#REF!,#REF!,IF(P14&lt;=#REF!,#REF!,IF(P14&lt;=#REF!,#REF!,IF(P14&lt;=#REF!,#REF!,IF(P14&lt;=#REF!,#REF!,IF(P14&lt;=#REF!,#REF!,IF(P14&lt;=#REF!,#REF!,IF(P14&lt;=#REF!,#REF!,IF(P14&lt;=#REF!,#REF!,IF(P14&lt;=#REF!,#REF!,IF(P14&lt;=#REF!,#REF!,IF(P14&lt;=#REF!,#REF!,IF(P14&lt;=#REF!,#REF!,IF(P14&lt;=#REF!,#REF!,IF(P14&lt;=#REF!,#REF!,IF(P14&lt;=#REF!,#REF!,0))))))))))))))))))))))))</f>
        <v>#REF!</v>
      </c>
      <c r="BJ14" s="144">
        <v>0.85</v>
      </c>
    </row>
    <row r="15" spans="1:62" s="145" customFormat="1" ht="12" customHeight="1" x14ac:dyDescent="0.2">
      <c r="A15" s="122" t="s">
        <v>377</v>
      </c>
      <c r="B15" s="122" t="s">
        <v>344</v>
      </c>
      <c r="C15" s="122" t="s">
        <v>2</v>
      </c>
      <c r="D15" s="122" t="s">
        <v>392</v>
      </c>
      <c r="E15" s="122" t="s">
        <v>394</v>
      </c>
      <c r="F15" s="122" t="s">
        <v>4</v>
      </c>
      <c r="G15" s="122" t="s">
        <v>351</v>
      </c>
      <c r="H15" s="123" t="s">
        <v>158</v>
      </c>
      <c r="I15" s="123" t="s">
        <v>383</v>
      </c>
      <c r="J15" s="124" t="s">
        <v>389</v>
      </c>
      <c r="K15" s="125" t="s">
        <v>379</v>
      </c>
      <c r="L15" s="123"/>
      <c r="M15" s="123"/>
      <c r="N15" s="126">
        <f t="shared" si="67"/>
        <v>220</v>
      </c>
      <c r="O15" s="127">
        <v>1.5</v>
      </c>
      <c r="P15" s="127">
        <f t="shared" si="68"/>
        <v>1.5</v>
      </c>
      <c r="Q15" s="128" t="e">
        <f t="shared" si="69"/>
        <v>#REF!</v>
      </c>
      <c r="R15" s="128">
        <f t="shared" si="70"/>
        <v>1.0499999999999998</v>
      </c>
      <c r="S15" s="128" t="e">
        <f t="shared" si="71"/>
        <v>#REF!</v>
      </c>
      <c r="T15" s="129">
        <f t="shared" si="72"/>
        <v>2</v>
      </c>
      <c r="U15" s="130">
        <v>1</v>
      </c>
      <c r="V15" s="131" t="e">
        <f t="shared" si="73"/>
        <v>#REF!</v>
      </c>
      <c r="W15" s="131" t="e">
        <f t="shared" si="74"/>
        <v>#REF!</v>
      </c>
      <c r="X15" s="130">
        <v>0.7</v>
      </c>
      <c r="Y15" s="130" t="str">
        <f t="shared" si="75"/>
        <v>N</v>
      </c>
      <c r="Z15" s="132">
        <v>24</v>
      </c>
      <c r="AA15" s="133">
        <f t="shared" si="76"/>
        <v>25.199999999999996</v>
      </c>
      <c r="AB15" s="134" t="str">
        <f t="shared" si="77"/>
        <v>NB</v>
      </c>
      <c r="AC15" s="135" t="e">
        <f t="shared" si="78"/>
        <v>#REF!</v>
      </c>
      <c r="AD15" s="136"/>
      <c r="AE15" s="137"/>
      <c r="AF15" s="138"/>
      <c r="AG15" s="138"/>
      <c r="AH15" s="138"/>
      <c r="AI15" s="138"/>
      <c r="AJ15" s="138"/>
      <c r="AK15" s="138"/>
      <c r="AL15" s="138"/>
      <c r="AM15" s="138"/>
      <c r="AN15" s="138"/>
      <c r="AO15" s="138"/>
      <c r="AP15" s="138"/>
      <c r="AQ15" s="138"/>
      <c r="AR15" s="138"/>
      <c r="AS15" s="138"/>
      <c r="AT15" s="138"/>
      <c r="AU15" s="138"/>
      <c r="AV15" s="138">
        <v>1.5</v>
      </c>
      <c r="AW15" s="139">
        <v>2</v>
      </c>
      <c r="AX15" s="139">
        <v>220</v>
      </c>
      <c r="AY15" s="140" t="s">
        <v>353</v>
      </c>
      <c r="AZ15" s="141" t="s">
        <v>3</v>
      </c>
      <c r="BA15" s="141" t="s">
        <v>1</v>
      </c>
      <c r="BB15" s="142" t="s">
        <v>1</v>
      </c>
      <c r="BC15" s="142" t="s">
        <v>384</v>
      </c>
      <c r="BD15" s="123" t="s">
        <v>1</v>
      </c>
      <c r="BE15" s="123" t="s">
        <v>385</v>
      </c>
      <c r="BF15" s="123" t="s">
        <v>1</v>
      </c>
      <c r="BG15" s="123" t="s">
        <v>28</v>
      </c>
      <c r="BH15" s="143" t="e">
        <f>IF(P15&lt;=#REF!,#REF!,IF(P15&lt;=#REF!,#REF!,IF(P15&lt;=#REF!,#REF!,IF(P15&lt;=#REF!,#REF!,IF(P15&lt;=#REF!,#REF!,IF(P15&lt;=#REF!,#REF!,IF(P15&lt;=#REF!,#REF!,IF(P15&lt;=#REF!,#REF!,IF(P15&lt;=#REF!,#REF!,IF(P15&lt;=#REF!,#REF!,IF(P15&lt;=#REF!,#REF!,IF(P15&lt;=#REF!,#REF!,IF(P15&lt;=#REF!,#REF!,IF(P15&lt;=#REF!,#REF!,IF(P15&lt;=#REF!,#REF!,IF(P15&lt;=#REF!,#REF!,IF(P15&lt;=#REF!,#REF!,IF(P15&lt;=#REF!,#REF!,IF(P15&lt;=#REF!,#REF!,IF(P15&lt;=#REF!,#REF!,IF(P15&lt;=#REF!,#REF!,IF(P15&lt;=#REF!,#REF!,IF(P15&lt;=#REF!,#REF!,IF(P15&lt;=#REF!,#REF!,0))))))))))))))))))))))))</f>
        <v>#REF!</v>
      </c>
      <c r="BI15" s="143" t="e">
        <f>IF(P15&lt;=#REF!,#REF!,IF(P15&lt;=#REF!,#REF!,IF(P15&lt;=#REF!,#REF!,IF(P15&lt;=#REF!,#REF!,IF(P15&lt;=#REF!,#REF!,IF(P15&lt;=#REF!,#REF!,IF(P15&lt;=#REF!,#REF!,IF(P15&lt;=#REF!,#REF!,IF(P15&lt;=#REF!,#REF!,IF(P15&lt;=#REF!,#REF!,IF(P15&lt;=#REF!,#REF!,IF(P15&lt;=#REF!,#REF!,IF(P15&lt;=#REF!,#REF!,IF(P15&lt;=#REF!,#REF!,IF(P15&lt;=#REF!,#REF!,IF(P15&lt;=#REF!,#REF!,IF(P15&lt;=#REF!,#REF!,IF(P15&lt;=#REF!,#REF!,IF(P15&lt;=#REF!,#REF!,IF(P15&lt;=#REF!,#REF!,IF(P15&lt;=#REF!,#REF!,IF(P15&lt;=#REF!,#REF!,IF(P15&lt;=#REF!,#REF!,IF(P15&lt;=#REF!,#REF!,0))))))))))))))))))))))))</f>
        <v>#REF!</v>
      </c>
      <c r="BJ15" s="144">
        <v>0.85</v>
      </c>
    </row>
    <row r="16" spans="1:62" s="145" customFormat="1" ht="12" customHeight="1" x14ac:dyDescent="0.2">
      <c r="A16" s="122" t="s">
        <v>377</v>
      </c>
      <c r="B16" s="122" t="s">
        <v>344</v>
      </c>
      <c r="C16" s="122" t="s">
        <v>2</v>
      </c>
      <c r="D16" s="122" t="s">
        <v>2</v>
      </c>
      <c r="E16" s="122" t="s">
        <v>398</v>
      </c>
      <c r="F16" s="122" t="s">
        <v>4</v>
      </c>
      <c r="G16" s="122" t="s">
        <v>351</v>
      </c>
      <c r="H16" s="123" t="s">
        <v>158</v>
      </c>
      <c r="I16" s="123" t="s">
        <v>383</v>
      </c>
      <c r="J16" s="124" t="s">
        <v>390</v>
      </c>
      <c r="K16" s="125" t="s">
        <v>380</v>
      </c>
      <c r="L16" s="123"/>
      <c r="M16" s="123"/>
      <c r="N16" s="126">
        <f t="shared" si="67"/>
        <v>220</v>
      </c>
      <c r="O16" s="127">
        <v>0.03</v>
      </c>
      <c r="P16" s="127">
        <f t="shared" si="68"/>
        <v>0.03</v>
      </c>
      <c r="Q16" s="128">
        <f t="shared" si="69"/>
        <v>3.5294117647058823E-2</v>
      </c>
      <c r="R16" s="128">
        <f t="shared" si="70"/>
        <v>2.0999999999999998E-2</v>
      </c>
      <c r="S16" s="128">
        <f t="shared" si="71"/>
        <v>2.4705882352941175E-2</v>
      </c>
      <c r="T16" s="129">
        <f t="shared" si="72"/>
        <v>2</v>
      </c>
      <c r="U16" s="130">
        <v>1</v>
      </c>
      <c r="V16" s="131">
        <f t="shared" si="73"/>
        <v>0.85</v>
      </c>
      <c r="W16" s="131">
        <f t="shared" si="74"/>
        <v>1</v>
      </c>
      <c r="X16" s="130">
        <v>0.7</v>
      </c>
      <c r="Y16" s="130" t="str">
        <f t="shared" si="75"/>
        <v>N</v>
      </c>
      <c r="Z16" s="132">
        <v>24</v>
      </c>
      <c r="AA16" s="133">
        <f t="shared" si="76"/>
        <v>0.504</v>
      </c>
      <c r="AB16" s="134" t="str">
        <f t="shared" si="77"/>
        <v>NB</v>
      </c>
      <c r="AC16" s="135">
        <f t="shared" si="78"/>
        <v>0.16042780748663102</v>
      </c>
      <c r="AD16" s="136"/>
      <c r="AE16" s="137"/>
      <c r="AF16" s="138"/>
      <c r="AG16" s="138"/>
      <c r="AH16" s="138"/>
      <c r="AI16" s="138"/>
      <c r="AJ16" s="138"/>
      <c r="AK16" s="138"/>
      <c r="AL16" s="138"/>
      <c r="AM16" s="138"/>
      <c r="AN16" s="138"/>
      <c r="AO16" s="138"/>
      <c r="AP16" s="138"/>
      <c r="AQ16" s="138"/>
      <c r="AR16" s="138"/>
      <c r="AS16" s="138"/>
      <c r="AT16" s="138"/>
      <c r="AU16" s="138"/>
      <c r="AV16" s="138">
        <v>0.03</v>
      </c>
      <c r="AW16" s="139">
        <v>2</v>
      </c>
      <c r="AX16" s="139">
        <v>220</v>
      </c>
      <c r="AY16" s="140" t="s">
        <v>353</v>
      </c>
      <c r="AZ16" s="141" t="s">
        <v>351</v>
      </c>
      <c r="BA16" s="141" t="s">
        <v>1</v>
      </c>
      <c r="BB16" s="142" t="s">
        <v>1</v>
      </c>
      <c r="BC16" s="146" t="str">
        <f t="shared" ref="BC16" si="91">IF(((AZ16="P")*AND(BA16="N")*AND(BF16="S")*AND(BE16="S")*AND(BD16="N")*AND(AV16&lt;=3.68)),"RELÉ",(IF(((AZ16="P")*AND(BA16="N")*AND(BE16="S")*AND(BD16="S")),"C-FORNECIDO",(IF(((AZ16="P")*AND(BA16="S")*AND(BD16="S")),"C-FORNECIDO",(IF(((AZ16="D")*AND(BA16="S")*AND(BD16="N")),"I-PROJETAR",(IF(((AZ16="P")*AND(BA16="N")*AND(BE16="S")*AND(AV16&gt;=3.68)*AND(BD16="N")),"I-PROJETAR",(IF(((AZ16="D")*AND(BA16="N")*AND(BE16="S")*AND(AV16&lt;=3.68)*AND(BD16="N")),"DIRETA",(IF(((AZ16="D")*AND(BA16="N")*AND(BE16="S")*AND(AV16&gt;=3.68)*AND(BD16="N")),"I-PROJETAR",IF(((AZ16="T")*AND(BA16="N")),"TOMADA",IF(((AZ16="P")*AND(BA16="N")*AND(BE16="N")),"PAINEL NORMAL",0)))))))))))))))</f>
        <v>TOMADA</v>
      </c>
      <c r="BD16" s="123" t="s">
        <v>1</v>
      </c>
      <c r="BE16" s="123" t="s">
        <v>1</v>
      </c>
      <c r="BF16" s="123" t="s">
        <v>1</v>
      </c>
      <c r="BG16" s="123" t="s">
        <v>347</v>
      </c>
      <c r="BH16" s="143" t="e">
        <f>IF(P16&lt;=#REF!,#REF!,IF(P16&lt;=#REF!,#REF!,IF(P16&lt;=#REF!,#REF!,IF(P16&lt;=#REF!,#REF!,IF(P16&lt;=#REF!,#REF!,IF(P16&lt;=#REF!,#REF!,IF(P16&lt;=#REF!,#REF!,IF(P16&lt;=#REF!,#REF!,IF(P16&lt;=#REF!,#REF!,IF(P16&lt;=#REF!,#REF!,IF(P16&lt;=#REF!,#REF!,IF(P16&lt;=#REF!,#REF!,IF(P16&lt;=#REF!,#REF!,IF(P16&lt;=#REF!,#REF!,IF(P16&lt;=#REF!,#REF!,IF(P16&lt;=#REF!,#REF!,IF(P16&lt;=#REF!,#REF!,IF(P16&lt;=#REF!,#REF!,IF(P16&lt;=#REF!,#REF!,IF(P16&lt;=#REF!,#REF!,IF(P16&lt;=#REF!,#REF!,IF(P16&lt;=#REF!,#REF!,IF(P16&lt;=#REF!,#REF!,IF(P16&lt;=#REF!,#REF!,0))))))))))))))))))))))))</f>
        <v>#REF!</v>
      </c>
      <c r="BI16" s="143" t="e">
        <f>IF(P16&lt;=#REF!,#REF!,IF(P16&lt;=#REF!,#REF!,IF(P16&lt;=#REF!,#REF!,IF(P16&lt;=#REF!,#REF!,IF(P16&lt;=#REF!,#REF!,IF(P16&lt;=#REF!,#REF!,IF(P16&lt;=#REF!,#REF!,IF(P16&lt;=#REF!,#REF!,IF(P16&lt;=#REF!,#REF!,IF(P16&lt;=#REF!,#REF!,IF(P16&lt;=#REF!,#REF!,IF(P16&lt;=#REF!,#REF!,IF(P16&lt;=#REF!,#REF!,IF(P16&lt;=#REF!,#REF!,IF(P16&lt;=#REF!,#REF!,IF(P16&lt;=#REF!,#REF!,IF(P16&lt;=#REF!,#REF!,IF(P16&lt;=#REF!,#REF!,IF(P16&lt;=#REF!,#REF!,IF(P16&lt;=#REF!,#REF!,IF(P16&lt;=#REF!,#REF!,IF(P16&lt;=#REF!,#REF!,IF(P16&lt;=#REF!,#REF!,IF(P16&lt;=#REF!,#REF!,0))))))))))))))))))))))))</f>
        <v>#REF!</v>
      </c>
      <c r="BJ16" s="144">
        <v>0.85</v>
      </c>
    </row>
    <row r="17" spans="1:62" s="145" customFormat="1" ht="12" customHeight="1" x14ac:dyDescent="0.2">
      <c r="A17" s="122" t="s">
        <v>377</v>
      </c>
      <c r="B17" s="122" t="s">
        <v>345</v>
      </c>
      <c r="C17" s="122" t="s">
        <v>2</v>
      </c>
      <c r="D17" s="122" t="s">
        <v>2</v>
      </c>
      <c r="E17" s="122" t="s">
        <v>2</v>
      </c>
      <c r="F17" s="122" t="s">
        <v>351</v>
      </c>
      <c r="G17" s="122" t="s">
        <v>4</v>
      </c>
      <c r="H17" s="123" t="s">
        <v>41</v>
      </c>
      <c r="I17" s="123" t="s">
        <v>383</v>
      </c>
      <c r="J17" s="124" t="s">
        <v>314</v>
      </c>
      <c r="K17" s="125" t="s">
        <v>360</v>
      </c>
      <c r="L17" s="123" t="s">
        <v>2</v>
      </c>
      <c r="M17" s="123" t="s">
        <v>2</v>
      </c>
      <c r="N17" s="126">
        <f>AX17</f>
        <v>220</v>
      </c>
      <c r="O17" s="151">
        <v>1.8</v>
      </c>
      <c r="P17" s="127">
        <f>AV17</f>
        <v>1.8</v>
      </c>
      <c r="Q17" s="128">
        <f>P17/V17/W17</f>
        <v>2.1951219512195124</v>
      </c>
      <c r="R17" s="128">
        <f>P17*U17*X17</f>
        <v>1.26</v>
      </c>
      <c r="S17" s="128">
        <f>Q17*U17*X17</f>
        <v>1.5365853658536586</v>
      </c>
      <c r="T17" s="129">
        <f>AW17</f>
        <v>2</v>
      </c>
      <c r="U17" s="130">
        <v>1</v>
      </c>
      <c r="V17" s="131">
        <f>IF((BE17="N")*AND(BG17="M"),BJ17,BI17)</f>
        <v>0.82</v>
      </c>
      <c r="W17" s="131">
        <f>IF(BE17="N",1,BH17/100)</f>
        <v>1</v>
      </c>
      <c r="X17" s="130">
        <v>0.7</v>
      </c>
      <c r="Y17" s="130" t="str">
        <f>BB17</f>
        <v>N</v>
      </c>
      <c r="Z17" s="132">
        <v>24</v>
      </c>
      <c r="AA17" s="133">
        <f>Z17*R17</f>
        <v>30.240000000000002</v>
      </c>
      <c r="AB17" s="149" t="s">
        <v>353</v>
      </c>
      <c r="AC17" s="135">
        <f>IF((((T17=3))),(Q17*1000)/((SQRT(3)*N17)),(IF(((T17=1)),(Q17*1000)/((N17)),(IF(((T17=2)),(Q17*1000)/((N17)),0)))))</f>
        <v>9.9778270509977851</v>
      </c>
      <c r="AD17" s="136"/>
      <c r="AE17" s="137"/>
      <c r="AF17" s="138" t="str">
        <f>IF(AND($AX17=440,$AB17="-"),$S17," ")</f>
        <v xml:space="preserve"> </v>
      </c>
      <c r="AG17" s="138" t="str">
        <f>IF(AND($AX17=380,$AB17="-"),$S17," ")</f>
        <v xml:space="preserve"> </v>
      </c>
      <c r="AH17" s="138" t="str">
        <f>IF(AND($AX17=220,$AB17="-"),$S17," ")</f>
        <v xml:space="preserve"> </v>
      </c>
      <c r="AI17" s="138" t="str">
        <f>IF(AND($AX17=127,$AB17="-"),$S17," ")</f>
        <v xml:space="preserve"> </v>
      </c>
      <c r="AJ17" s="138" t="str">
        <f>IF(AND($AX17=440,$AB17="GE"),$S17," ")</f>
        <v xml:space="preserve"> </v>
      </c>
      <c r="AK17" s="138" t="str">
        <f>IF(AND($AX17=380,$AB17="GE"),$S17," ")</f>
        <v xml:space="preserve"> </v>
      </c>
      <c r="AL17" s="138" t="str">
        <f>IF(AND($AX17=220,$AB17="GE"),$S17," ")</f>
        <v xml:space="preserve"> </v>
      </c>
      <c r="AM17" s="138" t="str">
        <f>IF(AND($AX17=127,$AB17="GE"),$S17," ")</f>
        <v xml:space="preserve"> </v>
      </c>
      <c r="AN17" s="138" t="str">
        <f>IF(AND($AX17=440,$AB17="GE+NBL"),$S17," ")</f>
        <v xml:space="preserve"> </v>
      </c>
      <c r="AO17" s="138" t="str">
        <f>IF(AND($AX17=380,$AB17="GE+NBL"),$S17," ")</f>
        <v xml:space="preserve"> </v>
      </c>
      <c r="AP17" s="138" t="str">
        <f>IF(AND($AX17=220,$AB17="GE+NBL"),$S17," ")</f>
        <v xml:space="preserve"> </v>
      </c>
      <c r="AQ17" s="138" t="str">
        <f>IF(AND($AX17=127,$AB17="GE+NBL"),$S17," ")</f>
        <v xml:space="preserve"> </v>
      </c>
      <c r="AR17" s="138" t="str">
        <f>IF(AND($AX17=440,$AB17="GE+NB"),$S17," ")</f>
        <v xml:space="preserve"> </v>
      </c>
      <c r="AS17" s="138" t="str">
        <f>IF(AND($AX17=380,$AB17="GE+NB"),$S17," ")</f>
        <v xml:space="preserve"> </v>
      </c>
      <c r="AT17" s="138" t="str">
        <f>IF(AND($AX17=220,$AB17="GE+NB"),$S17," ")</f>
        <v xml:space="preserve"> </v>
      </c>
      <c r="AU17" s="138" t="str">
        <f>IF(AND($AX17=127,$AB17="GE+NB"),$S17," ")</f>
        <v xml:space="preserve"> </v>
      </c>
      <c r="AV17" s="138">
        <v>1.8</v>
      </c>
      <c r="AW17" s="139">
        <v>2</v>
      </c>
      <c r="AX17" s="139">
        <v>220</v>
      </c>
      <c r="AY17" s="140" t="s">
        <v>2</v>
      </c>
      <c r="AZ17" s="141" t="s">
        <v>351</v>
      </c>
      <c r="BA17" s="141" t="s">
        <v>1</v>
      </c>
      <c r="BB17" s="142" t="s">
        <v>1</v>
      </c>
      <c r="BC17" s="146" t="str">
        <f t="shared" ref="BC17" si="92">IF(((AZ17="P")*AND(BA17="N")*AND(BF17="S")*AND(BE17="S")*AND(BD17="N")*AND(AV17&lt;=3.68)),"RELÉ",(IF(((AZ17="P")*AND(BA17="N")*AND(BE17="S")*AND(BD17="S")),"C-FORNECIDO",(IF(((AZ17="P")*AND(BA17="S")*AND(BD17="S")),"C-FORNECIDO",(IF(((AZ17="D")*AND(BA17="S")*AND(BD17="N")),"I-PROJETAR",(IF(((AZ17="P")*AND(BA17="N")*AND(BE17="S")*AND(AV17&gt;=3.68)*AND(BD17="N")),"I-PROJETAR",(IF(((AZ17="D")*AND(BA17="N")*AND(BE17="S")*AND(AV17&lt;=3.68)*AND(BD17="N")),"DIRETA",(IF(((AZ17="D")*AND(BA17="N")*AND(BE17="S")*AND(AV17&gt;=3.68)*AND(BD17="N")),"I-PROJETAR",IF(((AZ17="T")*AND(BA17="N")),"TOMADA",IF(((AZ17="P")*AND(BA17="N")*AND(BE17="N")),"PAINEL NORMAL",0)))))))))))))))</f>
        <v>TOMADA</v>
      </c>
      <c r="BD17" s="123" t="s">
        <v>1</v>
      </c>
      <c r="BE17" s="123" t="s">
        <v>1</v>
      </c>
      <c r="BF17" s="123" t="s">
        <v>1</v>
      </c>
      <c r="BG17" s="123" t="s">
        <v>347</v>
      </c>
      <c r="BH17" s="143" t="e">
        <f>IF(P17&lt;=#REF!,#REF!,IF(P17&lt;=#REF!,#REF!,IF(P17&lt;=#REF!,#REF!,IF(P17&lt;=#REF!,#REF!,IF(P17&lt;=#REF!,#REF!,IF(P17&lt;=#REF!,#REF!,IF(P17&lt;=#REF!,#REF!,IF(P17&lt;=#REF!,#REF!,IF(P17&lt;=#REF!,#REF!,IF(P17&lt;=#REF!,#REF!,IF(P17&lt;=#REF!,#REF!,IF(P17&lt;=#REF!,#REF!,IF(P17&lt;=#REF!,#REF!,IF(P17&lt;=#REF!,#REF!,IF(P17&lt;=#REF!,#REF!,IF(P17&lt;=#REF!,#REF!,IF(P17&lt;=#REF!,#REF!,IF(P17&lt;=#REF!,#REF!,IF(P17&lt;=#REF!,#REF!,IF(P17&lt;=#REF!,#REF!,IF(P17&lt;=#REF!,#REF!,IF(P17&lt;=#REF!,#REF!,IF(P17&lt;=#REF!,#REF!,IF(P17&lt;=#REF!,#REF!,0))))))))))))))))))))))))</f>
        <v>#REF!</v>
      </c>
      <c r="BI17" s="143" t="e">
        <f>IF(P17&lt;=#REF!,#REF!,IF(P17&lt;=#REF!,#REF!,IF(P17&lt;=#REF!,#REF!,IF(P17&lt;=#REF!,#REF!,IF(P17&lt;=#REF!,#REF!,IF(P17&lt;=#REF!,#REF!,IF(P17&lt;=#REF!,#REF!,IF(P17&lt;=#REF!,#REF!,IF(P17&lt;=#REF!,#REF!,IF(P17&lt;=#REF!,#REF!,IF(P17&lt;=#REF!,#REF!,IF(P17&lt;=#REF!,#REF!,IF(P17&lt;=#REF!,#REF!,IF(P17&lt;=#REF!,#REF!,IF(P17&lt;=#REF!,#REF!,IF(P17&lt;=#REF!,#REF!,IF(P17&lt;=#REF!,#REF!,IF(P17&lt;=#REF!,#REF!,IF(P17&lt;=#REF!,#REF!,IF(P17&lt;=#REF!,#REF!,IF(P17&lt;=#REF!,#REF!,IF(P17&lt;=#REF!,#REF!,IF(P17&lt;=#REF!,#REF!,IF(P17&lt;=#REF!,#REF!,0))))))))))))))))))))))))</f>
        <v>#REF!</v>
      </c>
      <c r="BJ17" s="144">
        <v>0.82</v>
      </c>
    </row>
    <row r="18" spans="1:62" s="145" customFormat="1" ht="12" customHeight="1" x14ac:dyDescent="0.2">
      <c r="A18" s="122" t="s">
        <v>377</v>
      </c>
      <c r="B18" s="122" t="s">
        <v>345</v>
      </c>
      <c r="C18" s="122" t="s">
        <v>2</v>
      </c>
      <c r="D18" s="122" t="s">
        <v>2</v>
      </c>
      <c r="E18" s="122" t="s">
        <v>2</v>
      </c>
      <c r="F18" s="122" t="s">
        <v>399</v>
      </c>
      <c r="G18" s="122" t="s">
        <v>4</v>
      </c>
      <c r="H18" s="123" t="s">
        <v>41</v>
      </c>
      <c r="I18" s="123" t="s">
        <v>372</v>
      </c>
      <c r="J18" s="124" t="s">
        <v>314</v>
      </c>
      <c r="K18" s="125" t="s">
        <v>346</v>
      </c>
      <c r="L18" s="123" t="s">
        <v>2</v>
      </c>
      <c r="M18" s="123" t="s">
        <v>2</v>
      </c>
      <c r="N18" s="126">
        <f t="shared" ref="N18" si="93">AX18</f>
        <v>220</v>
      </c>
      <c r="O18" s="151">
        <v>1.2</v>
      </c>
      <c r="P18" s="127">
        <f t="shared" ref="P18" si="94">AV18</f>
        <v>1.2</v>
      </c>
      <c r="Q18" s="128">
        <f t="shared" ref="Q18" si="95">P18/V18/W18</f>
        <v>1.3333333333333333</v>
      </c>
      <c r="R18" s="128">
        <f t="shared" ref="R18" si="96">P18*U18*X18</f>
        <v>1.2</v>
      </c>
      <c r="S18" s="128">
        <f t="shared" ref="S18" si="97">Q18*U18*X18</f>
        <v>1.3333333333333333</v>
      </c>
      <c r="T18" s="129">
        <f t="shared" ref="T18" si="98">AW18</f>
        <v>2</v>
      </c>
      <c r="U18" s="130">
        <v>1</v>
      </c>
      <c r="V18" s="131">
        <f t="shared" ref="V18" si="99">IF((BE18="N")*AND(BG18="M"),BJ18,BI18)</f>
        <v>0.9</v>
      </c>
      <c r="W18" s="131">
        <f t="shared" ref="W18" si="100">IF(BE18="N",1,BH18/100)</f>
        <v>1</v>
      </c>
      <c r="X18" s="130">
        <v>1</v>
      </c>
      <c r="Y18" s="130" t="str">
        <f t="shared" ref="Y18" si="101">BB18</f>
        <v>N</v>
      </c>
      <c r="Z18" s="132">
        <v>24</v>
      </c>
      <c r="AA18" s="133">
        <f t="shared" ref="AA18" si="102">Z18*R18</f>
        <v>28.799999999999997</v>
      </c>
      <c r="AB18" s="134" t="str">
        <f t="shared" ref="AB18" si="103">AY18</f>
        <v>-</v>
      </c>
      <c r="AC18" s="135">
        <f t="shared" ref="AC18" si="104">IF((((T18=3))),(Q18*1000)/((SQRT(3)*N18)),(IF(((T18=1)),(Q18*1000)/((N18)),(IF(((T18=2)),(Q18*1000)/((N18)),0)))))</f>
        <v>6.0606060606060606</v>
      </c>
      <c r="AD18" s="136"/>
      <c r="AE18" s="137"/>
      <c r="AF18" s="138" t="str">
        <f>IF(AND($AX18=440,$AB18="-"),$S18," ")</f>
        <v xml:space="preserve"> </v>
      </c>
      <c r="AG18" s="138" t="str">
        <f>IF(AND($AX18=380,$AB18="-"),$S18," ")</f>
        <v xml:space="preserve"> </v>
      </c>
      <c r="AH18" s="138">
        <f>IF(AND($AX18=220,$AB18="-"),$S18," ")</f>
        <v>1.3333333333333333</v>
      </c>
      <c r="AI18" s="138" t="str">
        <f>IF(AND($AX18=127,$AB18="-"),$S18," ")</f>
        <v xml:space="preserve"> </v>
      </c>
      <c r="AJ18" s="138" t="str">
        <f>IF(AND($AX18=440,$AB18="GE"),$S18," ")</f>
        <v xml:space="preserve"> </v>
      </c>
      <c r="AK18" s="138" t="str">
        <f>IF(AND($AX18=380,$AB18="GE"),$S18," ")</f>
        <v xml:space="preserve"> </v>
      </c>
      <c r="AL18" s="138" t="str">
        <f>IF(AND($AX18=220,$AB18="GE"),$S18," ")</f>
        <v xml:space="preserve"> </v>
      </c>
      <c r="AM18" s="138" t="str">
        <f>IF(AND($AX18=127,$AB18="GE"),$S18," ")</f>
        <v xml:space="preserve"> </v>
      </c>
      <c r="AN18" s="138" t="str">
        <f>IF(AND($AX18=440,$AB18="GE+NBL"),$S18," ")</f>
        <v xml:space="preserve"> </v>
      </c>
      <c r="AO18" s="138" t="str">
        <f>IF(AND($AX18=380,$AB18="GE+NBL"),$S18," ")</f>
        <v xml:space="preserve"> </v>
      </c>
      <c r="AP18" s="138" t="str">
        <f>IF(AND($AX18=220,$AB18="GE+NBL"),$S18," ")</f>
        <v xml:space="preserve"> </v>
      </c>
      <c r="AQ18" s="138" t="str">
        <f>IF(AND($AX18=127,$AB18="GE+NBL"),$S18," ")</f>
        <v xml:space="preserve"> </v>
      </c>
      <c r="AR18" s="138" t="str">
        <f>IF(AND($AX18=440,$AB18="GE+NB"),$S18," ")</f>
        <v xml:space="preserve"> </v>
      </c>
      <c r="AS18" s="138" t="str">
        <f>IF(AND($AX18=380,$AB18="GE+NB"),$S18," ")</f>
        <v xml:space="preserve"> </v>
      </c>
      <c r="AT18" s="138" t="str">
        <f>IF(AND($AX18=220,$AB18="GE+NB"),$S18," ")</f>
        <v xml:space="preserve"> </v>
      </c>
      <c r="AU18" s="138" t="str">
        <f>IF(AND($AX18=127,$AB18="GE+NB"),$S18," ")</f>
        <v xml:space="preserve"> </v>
      </c>
      <c r="AV18" s="138">
        <v>1.2</v>
      </c>
      <c r="AW18" s="139">
        <v>2</v>
      </c>
      <c r="AX18" s="139">
        <v>220</v>
      </c>
      <c r="AY18" s="140" t="s">
        <v>2</v>
      </c>
      <c r="AZ18" s="141" t="s">
        <v>351</v>
      </c>
      <c r="BA18" s="141" t="s">
        <v>1</v>
      </c>
      <c r="BB18" s="142" t="s">
        <v>1</v>
      </c>
      <c r="BC18" s="146" t="str">
        <f t="shared" ref="BC18" si="105">IF(((AZ18="P")*AND(BA18="N")*AND(BF18="S")*AND(BE18="S")*AND(BD18="N")*AND(AV18&lt;=3.68)),"RELÉ",(IF(((AZ18="P")*AND(BA18="N")*AND(BE18="S")*AND(BD18="S")),"C-FORNECIDO",(IF(((AZ18="P")*AND(BA18="S")*AND(BD18="S")),"C-FORNECIDO",(IF(((AZ18="D")*AND(BA18="S")*AND(BD18="N")),"I-PROJETAR",(IF(((AZ18="P")*AND(BA18="N")*AND(BE18="S")*AND(AV18&gt;=3.68)*AND(BD18="N")),"I-PROJETAR",(IF(((AZ18="D")*AND(BA18="N")*AND(BE18="S")*AND(AV18&lt;=3.68)*AND(BD18="N")),"DIRETA",(IF(((AZ18="D")*AND(BA18="N")*AND(BE18="S")*AND(AV18&gt;=3.68)*AND(BD18="N")),"I-PROJETAR",IF(((AZ18="T")*AND(BA18="N")),"TOMADA",IF(((AZ18="P")*AND(BA18="N")*AND(BE18="N")),"PAINEL NORMAL",0)))))))))))))))</f>
        <v>TOMADA</v>
      </c>
      <c r="BD18" s="123" t="s">
        <v>1</v>
      </c>
      <c r="BE18" s="123" t="s">
        <v>1</v>
      </c>
      <c r="BF18" s="123" t="s">
        <v>1</v>
      </c>
      <c r="BG18" s="123" t="s">
        <v>347</v>
      </c>
      <c r="BH18" s="143" t="e">
        <f>IF(P18&lt;=#REF!,#REF!,IF(P18&lt;=#REF!,#REF!,IF(P18&lt;=#REF!,#REF!,IF(P18&lt;=#REF!,#REF!,IF(P18&lt;=#REF!,#REF!,IF(P18&lt;=#REF!,#REF!,IF(P18&lt;=#REF!,#REF!,IF(P18&lt;=#REF!,#REF!,IF(P18&lt;=#REF!,#REF!,IF(P18&lt;=#REF!,#REF!,IF(P18&lt;=#REF!,#REF!,IF(P18&lt;=#REF!,#REF!,IF(P18&lt;=#REF!,#REF!,IF(P18&lt;=#REF!,#REF!,IF(P18&lt;=#REF!,#REF!,IF(P18&lt;=#REF!,#REF!,IF(P18&lt;=#REF!,#REF!,IF(P18&lt;=#REF!,#REF!,IF(P18&lt;=#REF!,#REF!,IF(P18&lt;=#REF!,#REF!,IF(P18&lt;=#REF!,#REF!,IF(P18&lt;=#REF!,#REF!,IF(P18&lt;=#REF!,#REF!,IF(P18&lt;=#REF!,#REF!,0))))))))))))))))))))))))</f>
        <v>#REF!</v>
      </c>
      <c r="BI18" s="143" t="e">
        <f>IF(P18&lt;=#REF!,#REF!,IF(P18&lt;=#REF!,#REF!,IF(P18&lt;=#REF!,#REF!,IF(P18&lt;=#REF!,#REF!,IF(P18&lt;=#REF!,#REF!,IF(P18&lt;=#REF!,#REF!,IF(P18&lt;=#REF!,#REF!,IF(P18&lt;=#REF!,#REF!,IF(P18&lt;=#REF!,#REF!,IF(P18&lt;=#REF!,#REF!,IF(P18&lt;=#REF!,#REF!,IF(P18&lt;=#REF!,#REF!,IF(P18&lt;=#REF!,#REF!,IF(P18&lt;=#REF!,#REF!,IF(P18&lt;=#REF!,#REF!,IF(P18&lt;=#REF!,#REF!,IF(P18&lt;=#REF!,#REF!,IF(P18&lt;=#REF!,#REF!,IF(P18&lt;=#REF!,#REF!,IF(P18&lt;=#REF!,#REF!,IF(P18&lt;=#REF!,#REF!,IF(P18&lt;=#REF!,#REF!,IF(P18&lt;=#REF!,#REF!,IF(P18&lt;=#REF!,#REF!,0))))))))))))))))))))))))</f>
        <v>#REF!</v>
      </c>
      <c r="BJ18" s="144">
        <v>0.9</v>
      </c>
    </row>
    <row r="19" spans="1:62" ht="12.75" customHeight="1" x14ac:dyDescent="0.25">
      <c r="A19" s="461" t="s">
        <v>91</v>
      </c>
      <c r="B19" s="461"/>
      <c r="C19" s="461"/>
      <c r="D19" s="461"/>
      <c r="E19" s="461"/>
      <c r="F19" s="461"/>
      <c r="G19" s="461"/>
      <c r="H19" s="461"/>
      <c r="I19" s="461"/>
      <c r="J19" s="461"/>
      <c r="K19" s="461"/>
      <c r="L19" s="461"/>
      <c r="M19" s="461"/>
      <c r="N19" s="154"/>
      <c r="O19" s="155">
        <f>SUM(O4:O18)</f>
        <v>33.110000000000014</v>
      </c>
      <c r="P19" s="155">
        <f>SUM(P4:P18)</f>
        <v>33.110000000000014</v>
      </c>
      <c r="Q19" s="155" t="e">
        <f>SUM(Q4:Q18)</f>
        <v>#REF!</v>
      </c>
      <c r="R19" s="155">
        <f>SUM(R4:R18)</f>
        <v>23.537000000000003</v>
      </c>
      <c r="S19" s="155" t="e">
        <f>SUM(S4:S18)</f>
        <v>#REF!</v>
      </c>
      <c r="T19" s="156"/>
      <c r="U19" s="62" t="s">
        <v>2</v>
      </c>
      <c r="V19" s="12" t="e">
        <f>P19/Q19</f>
        <v>#REF!</v>
      </c>
      <c r="W19" s="159" t="s">
        <v>2</v>
      </c>
      <c r="X19" s="12" t="e">
        <f>S19/Q19</f>
        <v>#REF!</v>
      </c>
      <c r="Y19" s="160" t="s">
        <v>2</v>
      </c>
      <c r="Z19" s="161" t="s">
        <v>2</v>
      </c>
      <c r="AA19" s="157">
        <f>SUM($AA$4:$AA$18)</f>
        <v>564.88799999999992</v>
      </c>
      <c r="AB19" s="158"/>
      <c r="AC19" s="157"/>
      <c r="AD19" s="35"/>
      <c r="AF19" s="11">
        <f t="shared" ref="AF19:AU19" si="106">SUM(AF4:AF18)</f>
        <v>0</v>
      </c>
      <c r="AG19" s="11">
        <f t="shared" si="106"/>
        <v>0</v>
      </c>
      <c r="AH19" s="11">
        <f t="shared" si="106"/>
        <v>1.3333333333333333</v>
      </c>
      <c r="AI19" s="11">
        <f t="shared" si="106"/>
        <v>0</v>
      </c>
      <c r="AJ19" s="11">
        <f t="shared" si="106"/>
        <v>0</v>
      </c>
      <c r="AK19" s="11">
        <f t="shared" si="106"/>
        <v>0</v>
      </c>
      <c r="AL19" s="11">
        <f t="shared" si="106"/>
        <v>0</v>
      </c>
      <c r="AM19" s="11">
        <f t="shared" si="106"/>
        <v>0</v>
      </c>
      <c r="AN19" s="11">
        <f t="shared" si="106"/>
        <v>0</v>
      </c>
      <c r="AO19" s="11">
        <f t="shared" si="106"/>
        <v>0</v>
      </c>
      <c r="AP19" s="11">
        <f t="shared" si="106"/>
        <v>0</v>
      </c>
      <c r="AQ19" s="11">
        <f t="shared" si="106"/>
        <v>0</v>
      </c>
      <c r="AR19" s="11">
        <f t="shared" si="106"/>
        <v>0</v>
      </c>
      <c r="AS19" s="11">
        <f t="shared" si="106"/>
        <v>0</v>
      </c>
      <c r="AT19" s="11">
        <f t="shared" si="106"/>
        <v>0</v>
      </c>
      <c r="AU19" s="11">
        <f t="shared" si="106"/>
        <v>0</v>
      </c>
      <c r="AW19" s="14"/>
      <c r="AX19" s="14"/>
      <c r="BG19" s="11"/>
    </row>
    <row r="20" spans="1:62" ht="12" x14ac:dyDescent="0.25">
      <c r="L20" s="3"/>
      <c r="O20" s="32"/>
      <c r="P20" s="32"/>
      <c r="Q20" s="32"/>
      <c r="R20" s="32"/>
      <c r="S20" s="32"/>
      <c r="T20" s="33"/>
      <c r="U20" s="13"/>
      <c r="V20" s="14"/>
      <c r="W20" s="14"/>
      <c r="X20" s="14"/>
      <c r="Y20" s="13"/>
      <c r="Z20" s="34"/>
      <c r="AA20" s="35"/>
      <c r="AB20" s="36"/>
      <c r="AC20" s="35"/>
      <c r="AD20" s="35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BG20" s="11"/>
    </row>
    <row r="21" spans="1:62" ht="12" x14ac:dyDescent="0.25">
      <c r="K21" s="458" t="s">
        <v>90</v>
      </c>
      <c r="L21" s="458"/>
      <c r="M21" s="458"/>
      <c r="O21" s="32">
        <f t="shared" ref="O21:S22" si="107">SUMIFS(O$4:O$18,$N$4:$N$18,220)</f>
        <v>13.11</v>
      </c>
      <c r="P21" s="32">
        <f t="shared" si="107"/>
        <v>13.11</v>
      </c>
      <c r="Q21" s="32" t="e">
        <f t="shared" si="107"/>
        <v>#REF!</v>
      </c>
      <c r="R21" s="32">
        <f t="shared" si="107"/>
        <v>9.536999999999999</v>
      </c>
      <c r="S21" s="32" t="e">
        <f t="shared" si="107"/>
        <v>#REF!</v>
      </c>
      <c r="T21" s="33"/>
      <c r="U21" s="13"/>
      <c r="V21" s="14"/>
      <c r="W21" s="14"/>
      <c r="X21" s="14"/>
      <c r="Y21" s="13"/>
      <c r="Z21" s="34"/>
      <c r="AA21" s="35"/>
      <c r="AB21" s="36"/>
      <c r="AC21" s="35"/>
      <c r="AD21" s="35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BG21" s="11"/>
    </row>
    <row r="22" spans="1:62" ht="12" x14ac:dyDescent="0.25">
      <c r="K22" s="458" t="s">
        <v>90</v>
      </c>
      <c r="L22" s="458"/>
      <c r="M22" s="458"/>
      <c r="O22" s="32">
        <f t="shared" si="107"/>
        <v>13.11</v>
      </c>
      <c r="P22" s="32">
        <f t="shared" si="107"/>
        <v>13.11</v>
      </c>
      <c r="Q22" s="32" t="e">
        <f t="shared" si="107"/>
        <v>#REF!</v>
      </c>
      <c r="R22" s="32">
        <f t="shared" si="107"/>
        <v>9.536999999999999</v>
      </c>
      <c r="S22" s="32" t="e">
        <f t="shared" si="107"/>
        <v>#REF!</v>
      </c>
      <c r="T22" s="33"/>
      <c r="U22" s="13"/>
      <c r="V22" s="14"/>
      <c r="W22" s="14"/>
      <c r="X22" s="14"/>
      <c r="Y22" s="13"/>
      <c r="Z22" s="34"/>
      <c r="AA22" s="35"/>
      <c r="AB22" s="36"/>
      <c r="AC22" s="35"/>
      <c r="AD22" s="35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BG22" s="11"/>
    </row>
    <row r="23" spans="1:62" ht="12" x14ac:dyDescent="0.25">
      <c r="K23" s="458" t="s">
        <v>155</v>
      </c>
      <c r="L23" s="458"/>
      <c r="M23" s="458"/>
      <c r="O23" s="32">
        <f>SUMIFS(O$4:O$18,$N$4:$N$18,380)</f>
        <v>0</v>
      </c>
      <c r="P23" s="32">
        <f>SUMIFS(P$4:P$18,$N$4:$N$18,380)</f>
        <v>0</v>
      </c>
      <c r="Q23" s="32">
        <f>SUMIFS(Q$4:Q$18,$N$4:$N$18,380)</f>
        <v>0</v>
      </c>
      <c r="R23" s="32">
        <f>SUMIFS(R$4:R$18,$N$4:$N$18,380)</f>
        <v>0</v>
      </c>
      <c r="S23" s="32">
        <f>SUMIFS(S$4:S$18,$N$4:$N$18,380)</f>
        <v>0</v>
      </c>
      <c r="T23" s="33"/>
      <c r="U23" s="13"/>
      <c r="V23" s="14"/>
      <c r="W23" s="14"/>
      <c r="X23" s="14"/>
      <c r="Y23" s="13"/>
      <c r="Z23" s="34"/>
      <c r="AA23" s="35"/>
      <c r="AB23" s="36"/>
      <c r="AC23" s="35"/>
      <c r="AD23" s="35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BG23" s="11"/>
    </row>
    <row r="24" spans="1:62" ht="12" x14ac:dyDescent="0.25">
      <c r="K24" s="458"/>
      <c r="L24" s="458"/>
      <c r="M24" s="458"/>
      <c r="N24" s="26"/>
      <c r="O24" s="26"/>
      <c r="P24" s="26"/>
      <c r="Q24" s="26"/>
      <c r="R24" s="90"/>
      <c r="S24" s="90"/>
      <c r="BG24" s="11"/>
    </row>
    <row r="25" spans="1:62" x14ac:dyDescent="0.2">
      <c r="BG25" s="11"/>
    </row>
    <row r="26" spans="1:62" x14ac:dyDescent="0.2">
      <c r="BG26" s="11"/>
    </row>
    <row r="27" spans="1:62" ht="12.75" customHeight="1" x14ac:dyDescent="0.2">
      <c r="N27" s="16" t="s">
        <v>76</v>
      </c>
      <c r="O27" s="18">
        <f t="shared" ref="O27:S33" si="108">SUMIF($H$4:$H$18,$N27,O$4:O$18)</f>
        <v>24.080000000000009</v>
      </c>
      <c r="P27" s="18">
        <f t="shared" si="108"/>
        <v>24.080000000000009</v>
      </c>
      <c r="Q27" s="18">
        <f t="shared" si="108"/>
        <v>29.799999999999997</v>
      </c>
      <c r="R27" s="18">
        <f t="shared" si="108"/>
        <v>16.855999999999998</v>
      </c>
      <c r="S27" s="18">
        <f t="shared" si="108"/>
        <v>20.859999999999996</v>
      </c>
      <c r="BG27" s="11"/>
    </row>
    <row r="28" spans="1:62" ht="12.75" customHeight="1" x14ac:dyDescent="0.2">
      <c r="N28" s="15" t="s">
        <v>37</v>
      </c>
      <c r="O28" s="18">
        <f t="shared" si="108"/>
        <v>0</v>
      </c>
      <c r="P28" s="18">
        <f t="shared" si="108"/>
        <v>0</v>
      </c>
      <c r="Q28" s="18">
        <f t="shared" si="108"/>
        <v>0</v>
      </c>
      <c r="R28" s="18">
        <f t="shared" si="108"/>
        <v>0</v>
      </c>
      <c r="S28" s="18">
        <f t="shared" si="108"/>
        <v>0</v>
      </c>
      <c r="BG28" s="11"/>
    </row>
    <row r="29" spans="1:62" ht="12.75" customHeight="1" x14ac:dyDescent="0.2">
      <c r="N29" s="15" t="s">
        <v>38</v>
      </c>
      <c r="O29" s="18">
        <f t="shared" si="108"/>
        <v>0</v>
      </c>
      <c r="P29" s="18">
        <f t="shared" si="108"/>
        <v>0</v>
      </c>
      <c r="Q29" s="18">
        <f t="shared" si="108"/>
        <v>0</v>
      </c>
      <c r="R29" s="18">
        <f t="shared" si="108"/>
        <v>0</v>
      </c>
      <c r="S29" s="18">
        <f t="shared" si="108"/>
        <v>0</v>
      </c>
      <c r="BG29" s="11"/>
    </row>
    <row r="30" spans="1:62" ht="12.75" customHeight="1" x14ac:dyDescent="0.2">
      <c r="N30" s="15" t="s">
        <v>36</v>
      </c>
      <c r="O30" s="18">
        <f t="shared" si="108"/>
        <v>0</v>
      </c>
      <c r="P30" s="18">
        <f t="shared" si="108"/>
        <v>0</v>
      </c>
      <c r="Q30" s="18">
        <f t="shared" si="108"/>
        <v>0</v>
      </c>
      <c r="R30" s="18">
        <f t="shared" si="108"/>
        <v>0</v>
      </c>
      <c r="S30" s="18">
        <f t="shared" si="108"/>
        <v>0</v>
      </c>
      <c r="BG30" s="11"/>
    </row>
    <row r="31" spans="1:62" ht="12.75" customHeight="1" x14ac:dyDescent="0.2">
      <c r="N31" s="16" t="s">
        <v>158</v>
      </c>
      <c r="O31" s="18">
        <f t="shared" si="108"/>
        <v>6.03</v>
      </c>
      <c r="P31" s="18">
        <f t="shared" si="108"/>
        <v>6.03</v>
      </c>
      <c r="Q31" s="18" t="e">
        <f t="shared" si="108"/>
        <v>#REF!</v>
      </c>
      <c r="R31" s="18">
        <f t="shared" si="108"/>
        <v>4.2209999999999992</v>
      </c>
      <c r="S31" s="18" t="e">
        <f t="shared" si="108"/>
        <v>#REF!</v>
      </c>
      <c r="BG31" s="11"/>
    </row>
    <row r="32" spans="1:62" ht="12.75" customHeight="1" x14ac:dyDescent="0.2">
      <c r="N32" s="15" t="s">
        <v>41</v>
      </c>
      <c r="O32" s="18">
        <f t="shared" si="108"/>
        <v>3</v>
      </c>
      <c r="P32" s="18">
        <f t="shared" si="108"/>
        <v>3</v>
      </c>
      <c r="Q32" s="18">
        <f t="shared" si="108"/>
        <v>3.5284552845528454</v>
      </c>
      <c r="R32" s="18">
        <f t="shared" si="108"/>
        <v>2.46</v>
      </c>
      <c r="S32" s="18">
        <f t="shared" si="108"/>
        <v>2.8699186991869921</v>
      </c>
      <c r="BG32" s="11"/>
    </row>
    <row r="33" spans="13:59" ht="12.75" customHeight="1" x14ac:dyDescent="0.2">
      <c r="N33" s="15" t="s">
        <v>42</v>
      </c>
      <c r="O33" s="18">
        <f t="shared" si="108"/>
        <v>0</v>
      </c>
      <c r="P33" s="18">
        <f t="shared" si="108"/>
        <v>0</v>
      </c>
      <c r="Q33" s="18">
        <f t="shared" si="108"/>
        <v>0</v>
      </c>
      <c r="R33" s="18">
        <f t="shared" si="108"/>
        <v>0</v>
      </c>
      <c r="S33" s="18">
        <f t="shared" si="108"/>
        <v>0</v>
      </c>
      <c r="BG33" s="11"/>
    </row>
    <row r="34" spans="13:59" ht="12.75" customHeight="1" x14ac:dyDescent="0.2">
      <c r="N34" s="16" t="s">
        <v>47</v>
      </c>
      <c r="O34" s="18">
        <f>SUM(O27:O33)</f>
        <v>33.110000000000014</v>
      </c>
      <c r="P34" s="18">
        <f>SUM(P27:P33)</f>
        <v>33.110000000000014</v>
      </c>
      <c r="Q34" s="18" t="e">
        <f>SUM(Q27:Q33)</f>
        <v>#REF!</v>
      </c>
      <c r="R34" s="18">
        <f>SUM(R27:R33)</f>
        <v>23.536999999999999</v>
      </c>
      <c r="S34" s="18" t="e">
        <f>SUM(S27:S33)</f>
        <v>#REF!</v>
      </c>
      <c r="BG34" s="11"/>
    </row>
    <row r="35" spans="13:59" x14ac:dyDescent="0.2">
      <c r="N35" s="15"/>
      <c r="O35" s="15"/>
      <c r="P35" s="15"/>
      <c r="Q35" s="15"/>
      <c r="R35" s="15"/>
      <c r="S35" s="15"/>
    </row>
    <row r="38" spans="13:59" ht="13.2" customHeight="1" x14ac:dyDescent="0.2">
      <c r="M38" s="455" t="s">
        <v>334</v>
      </c>
      <c r="N38" s="455"/>
      <c r="O38" s="18" t="e">
        <f>#REF!+#REF!+#REF!</f>
        <v>#REF!</v>
      </c>
      <c r="P38" s="18" t="e">
        <f>#REF!+#REF!+#REF!</f>
        <v>#REF!</v>
      </c>
      <c r="Q38" s="18" t="e">
        <f>#REF!+#REF!+#REF!</f>
        <v>#REF!</v>
      </c>
      <c r="R38" s="18" t="e">
        <f>#REF!+#REF!+#REF!</f>
        <v>#REF!</v>
      </c>
      <c r="S38" s="18" t="e">
        <f>#REF!+#REF!+#REF!</f>
        <v>#REF!</v>
      </c>
    </row>
    <row r="39" spans="13:59" ht="11.4" customHeight="1" x14ac:dyDescent="0.2">
      <c r="M39" s="455" t="s">
        <v>333</v>
      </c>
      <c r="N39" s="455"/>
      <c r="O39" s="18" t="e">
        <f>O4+O5+O6+O7+O8+#REF!+#REF!+#REF!+#REF!+O18+O17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</f>
        <v>#REF!</v>
      </c>
      <c r="P39" s="18" t="e">
        <f>P4+P5+P6+P7+P8+#REF!+#REF!+#REF!+#REF!+P18+P17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</f>
        <v>#REF!</v>
      </c>
      <c r="Q39" s="18" t="e">
        <f>Q4+Q5+Q6+Q7+Q8+#REF!+#REF!+#REF!+#REF!+Q18+Q17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</f>
        <v>#REF!</v>
      </c>
      <c r="R39" s="18" t="e">
        <f>R4+R5+R6+R7+R8+#REF!+#REF!+#REF!+#REF!+R18+R17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</f>
        <v>#REF!</v>
      </c>
      <c r="S39" s="18" t="e">
        <f>S4+S5+S6+S7+S8+#REF!+#REF!+#REF!+#REF!+S18+S17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</f>
        <v>#REF!</v>
      </c>
    </row>
    <row r="40" spans="13:59" ht="11.4" customHeight="1" x14ac:dyDescent="0.2">
      <c r="M40" s="455" t="s">
        <v>335</v>
      </c>
      <c r="N40" s="455"/>
      <c r="O40" s="18" t="e">
        <f>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</f>
        <v>#REF!</v>
      </c>
      <c r="P40" s="18" t="e">
        <f>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</f>
        <v>#REF!</v>
      </c>
      <c r="Q40" s="18" t="e">
        <f>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</f>
        <v>#REF!</v>
      </c>
      <c r="R40" s="18" t="e">
        <f>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</f>
        <v>#REF!</v>
      </c>
      <c r="S40" s="18" t="e">
        <f>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</f>
        <v>#REF!</v>
      </c>
    </row>
    <row r="41" spans="13:59" ht="11.4" customHeight="1" x14ac:dyDescent="0.2">
      <c r="M41" s="455" t="s">
        <v>337</v>
      </c>
      <c r="N41" s="455"/>
      <c r="O41" s="18" t="e">
        <f>#REF!+#REF!+#REF!+#REF!+#REF!+#REF!+#REF!+#REF!+#REF!+#REF!+#REF!+#REF!+#REF!+#REF!+#REF!+#REF!+#REF!+#REF!+#REF!+#REF!</f>
        <v>#REF!</v>
      </c>
      <c r="P41" s="18" t="e">
        <f>#REF!+#REF!+#REF!+#REF!+#REF!+#REF!+#REF!+#REF!+#REF!+#REF!+#REF!+#REF!+#REF!+#REF!+#REF!+#REF!+#REF!+#REF!+#REF!+#REF!</f>
        <v>#REF!</v>
      </c>
      <c r="Q41" s="18" t="e">
        <f>#REF!+#REF!+#REF!+#REF!+#REF!+#REF!+#REF!+#REF!+#REF!+#REF!+#REF!+#REF!+#REF!+#REF!+#REF!+#REF!+#REF!+#REF!+#REF!+#REF!</f>
        <v>#REF!</v>
      </c>
      <c r="R41" s="18" t="e">
        <f>#REF!+#REF!+#REF!+#REF!+#REF!+#REF!+#REF!+#REF!+#REF!+#REF!+#REF!+#REF!+#REF!+#REF!+#REF!+#REF!+#REF!+#REF!+#REF!+#REF!</f>
        <v>#REF!</v>
      </c>
      <c r="S41" s="18" t="e">
        <f>#REF!+#REF!+#REF!+#REF!+#REF!+#REF!+#REF!+#REF!+#REF!+#REF!+#REF!+#REF!+#REF!+#REF!+#REF!+#REF!+#REF!+#REF!+#REF!+#REF!</f>
        <v>#REF!</v>
      </c>
    </row>
    <row r="42" spans="13:59" ht="11.4" customHeight="1" x14ac:dyDescent="0.2">
      <c r="M42" s="455" t="s">
        <v>336</v>
      </c>
      <c r="N42" s="455"/>
      <c r="O42" s="18" t="e">
        <f>#REF!</f>
        <v>#REF!</v>
      </c>
      <c r="P42" s="18" t="e">
        <f>#REF!</f>
        <v>#REF!</v>
      </c>
      <c r="Q42" s="18" t="e">
        <f>#REF!</f>
        <v>#REF!</v>
      </c>
      <c r="R42" s="18" t="e">
        <f>#REF!</f>
        <v>#REF!</v>
      </c>
      <c r="S42" s="18" t="e">
        <f>#REF!</f>
        <v>#REF!</v>
      </c>
    </row>
    <row r="74" spans="10:11" x14ac:dyDescent="0.2">
      <c r="J74" s="60"/>
      <c r="K74" s="60"/>
    </row>
    <row r="75" spans="10:11" x14ac:dyDescent="0.2">
      <c r="J75" s="60"/>
      <c r="K75" s="60"/>
    </row>
    <row r="76" spans="10:11" x14ac:dyDescent="0.2">
      <c r="J76" s="60"/>
      <c r="K76" s="60"/>
    </row>
    <row r="77" spans="10:11" x14ac:dyDescent="0.2">
      <c r="J77" s="60"/>
      <c r="K77" s="60"/>
    </row>
    <row r="78" spans="10:11" x14ac:dyDescent="0.2">
      <c r="J78" s="60"/>
      <c r="K78" s="60"/>
    </row>
    <row r="79" spans="10:11" x14ac:dyDescent="0.2">
      <c r="J79" s="60"/>
      <c r="K79" s="60"/>
    </row>
    <row r="80" spans="10:11" x14ac:dyDescent="0.2">
      <c r="J80" s="60"/>
      <c r="K80" s="60"/>
    </row>
    <row r="81" spans="10:11" x14ac:dyDescent="0.2">
      <c r="J81" s="60"/>
      <c r="K81" s="60"/>
    </row>
    <row r="82" spans="10:11" x14ac:dyDescent="0.2">
      <c r="J82" s="60"/>
      <c r="K82" s="60"/>
    </row>
    <row r="83" spans="10:11" x14ac:dyDescent="0.2">
      <c r="J83" s="60"/>
      <c r="K83" s="60"/>
    </row>
    <row r="84" spans="10:11" x14ac:dyDescent="0.2">
      <c r="J84" s="60"/>
      <c r="K84" s="60"/>
    </row>
    <row r="85" spans="10:11" x14ac:dyDescent="0.2">
      <c r="J85" s="60"/>
      <c r="K85" s="60"/>
    </row>
    <row r="86" spans="10:11" x14ac:dyDescent="0.2">
      <c r="J86" s="60"/>
      <c r="K86" s="60"/>
    </row>
    <row r="87" spans="10:11" x14ac:dyDescent="0.2">
      <c r="J87" s="60"/>
      <c r="K87" s="60"/>
    </row>
    <row r="88" spans="10:11" x14ac:dyDescent="0.2">
      <c r="J88" s="60"/>
      <c r="K88" s="60"/>
    </row>
    <row r="89" spans="10:11" x14ac:dyDescent="0.2">
      <c r="J89" s="60"/>
      <c r="K89" s="60"/>
    </row>
    <row r="90" spans="10:11" x14ac:dyDescent="0.2">
      <c r="J90" s="60"/>
      <c r="K90" s="60"/>
    </row>
    <row r="91" spans="10:11" x14ac:dyDescent="0.2">
      <c r="J91" s="60"/>
      <c r="K91" s="60"/>
    </row>
    <row r="92" spans="10:11" x14ac:dyDescent="0.2">
      <c r="J92" s="60"/>
      <c r="K92" s="60"/>
    </row>
  </sheetData>
  <autoFilter ref="A3:BJ19" xr:uid="{01D6F03A-6592-4B6A-95EF-6300EFF03EE5}"/>
  <mergeCells count="41">
    <mergeCell ref="BC2:BI2"/>
    <mergeCell ref="Z2:Z3"/>
    <mergeCell ref="T2:T3"/>
    <mergeCell ref="Q2:Q3"/>
    <mergeCell ref="R2:R3"/>
    <mergeCell ref="AA2:AA3"/>
    <mergeCell ref="AB2:AB3"/>
    <mergeCell ref="AC2:AC3"/>
    <mergeCell ref="AV2:BA2"/>
    <mergeCell ref="U2:U3"/>
    <mergeCell ref="V2:V3"/>
    <mergeCell ref="W2:W3"/>
    <mergeCell ref="X2:X3"/>
    <mergeCell ref="Y2:Y3"/>
    <mergeCell ref="S2:S3"/>
    <mergeCell ref="AG2:AG3"/>
    <mergeCell ref="AF2:AF3"/>
    <mergeCell ref="P2:P3"/>
    <mergeCell ref="N2:N3"/>
    <mergeCell ref="K21:M21"/>
    <mergeCell ref="O2:O3"/>
    <mergeCell ref="A19:M19"/>
    <mergeCell ref="H2:H3"/>
    <mergeCell ref="L2:L3"/>
    <mergeCell ref="M2:M3"/>
    <mergeCell ref="A2:A3"/>
    <mergeCell ref="J2:J3"/>
    <mergeCell ref="K2:K3"/>
    <mergeCell ref="B2:B3"/>
    <mergeCell ref="A1:AC1"/>
    <mergeCell ref="M41:N41"/>
    <mergeCell ref="M42:N42"/>
    <mergeCell ref="M38:N38"/>
    <mergeCell ref="C2:F2"/>
    <mergeCell ref="G2:G3"/>
    <mergeCell ref="I2:I3"/>
    <mergeCell ref="M39:N39"/>
    <mergeCell ref="M40:N40"/>
    <mergeCell ref="K24:M24"/>
    <mergeCell ref="K22:M22"/>
    <mergeCell ref="K23:M23"/>
  </mergeCells>
  <phoneticPr fontId="19" type="noConversion"/>
  <dataValidations disablePrompts="1" count="2">
    <dataValidation type="list" allowBlank="1" showInputMessage="1" showErrorMessage="1" sqref="AB19:AB23" xr:uid="{FDD7E2C0-8E29-4A45-99D4-90FF1CD775EB}">
      <formula1>#REF!</formula1>
    </dataValidation>
    <dataValidation type="list" allowBlank="1" showInputMessage="1" showErrorMessage="1" sqref="L4:M18" xr:uid="{EF56ED48-7F13-4E8E-A61D-8F80F71DAAEC}">
      <formula1>Equipment_Type</formula1>
    </dataValidation>
  </dataValidations>
  <pageMargins left="1.1811023622047245" right="0.21263020833333332" top="0.87352941176470589" bottom="0.78740157480314965" header="0" footer="0.31496062992125984"/>
  <pageSetup paperSize="8" scale="72" fitToHeight="0" orientation="landscape" r:id="rId1"/>
  <headerFooter>
    <oddHeader xml:space="preserve">&amp;L&amp;G
Lista de Cargas
Projeto N°: 2021-00012&amp;R&amp;G   
783-E-22-004
Revisão: 02
Projeto: Cabine de Pesagem de Pastas
</oddHeader>
    <oddFooter xml:space="preserve">&amp;L&amp;"Arial,Regular"NKBR1-0000-EM-TMP-003, rev.01&amp;R&amp;"Arial,Regular"&amp;10
&amp;P/&amp;N </oddFooter>
  </headerFooter>
  <ignoredErrors>
    <ignoredError sqref="E12:E15 F12:F16 F4:F11" numberStoredAsText="1"/>
    <ignoredError sqref="Y4:Y16 Y18 W18 V18 V4:V16 W4:W16" unlockedFormula="1"/>
  </ignoredErrors>
  <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3C351-D6A6-4B39-B477-7A1249D25090}">
  <sheetPr>
    <pageSetUpPr fitToPage="1"/>
  </sheetPr>
  <dimension ref="A1:AC186"/>
  <sheetViews>
    <sheetView zoomScale="70" zoomScaleNormal="70" zoomScaleSheetLayoutView="70" zoomScalePageLayoutView="70" workbookViewId="0">
      <selection activeCell="P36" sqref="P36:U36"/>
    </sheetView>
  </sheetViews>
  <sheetFormatPr defaultColWidth="9.109375" defaultRowHeight="13.2" x14ac:dyDescent="0.25"/>
  <cols>
    <col min="1" max="1" width="8.109375" style="228" customWidth="1"/>
    <col min="2" max="2" width="13.5546875" style="388" customWidth="1"/>
    <col min="3" max="3" width="16.88671875" style="389" customWidth="1"/>
    <col min="4" max="4" width="27.33203125" style="228" customWidth="1"/>
    <col min="5" max="5" width="14.5546875" style="228" customWidth="1"/>
    <col min="6" max="7" width="16.44140625" style="228" customWidth="1"/>
    <col min="8" max="8" width="13.88671875" style="228" customWidth="1"/>
    <col min="9" max="9" width="11.44140625" style="251" customWidth="1"/>
    <col min="10" max="11" width="13.44140625" style="251" customWidth="1"/>
    <col min="12" max="14" width="13.88671875" style="396" customWidth="1"/>
    <col min="15" max="15" width="13.44140625" style="396" customWidth="1"/>
    <col min="16" max="16" width="12.109375" style="396" customWidth="1"/>
    <col min="17" max="17" width="12.44140625" style="396" customWidth="1"/>
    <col min="18" max="18" width="11.33203125" style="396" customWidth="1"/>
    <col min="19" max="19" width="12.88671875" style="396" customWidth="1"/>
    <col min="20" max="20" width="14.6640625" style="396" customWidth="1"/>
    <col min="21" max="21" width="14" style="396" customWidth="1"/>
    <col min="22" max="22" width="15.109375" style="396" customWidth="1"/>
    <col min="23" max="23" width="15.6640625" style="396" customWidth="1"/>
    <col min="24" max="24" width="29" style="396" customWidth="1"/>
    <col min="25" max="25" width="17" style="228" customWidth="1"/>
    <col min="26" max="26" width="26" style="388" customWidth="1"/>
    <col min="27" max="27" width="9.109375" style="228"/>
    <col min="28" max="28" width="14.5546875" style="342" hidden="1" customWidth="1"/>
    <col min="29" max="29" width="16.88671875" style="342" hidden="1" customWidth="1"/>
    <col min="30" max="16384" width="9.109375" style="228"/>
  </cols>
  <sheetData>
    <row r="1" spans="1:29" ht="72" customHeight="1" thickBot="1" x14ac:dyDescent="0.3">
      <c r="A1" s="475" t="s">
        <v>894</v>
      </c>
      <c r="B1" s="476"/>
      <c r="C1" s="476"/>
      <c r="D1" s="476"/>
      <c r="E1" s="476"/>
      <c r="F1" s="476"/>
      <c r="G1" s="476"/>
      <c r="H1" s="476"/>
      <c r="I1" s="476"/>
      <c r="J1" s="476"/>
      <c r="K1" s="476"/>
      <c r="L1" s="476"/>
      <c r="M1" s="476"/>
      <c r="N1" s="476"/>
      <c r="O1" s="476"/>
      <c r="P1" s="476"/>
      <c r="Q1" s="476"/>
      <c r="R1" s="476"/>
      <c r="S1" s="476"/>
      <c r="T1" s="476"/>
      <c r="U1" s="476"/>
      <c r="V1" s="476"/>
      <c r="W1" s="476"/>
      <c r="X1" s="476"/>
      <c r="Y1" s="476"/>
      <c r="Z1" s="477"/>
    </row>
    <row r="2" spans="1:29" ht="5.0999999999999996" customHeight="1" thickBot="1" x14ac:dyDescent="0.3">
      <c r="A2" s="343"/>
      <c r="B2" s="344"/>
      <c r="C2" s="344"/>
      <c r="D2" s="344"/>
      <c r="E2" s="344"/>
      <c r="F2" s="344"/>
      <c r="G2" s="344"/>
      <c r="H2" s="344"/>
      <c r="I2" s="229"/>
      <c r="J2" s="229"/>
      <c r="K2" s="229"/>
      <c r="L2" s="345"/>
      <c r="M2" s="345"/>
      <c r="N2" s="345"/>
      <c r="O2" s="345"/>
      <c r="P2" s="345"/>
      <c r="Q2" s="345"/>
      <c r="R2" s="345"/>
      <c r="S2" s="345"/>
      <c r="T2" s="345"/>
      <c r="U2" s="345"/>
      <c r="V2" s="345"/>
      <c r="W2" s="345"/>
      <c r="X2" s="345"/>
      <c r="Y2" s="344"/>
      <c r="Z2" s="346"/>
    </row>
    <row r="3" spans="1:29" ht="21" customHeight="1" x14ac:dyDescent="0.25">
      <c r="A3" s="482" t="s">
        <v>635</v>
      </c>
      <c r="B3" s="483"/>
      <c r="C3" s="484"/>
      <c r="D3" s="483"/>
      <c r="E3" s="483"/>
      <c r="F3" s="483"/>
      <c r="G3" s="483"/>
      <c r="H3" s="483"/>
      <c r="I3" s="483"/>
      <c r="J3" s="483"/>
      <c r="K3" s="483"/>
      <c r="L3" s="483"/>
      <c r="M3" s="483"/>
      <c r="N3" s="483"/>
      <c r="O3" s="483"/>
      <c r="P3" s="483"/>
      <c r="Q3" s="483"/>
      <c r="R3" s="483"/>
      <c r="S3" s="483"/>
      <c r="T3" s="483"/>
      <c r="U3" s="478" t="s">
        <v>846</v>
      </c>
      <c r="V3" s="478"/>
      <c r="W3" s="478"/>
      <c r="X3" s="478"/>
      <c r="Y3" s="478"/>
      <c r="Z3" s="479"/>
    </row>
    <row r="4" spans="1:29" ht="21" customHeight="1" thickBot="1" x14ac:dyDescent="0.3">
      <c r="A4" s="485" t="s">
        <v>841</v>
      </c>
      <c r="B4" s="486"/>
      <c r="C4" s="487"/>
      <c r="D4" s="486"/>
      <c r="E4" s="486"/>
      <c r="F4" s="486"/>
      <c r="G4" s="486"/>
      <c r="H4" s="486"/>
      <c r="I4" s="486"/>
      <c r="J4" s="486"/>
      <c r="K4" s="486"/>
      <c r="L4" s="486"/>
      <c r="M4" s="486"/>
      <c r="N4" s="486"/>
      <c r="O4" s="486"/>
      <c r="P4" s="486"/>
      <c r="Q4" s="486"/>
      <c r="R4" s="486"/>
      <c r="S4" s="486"/>
      <c r="T4" s="486"/>
      <c r="U4" s="480" t="s">
        <v>845</v>
      </c>
      <c r="V4" s="480"/>
      <c r="W4" s="480"/>
      <c r="X4" s="480"/>
      <c r="Y4" s="480"/>
      <c r="Z4" s="481"/>
    </row>
    <row r="5" spans="1:29" ht="5.0999999999999996" customHeight="1" thickBot="1" x14ac:dyDescent="0.3">
      <c r="A5" s="347"/>
      <c r="B5" s="348"/>
      <c r="C5" s="349"/>
      <c r="D5" s="348"/>
      <c r="E5" s="348"/>
      <c r="F5" s="348"/>
      <c r="G5" s="348"/>
      <c r="H5" s="348"/>
      <c r="I5" s="230"/>
      <c r="J5" s="230"/>
      <c r="K5" s="230"/>
      <c r="L5" s="350"/>
      <c r="M5" s="350"/>
      <c r="N5" s="350"/>
      <c r="O5" s="350"/>
      <c r="P5" s="350"/>
      <c r="Q5" s="350"/>
      <c r="R5" s="350"/>
      <c r="S5" s="350"/>
      <c r="T5" s="350"/>
      <c r="U5" s="351"/>
      <c r="V5" s="351"/>
      <c r="W5" s="351"/>
      <c r="X5" s="351"/>
      <c r="Y5" s="352"/>
      <c r="Z5" s="353"/>
    </row>
    <row r="6" spans="1:29" ht="9.9" customHeight="1" thickBot="1" x14ac:dyDescent="0.3">
      <c r="A6" s="488"/>
      <c r="B6" s="489"/>
      <c r="C6" s="489"/>
      <c r="D6" s="489"/>
      <c r="E6" s="489"/>
      <c r="F6" s="489"/>
      <c r="G6" s="489"/>
      <c r="H6" s="489"/>
      <c r="I6" s="489"/>
      <c r="J6" s="489"/>
      <c r="K6" s="489"/>
      <c r="L6" s="489"/>
      <c r="M6" s="489"/>
      <c r="N6" s="489"/>
      <c r="O6" s="489"/>
      <c r="P6" s="489"/>
      <c r="Q6" s="489"/>
      <c r="R6" s="489"/>
      <c r="S6" s="489"/>
      <c r="T6" s="489"/>
      <c r="U6" s="489"/>
      <c r="V6" s="489"/>
      <c r="W6" s="489"/>
      <c r="X6" s="489"/>
      <c r="Y6" s="489"/>
      <c r="Z6" s="490"/>
    </row>
    <row r="7" spans="1:29" ht="21" customHeight="1" thickBot="1" x14ac:dyDescent="0.3">
      <c r="A7" s="491" t="s">
        <v>636</v>
      </c>
      <c r="B7" s="492"/>
      <c r="C7" s="493"/>
      <c r="D7" s="492"/>
      <c r="E7" s="492"/>
      <c r="F7" s="492"/>
      <c r="G7" s="492"/>
      <c r="H7" s="492"/>
      <c r="I7" s="494"/>
      <c r="J7" s="495" t="s">
        <v>637</v>
      </c>
      <c r="K7" s="496"/>
      <c r="L7" s="496"/>
      <c r="M7" s="496"/>
      <c r="N7" s="496"/>
      <c r="O7" s="496"/>
      <c r="P7" s="496"/>
      <c r="Q7" s="496"/>
      <c r="R7" s="496"/>
      <c r="S7" s="496"/>
      <c r="T7" s="496"/>
      <c r="U7" s="496"/>
      <c r="V7" s="496"/>
      <c r="W7" s="496"/>
      <c r="X7" s="496"/>
      <c r="Y7" s="496"/>
      <c r="Z7" s="497"/>
    </row>
    <row r="8" spans="1:29" ht="14.25" customHeight="1" x14ac:dyDescent="0.25">
      <c r="A8" s="231" t="s">
        <v>843</v>
      </c>
      <c r="B8" s="232"/>
      <c r="C8" s="354"/>
      <c r="D8" s="232"/>
      <c r="E8" s="232"/>
      <c r="F8" s="232"/>
      <c r="G8" s="232"/>
      <c r="H8" s="232"/>
      <c r="I8" s="233"/>
      <c r="J8" s="234" t="s">
        <v>847</v>
      </c>
      <c r="K8" s="234"/>
      <c r="L8" s="355"/>
      <c r="M8" s="355"/>
      <c r="N8" s="356"/>
      <c r="O8" s="356"/>
      <c r="P8" s="356"/>
      <c r="Q8" s="356"/>
      <c r="R8" s="356"/>
      <c r="S8" s="356"/>
      <c r="T8" s="356"/>
      <c r="U8" s="356"/>
      <c r="V8" s="356"/>
      <c r="W8" s="356"/>
      <c r="X8" s="356"/>
      <c r="Y8" s="357"/>
      <c r="Z8" s="358"/>
      <c r="AB8" s="359"/>
    </row>
    <row r="9" spans="1:29" ht="14.25" customHeight="1" x14ac:dyDescent="0.25">
      <c r="A9" s="235" t="s">
        <v>844</v>
      </c>
      <c r="B9" s="268"/>
      <c r="C9" s="360"/>
      <c r="D9" s="361"/>
      <c r="E9" s="361"/>
      <c r="F9" s="361"/>
      <c r="G9" s="361"/>
      <c r="H9" s="361"/>
      <c r="I9" s="236"/>
      <c r="J9" s="237" t="s">
        <v>638</v>
      </c>
      <c r="K9" s="237"/>
      <c r="L9" s="362"/>
      <c r="M9" s="362"/>
      <c r="N9" s="363"/>
      <c r="O9" s="363"/>
      <c r="P9" s="363"/>
      <c r="Q9" s="362"/>
      <c r="R9" s="362"/>
      <c r="S9" s="363"/>
      <c r="T9" s="363"/>
      <c r="U9" s="363"/>
      <c r="V9" s="363"/>
      <c r="W9" s="363"/>
      <c r="X9" s="363"/>
      <c r="Y9" s="364"/>
      <c r="Z9" s="365"/>
    </row>
    <row r="10" spans="1:29" ht="14.25" customHeight="1" x14ac:dyDescent="0.25">
      <c r="A10" s="235" t="s">
        <v>639</v>
      </c>
      <c r="B10" s="268"/>
      <c r="C10" s="360"/>
      <c r="D10" s="361"/>
      <c r="E10" s="361"/>
      <c r="F10" s="361"/>
      <c r="G10" s="361"/>
      <c r="H10" s="361"/>
      <c r="I10" s="236"/>
      <c r="J10" s="237" t="s">
        <v>402</v>
      </c>
      <c r="K10" s="237"/>
      <c r="L10" s="362"/>
      <c r="M10" s="362"/>
      <c r="N10" s="363"/>
      <c r="O10" s="363"/>
      <c r="P10" s="363"/>
      <c r="Q10" s="362"/>
      <c r="R10" s="362"/>
      <c r="S10" s="363"/>
      <c r="T10" s="363"/>
      <c r="U10" s="363"/>
      <c r="V10" s="363"/>
      <c r="W10" s="363"/>
      <c r="X10" s="363"/>
      <c r="Y10" s="364"/>
      <c r="Z10" s="365"/>
      <c r="AB10" s="359"/>
    </row>
    <row r="11" spans="1:29" ht="14.25" customHeight="1" x14ac:dyDescent="0.25">
      <c r="A11" s="235" t="s">
        <v>900</v>
      </c>
      <c r="B11" s="268"/>
      <c r="C11" s="360"/>
      <c r="D11" s="268"/>
      <c r="E11" s="268"/>
      <c r="F11" s="268"/>
      <c r="G11" s="268"/>
      <c r="H11" s="268"/>
      <c r="I11" s="236"/>
      <c r="J11" s="238" t="s">
        <v>403</v>
      </c>
      <c r="K11" s="238"/>
      <c r="L11" s="362"/>
      <c r="M11" s="362"/>
      <c r="N11" s="363"/>
      <c r="O11" s="363"/>
      <c r="P11" s="363"/>
      <c r="Q11" s="362"/>
      <c r="R11" s="362"/>
      <c r="S11" s="363"/>
      <c r="T11" s="363"/>
      <c r="U11" s="363"/>
      <c r="V11" s="363"/>
      <c r="W11" s="363"/>
      <c r="X11" s="363"/>
      <c r="Y11" s="364"/>
      <c r="Z11" s="365"/>
    </row>
    <row r="12" spans="1:29" ht="14.25" customHeight="1" x14ac:dyDescent="0.25">
      <c r="A12" s="414" t="s">
        <v>901</v>
      </c>
      <c r="B12" s="415"/>
      <c r="C12" s="416"/>
      <c r="D12" s="417"/>
      <c r="E12" s="417"/>
      <c r="F12" s="417"/>
      <c r="G12" s="417"/>
      <c r="H12" s="417"/>
      <c r="I12" s="236"/>
      <c r="J12" s="238" t="s">
        <v>404</v>
      </c>
      <c r="K12" s="238"/>
      <c r="L12" s="362"/>
      <c r="M12" s="362"/>
      <c r="N12" s="363"/>
      <c r="O12" s="363"/>
      <c r="P12" s="363"/>
      <c r="Q12" s="270"/>
      <c r="R12" s="362"/>
      <c r="S12" s="363"/>
      <c r="T12" s="363"/>
      <c r="U12" s="363"/>
      <c r="V12" s="363"/>
      <c r="W12" s="363"/>
      <c r="X12" s="363"/>
      <c r="Y12" s="364"/>
      <c r="Z12" s="365"/>
    </row>
    <row r="13" spans="1:29" ht="14.25" customHeight="1" thickBot="1" x14ac:dyDescent="0.3">
      <c r="A13" s="239"/>
      <c r="B13" s="268"/>
      <c r="C13" s="360"/>
      <c r="D13" s="361"/>
      <c r="E13" s="361"/>
      <c r="F13" s="361"/>
      <c r="G13" s="361"/>
      <c r="H13" s="361"/>
      <c r="I13" s="236"/>
      <c r="J13" s="238" t="s">
        <v>434</v>
      </c>
      <c r="K13" s="238"/>
      <c r="L13" s="362"/>
      <c r="M13" s="362"/>
      <c r="N13" s="363"/>
      <c r="O13" s="363"/>
      <c r="P13" s="363"/>
      <c r="Q13" s="270"/>
      <c r="R13" s="362"/>
      <c r="S13" s="363"/>
      <c r="T13" s="363"/>
      <c r="U13" s="363"/>
      <c r="V13" s="363"/>
      <c r="W13" s="363"/>
      <c r="X13" s="363"/>
      <c r="Y13" s="364"/>
      <c r="Z13" s="365"/>
    </row>
    <row r="14" spans="1:29" ht="14.25" customHeight="1" thickBot="1" x14ac:dyDescent="0.3">
      <c r="A14" s="240"/>
      <c r="B14" s="241"/>
      <c r="C14" s="366"/>
      <c r="D14" s="367"/>
      <c r="E14" s="367"/>
      <c r="F14" s="367"/>
      <c r="G14" s="367"/>
      <c r="H14" s="367"/>
      <c r="I14" s="242"/>
      <c r="J14" s="243" t="s">
        <v>435</v>
      </c>
      <c r="K14" s="243"/>
      <c r="L14" s="368"/>
      <c r="M14" s="368"/>
      <c r="N14" s="369"/>
      <c r="O14" s="369"/>
      <c r="P14" s="369"/>
      <c r="Q14" s="369"/>
      <c r="R14" s="369"/>
      <c r="S14" s="369"/>
      <c r="T14" s="369"/>
      <c r="U14" s="369"/>
      <c r="V14" s="369"/>
      <c r="W14" s="369"/>
      <c r="X14" s="369"/>
      <c r="Y14" s="370"/>
      <c r="Z14" s="371"/>
    </row>
    <row r="15" spans="1:29" ht="9.9" customHeight="1" thickBot="1" x14ac:dyDescent="0.3">
      <c r="A15" s="472"/>
      <c r="B15" s="473"/>
      <c r="C15" s="473"/>
      <c r="D15" s="473"/>
      <c r="E15" s="473"/>
      <c r="F15" s="473"/>
      <c r="G15" s="473"/>
      <c r="H15" s="473"/>
      <c r="I15" s="473"/>
      <c r="J15" s="473"/>
      <c r="K15" s="473"/>
      <c r="L15" s="473"/>
      <c r="M15" s="473"/>
      <c r="N15" s="473"/>
      <c r="O15" s="473"/>
      <c r="P15" s="473"/>
      <c r="Q15" s="473"/>
      <c r="R15" s="473"/>
      <c r="S15" s="473"/>
      <c r="T15" s="473"/>
      <c r="U15" s="473"/>
      <c r="V15" s="473"/>
      <c r="W15" s="473"/>
      <c r="X15" s="473"/>
      <c r="Y15" s="473"/>
      <c r="Z15" s="474"/>
      <c r="AB15" s="372"/>
      <c r="AC15" s="372"/>
    </row>
    <row r="16" spans="1:29" ht="66.599999999999994" thickBot="1" x14ac:dyDescent="0.3">
      <c r="A16" s="373" t="s">
        <v>634</v>
      </c>
      <c r="B16" s="373" t="s">
        <v>647</v>
      </c>
      <c r="C16" s="373" t="s">
        <v>632</v>
      </c>
      <c r="D16" s="373" t="s">
        <v>646</v>
      </c>
      <c r="E16" s="373" t="s">
        <v>161</v>
      </c>
      <c r="F16" s="373" t="s">
        <v>642</v>
      </c>
      <c r="G16" s="373" t="s">
        <v>643</v>
      </c>
      <c r="H16" s="373" t="s">
        <v>406</v>
      </c>
      <c r="I16" s="244" t="s">
        <v>633</v>
      </c>
      <c r="J16" s="244" t="s">
        <v>629</v>
      </c>
      <c r="K16" s="244" t="s">
        <v>630</v>
      </c>
      <c r="L16" s="372" t="s">
        <v>627</v>
      </c>
      <c r="M16" s="372" t="s">
        <v>628</v>
      </c>
      <c r="N16" s="372" t="s">
        <v>407</v>
      </c>
      <c r="O16" s="372" t="s">
        <v>21</v>
      </c>
      <c r="P16" s="372" t="s">
        <v>22</v>
      </c>
      <c r="Q16" s="372" t="s">
        <v>819</v>
      </c>
      <c r="R16" s="372" t="s">
        <v>408</v>
      </c>
      <c r="S16" s="372" t="s">
        <v>631</v>
      </c>
      <c r="T16" s="372" t="s">
        <v>817</v>
      </c>
      <c r="U16" s="372" t="s">
        <v>409</v>
      </c>
      <c r="V16" s="372" t="s">
        <v>818</v>
      </c>
      <c r="W16" s="245" t="s">
        <v>866</v>
      </c>
      <c r="X16" s="372" t="s">
        <v>850</v>
      </c>
      <c r="Y16" s="373" t="s">
        <v>410</v>
      </c>
      <c r="Z16" s="373" t="s">
        <v>411</v>
      </c>
      <c r="AB16" s="245" t="s">
        <v>640</v>
      </c>
      <c r="AC16" s="245" t="s">
        <v>641</v>
      </c>
    </row>
    <row r="17" spans="1:29" ht="31.5" customHeight="1" x14ac:dyDescent="0.25">
      <c r="A17" s="374">
        <v>0</v>
      </c>
      <c r="B17" s="375" t="s">
        <v>648</v>
      </c>
      <c r="C17" s="375" t="s">
        <v>649</v>
      </c>
      <c r="D17" s="376" t="s">
        <v>650</v>
      </c>
      <c r="E17" s="246" t="s">
        <v>651</v>
      </c>
      <c r="F17" s="246">
        <v>380</v>
      </c>
      <c r="G17" s="246">
        <v>3</v>
      </c>
      <c r="H17" s="377">
        <v>5</v>
      </c>
      <c r="I17" s="227">
        <f>ROUNDDOWN(J17/0.7457,2)</f>
        <v>5.36</v>
      </c>
      <c r="J17" s="227">
        <v>4</v>
      </c>
      <c r="K17" s="227">
        <v>4</v>
      </c>
      <c r="L17" s="246">
        <f t="shared" ref="L17:L48" si="0">(J17/AC17)*AB17</f>
        <v>4</v>
      </c>
      <c r="M17" s="378">
        <f>SQRT((N17^2)-(L17^2))</f>
        <v>2.895950007189283</v>
      </c>
      <c r="N17" s="378">
        <f>L17/P17</f>
        <v>4.9382716049382713</v>
      </c>
      <c r="O17" s="246">
        <v>88.5</v>
      </c>
      <c r="P17" s="246">
        <v>0.81</v>
      </c>
      <c r="Q17" s="379">
        <f t="shared" ref="Q17:Q48" si="1">IF((((G17=3))),(N17*1000)/((SQRT(3)*F17)),(IF(((G17=1)),(N17*1000)/((F17)),(IF(((G17=2)),(N17*1000)/((F17)),0)))))</f>
        <v>7.5029274748489385</v>
      </c>
      <c r="R17" s="246">
        <v>0.6</v>
      </c>
      <c r="S17" s="246">
        <f t="shared" ref="S17:S41" si="2">L17*R17</f>
        <v>2.4</v>
      </c>
      <c r="T17" s="246">
        <f t="shared" ref="T17:T41" si="3">M17*R17</f>
        <v>1.7375700043135698</v>
      </c>
      <c r="U17" s="246">
        <f t="shared" ref="U17:U41" si="4">N17*R17</f>
        <v>2.9629629629629628</v>
      </c>
      <c r="V17" s="246">
        <f t="shared" ref="V17:V77" si="5">U17*1000/(380*SQRT(3))</f>
        <v>4.5017564849093628</v>
      </c>
      <c r="W17" s="246" t="s">
        <v>867</v>
      </c>
      <c r="X17" s="380" t="s">
        <v>857</v>
      </c>
      <c r="Y17" s="226">
        <f>U17/1000</f>
        <v>2.9629629629629628E-3</v>
      </c>
      <c r="Z17" s="247" t="s">
        <v>644</v>
      </c>
      <c r="AB17" s="381">
        <v>1</v>
      </c>
      <c r="AC17" s="247">
        <v>1</v>
      </c>
    </row>
    <row r="18" spans="1:29" ht="31.5" customHeight="1" x14ac:dyDescent="0.25">
      <c r="A18" s="382">
        <v>1</v>
      </c>
      <c r="B18" s="248" t="s">
        <v>648</v>
      </c>
      <c r="C18" s="248" t="s">
        <v>649</v>
      </c>
      <c r="D18" s="383" t="s">
        <v>652</v>
      </c>
      <c r="E18" s="248" t="s">
        <v>653</v>
      </c>
      <c r="F18" s="248">
        <v>380</v>
      </c>
      <c r="G18" s="248">
        <v>3</v>
      </c>
      <c r="H18" s="384">
        <v>7</v>
      </c>
      <c r="I18" s="249">
        <f t="shared" ref="I18:I78" si="6">ROUNDDOWN(J18/0.7457,2)</f>
        <v>10.050000000000001</v>
      </c>
      <c r="J18" s="249">
        <v>7.5</v>
      </c>
      <c r="K18" s="249">
        <v>7.5</v>
      </c>
      <c r="L18" s="248">
        <f t="shared" si="0"/>
        <v>8.3333333333333339</v>
      </c>
      <c r="M18" s="385">
        <f t="shared" ref="M18:M78" si="7">SQRT((N18^2)-(L18^2))</f>
        <v>5.6000340431262412</v>
      </c>
      <c r="N18" s="385">
        <f t="shared" ref="N18:N78" si="8">L18/P18</f>
        <v>10.040160642570282</v>
      </c>
      <c r="O18" s="248">
        <v>90</v>
      </c>
      <c r="P18" s="248">
        <v>0.83</v>
      </c>
      <c r="Q18" s="386">
        <f t="shared" si="1"/>
        <v>15.254445920250101</v>
      </c>
      <c r="R18" s="248">
        <v>0.6</v>
      </c>
      <c r="S18" s="248">
        <f t="shared" si="2"/>
        <v>5</v>
      </c>
      <c r="T18" s="248">
        <f t="shared" si="3"/>
        <v>3.3600204258757445</v>
      </c>
      <c r="U18" s="248">
        <f t="shared" si="4"/>
        <v>6.024096385542169</v>
      </c>
      <c r="V18" s="248">
        <f t="shared" si="5"/>
        <v>9.15266755215006</v>
      </c>
      <c r="W18" s="248" t="s">
        <v>868</v>
      </c>
      <c r="X18" s="340" t="s">
        <v>857</v>
      </c>
      <c r="Y18" s="177">
        <f>U18/1000</f>
        <v>6.024096385542169E-3</v>
      </c>
      <c r="Z18" s="250" t="s">
        <v>644</v>
      </c>
      <c r="AB18" s="387">
        <v>1</v>
      </c>
      <c r="AC18" s="250">
        <v>0.9</v>
      </c>
    </row>
    <row r="19" spans="1:29" ht="31.5" customHeight="1" x14ac:dyDescent="0.25">
      <c r="A19" s="382">
        <v>2</v>
      </c>
      <c r="B19" s="248" t="s">
        <v>648</v>
      </c>
      <c r="C19" s="248" t="s">
        <v>649</v>
      </c>
      <c r="D19" s="383" t="s">
        <v>654</v>
      </c>
      <c r="E19" s="384" t="s">
        <v>655</v>
      </c>
      <c r="F19" s="248">
        <v>380</v>
      </c>
      <c r="G19" s="248">
        <v>3</v>
      </c>
      <c r="H19" s="384">
        <v>6</v>
      </c>
      <c r="I19" s="249">
        <f t="shared" si="6"/>
        <v>73.75</v>
      </c>
      <c r="J19" s="249">
        <v>55</v>
      </c>
      <c r="K19" s="249">
        <v>55</v>
      </c>
      <c r="L19" s="248">
        <f t="shared" si="0"/>
        <v>58.448459086078643</v>
      </c>
      <c r="M19" s="385">
        <f t="shared" si="7"/>
        <v>28.307880729098699</v>
      </c>
      <c r="N19" s="385">
        <f t="shared" si="8"/>
        <v>64.942732317865151</v>
      </c>
      <c r="O19" s="248">
        <v>94.1</v>
      </c>
      <c r="P19" s="248">
        <v>0.9</v>
      </c>
      <c r="Q19" s="386">
        <f t="shared" si="1"/>
        <v>98.670273646392786</v>
      </c>
      <c r="R19" s="248">
        <v>0.6</v>
      </c>
      <c r="S19" s="248">
        <f t="shared" si="2"/>
        <v>35.069075451647187</v>
      </c>
      <c r="T19" s="248">
        <f t="shared" si="3"/>
        <v>16.984728437459218</v>
      </c>
      <c r="U19" s="248">
        <f t="shared" si="4"/>
        <v>38.96563939071909</v>
      </c>
      <c r="V19" s="248">
        <f t="shared" si="5"/>
        <v>59.202164187835663</v>
      </c>
      <c r="W19" s="248" t="s">
        <v>869</v>
      </c>
      <c r="X19" s="340" t="s">
        <v>859</v>
      </c>
      <c r="Y19" s="177">
        <f t="shared" ref="Y19:Y79" si="9">U19/1000</f>
        <v>3.8965639390719092E-2</v>
      </c>
      <c r="Z19" s="250" t="s">
        <v>644</v>
      </c>
      <c r="AB19" s="387">
        <v>1</v>
      </c>
      <c r="AC19" s="250">
        <v>0.94099999999999995</v>
      </c>
    </row>
    <row r="20" spans="1:29" ht="31.5" customHeight="1" x14ac:dyDescent="0.25">
      <c r="A20" s="382">
        <v>3</v>
      </c>
      <c r="B20" s="248" t="s">
        <v>648</v>
      </c>
      <c r="C20" s="248" t="s">
        <v>649</v>
      </c>
      <c r="D20" s="383" t="s">
        <v>654</v>
      </c>
      <c r="E20" s="384" t="s">
        <v>656</v>
      </c>
      <c r="F20" s="248">
        <v>380</v>
      </c>
      <c r="G20" s="248">
        <v>3</v>
      </c>
      <c r="H20" s="384">
        <v>6</v>
      </c>
      <c r="I20" s="249">
        <f t="shared" si="6"/>
        <v>73.75</v>
      </c>
      <c r="J20" s="249">
        <v>55</v>
      </c>
      <c r="K20" s="249">
        <v>55</v>
      </c>
      <c r="L20" s="248">
        <f t="shared" si="0"/>
        <v>58.448459086078643</v>
      </c>
      <c r="M20" s="385">
        <f t="shared" si="7"/>
        <v>28.307880729098699</v>
      </c>
      <c r="N20" s="385">
        <f t="shared" si="8"/>
        <v>64.942732317865151</v>
      </c>
      <c r="O20" s="248">
        <v>94.1</v>
      </c>
      <c r="P20" s="248">
        <v>0.9</v>
      </c>
      <c r="Q20" s="386">
        <f t="shared" si="1"/>
        <v>98.670273646392786</v>
      </c>
      <c r="R20" s="248">
        <v>0.6</v>
      </c>
      <c r="S20" s="248">
        <f t="shared" si="2"/>
        <v>35.069075451647187</v>
      </c>
      <c r="T20" s="248">
        <f t="shared" si="3"/>
        <v>16.984728437459218</v>
      </c>
      <c r="U20" s="248">
        <f t="shared" si="4"/>
        <v>38.96563939071909</v>
      </c>
      <c r="V20" s="248">
        <f t="shared" si="5"/>
        <v>59.202164187835663</v>
      </c>
      <c r="W20" s="248" t="s">
        <v>869</v>
      </c>
      <c r="X20" s="340" t="s">
        <v>859</v>
      </c>
      <c r="Y20" s="177">
        <f t="shared" si="9"/>
        <v>3.8965639390719092E-2</v>
      </c>
      <c r="Z20" s="250" t="s">
        <v>644</v>
      </c>
      <c r="AB20" s="387">
        <v>1</v>
      </c>
      <c r="AC20" s="250">
        <v>0.94099999999999995</v>
      </c>
    </row>
    <row r="21" spans="1:29" ht="31.5" customHeight="1" x14ac:dyDescent="0.25">
      <c r="A21" s="382">
        <v>4</v>
      </c>
      <c r="B21" s="248" t="s">
        <v>648</v>
      </c>
      <c r="C21" s="248" t="s">
        <v>649</v>
      </c>
      <c r="D21" s="383" t="s">
        <v>657</v>
      </c>
      <c r="E21" s="384" t="s">
        <v>658</v>
      </c>
      <c r="F21" s="248">
        <v>380</v>
      </c>
      <c r="G21" s="248">
        <v>3</v>
      </c>
      <c r="H21" s="384">
        <v>3</v>
      </c>
      <c r="I21" s="249">
        <f t="shared" si="6"/>
        <v>10.050000000000001</v>
      </c>
      <c r="J21" s="249">
        <v>7.5</v>
      </c>
      <c r="K21" s="249">
        <v>7.5</v>
      </c>
      <c r="L21" s="248">
        <f t="shared" si="0"/>
        <v>8.3333333333333339</v>
      </c>
      <c r="M21" s="385">
        <f t="shared" si="7"/>
        <v>5.6000340431262412</v>
      </c>
      <c r="N21" s="385">
        <f t="shared" si="8"/>
        <v>10.040160642570282</v>
      </c>
      <c r="O21" s="248">
        <v>90</v>
      </c>
      <c r="P21" s="248">
        <v>0.83</v>
      </c>
      <c r="Q21" s="386">
        <f t="shared" si="1"/>
        <v>15.254445920250101</v>
      </c>
      <c r="R21" s="248">
        <v>0.6</v>
      </c>
      <c r="S21" s="248">
        <f t="shared" si="2"/>
        <v>5</v>
      </c>
      <c r="T21" s="248">
        <f t="shared" si="3"/>
        <v>3.3600204258757445</v>
      </c>
      <c r="U21" s="248">
        <f t="shared" si="4"/>
        <v>6.024096385542169</v>
      </c>
      <c r="V21" s="248">
        <f t="shared" si="5"/>
        <v>9.15266755215006</v>
      </c>
      <c r="W21" s="248" t="s">
        <v>868</v>
      </c>
      <c r="X21" s="340" t="s">
        <v>857</v>
      </c>
      <c r="Y21" s="177">
        <f t="shared" si="9"/>
        <v>6.024096385542169E-3</v>
      </c>
      <c r="Z21" s="250" t="s">
        <v>644</v>
      </c>
      <c r="AB21" s="387">
        <v>1</v>
      </c>
      <c r="AC21" s="250">
        <v>0.9</v>
      </c>
    </row>
    <row r="22" spans="1:29" ht="31.5" customHeight="1" x14ac:dyDescent="0.25">
      <c r="A22" s="382">
        <v>5</v>
      </c>
      <c r="B22" s="248" t="s">
        <v>648</v>
      </c>
      <c r="C22" s="248" t="s">
        <v>649</v>
      </c>
      <c r="D22" s="383" t="s">
        <v>657</v>
      </c>
      <c r="E22" s="384" t="s">
        <v>659</v>
      </c>
      <c r="F22" s="248">
        <v>380</v>
      </c>
      <c r="G22" s="248">
        <v>3</v>
      </c>
      <c r="H22" s="384">
        <v>3</v>
      </c>
      <c r="I22" s="249">
        <f t="shared" si="6"/>
        <v>10.050000000000001</v>
      </c>
      <c r="J22" s="249">
        <v>7.5</v>
      </c>
      <c r="K22" s="249">
        <v>7.5</v>
      </c>
      <c r="L22" s="248">
        <f t="shared" si="0"/>
        <v>8.3333333333333339</v>
      </c>
      <c r="M22" s="385">
        <f t="shared" si="7"/>
        <v>5.6000340431262412</v>
      </c>
      <c r="N22" s="385">
        <f t="shared" si="8"/>
        <v>10.040160642570282</v>
      </c>
      <c r="O22" s="248">
        <v>90</v>
      </c>
      <c r="P22" s="248">
        <v>0.83</v>
      </c>
      <c r="Q22" s="386">
        <f t="shared" si="1"/>
        <v>15.254445920250101</v>
      </c>
      <c r="R22" s="248">
        <v>0.6</v>
      </c>
      <c r="S22" s="248">
        <f t="shared" si="2"/>
        <v>5</v>
      </c>
      <c r="T22" s="248">
        <f t="shared" si="3"/>
        <v>3.3600204258757445</v>
      </c>
      <c r="U22" s="248">
        <f t="shared" si="4"/>
        <v>6.024096385542169</v>
      </c>
      <c r="V22" s="248">
        <f t="shared" si="5"/>
        <v>9.15266755215006</v>
      </c>
      <c r="W22" s="248" t="s">
        <v>868</v>
      </c>
      <c r="X22" s="340" t="s">
        <v>858</v>
      </c>
      <c r="Y22" s="177">
        <f t="shared" si="9"/>
        <v>6.024096385542169E-3</v>
      </c>
      <c r="Z22" s="250" t="s">
        <v>644</v>
      </c>
      <c r="AB22" s="387">
        <v>1</v>
      </c>
      <c r="AC22" s="250">
        <v>0.9</v>
      </c>
    </row>
    <row r="23" spans="1:29" ht="31.5" customHeight="1" x14ac:dyDescent="0.25">
      <c r="A23" s="382">
        <v>6</v>
      </c>
      <c r="B23" s="248" t="s">
        <v>648</v>
      </c>
      <c r="C23" s="248" t="s">
        <v>649</v>
      </c>
      <c r="D23" s="383" t="s">
        <v>660</v>
      </c>
      <c r="E23" s="384" t="s">
        <v>661</v>
      </c>
      <c r="F23" s="248">
        <v>380</v>
      </c>
      <c r="G23" s="248">
        <v>3</v>
      </c>
      <c r="H23" s="384">
        <v>6</v>
      </c>
      <c r="I23" s="249">
        <f t="shared" si="6"/>
        <v>2.95</v>
      </c>
      <c r="J23" s="249">
        <v>2.2000000000000002</v>
      </c>
      <c r="K23" s="249">
        <v>2.2000000000000002</v>
      </c>
      <c r="L23" s="248">
        <f t="shared" si="0"/>
        <v>2.5851938895417157</v>
      </c>
      <c r="M23" s="385">
        <f t="shared" si="7"/>
        <v>2.0063291926479661</v>
      </c>
      <c r="N23" s="385">
        <f t="shared" si="8"/>
        <v>3.2723973285338173</v>
      </c>
      <c r="O23" s="248">
        <v>85.1</v>
      </c>
      <c r="P23" s="248">
        <v>0.79</v>
      </c>
      <c r="Q23" s="386">
        <f t="shared" si="1"/>
        <v>4.9718933645379257</v>
      </c>
      <c r="R23" s="248">
        <v>0.6</v>
      </c>
      <c r="S23" s="248">
        <f t="shared" si="2"/>
        <v>1.5511163337250293</v>
      </c>
      <c r="T23" s="248">
        <f t="shared" si="3"/>
        <v>1.2037975155887797</v>
      </c>
      <c r="U23" s="248">
        <f t="shared" si="4"/>
        <v>1.9634383971202902</v>
      </c>
      <c r="V23" s="248">
        <f t="shared" si="5"/>
        <v>2.9831360187227549</v>
      </c>
      <c r="W23" s="248" t="s">
        <v>870</v>
      </c>
      <c r="X23" s="340" t="s">
        <v>857</v>
      </c>
      <c r="Y23" s="177">
        <f t="shared" si="9"/>
        <v>1.9634383971202903E-3</v>
      </c>
      <c r="Z23" s="250" t="s">
        <v>644</v>
      </c>
      <c r="AB23" s="387">
        <v>1</v>
      </c>
      <c r="AC23" s="250">
        <v>0.85099999999999998</v>
      </c>
    </row>
    <row r="24" spans="1:29" ht="31.5" customHeight="1" x14ac:dyDescent="0.25">
      <c r="A24" s="382">
        <v>7</v>
      </c>
      <c r="B24" s="248" t="s">
        <v>648</v>
      </c>
      <c r="C24" s="248" t="s">
        <v>649</v>
      </c>
      <c r="D24" s="383" t="s">
        <v>662</v>
      </c>
      <c r="E24" s="384" t="s">
        <v>663</v>
      </c>
      <c r="F24" s="248">
        <v>380</v>
      </c>
      <c r="G24" s="248">
        <v>3</v>
      </c>
      <c r="H24" s="384">
        <v>6</v>
      </c>
      <c r="I24" s="249">
        <f t="shared" si="6"/>
        <v>2.95</v>
      </c>
      <c r="J24" s="249">
        <v>2.2000000000000002</v>
      </c>
      <c r="K24" s="249">
        <v>2.2000000000000002</v>
      </c>
      <c r="L24" s="248">
        <f t="shared" si="0"/>
        <v>2.5851938895417157</v>
      </c>
      <c r="M24" s="385">
        <f t="shared" si="7"/>
        <v>2.0063291926479661</v>
      </c>
      <c r="N24" s="385">
        <f t="shared" si="8"/>
        <v>3.2723973285338173</v>
      </c>
      <c r="O24" s="248">
        <v>85.1</v>
      </c>
      <c r="P24" s="248">
        <v>0.79</v>
      </c>
      <c r="Q24" s="386">
        <f t="shared" si="1"/>
        <v>4.9718933645379257</v>
      </c>
      <c r="R24" s="248">
        <v>0.6</v>
      </c>
      <c r="S24" s="248">
        <f t="shared" si="2"/>
        <v>1.5511163337250293</v>
      </c>
      <c r="T24" s="248">
        <f t="shared" si="3"/>
        <v>1.2037975155887797</v>
      </c>
      <c r="U24" s="248">
        <f t="shared" si="4"/>
        <v>1.9634383971202902</v>
      </c>
      <c r="V24" s="248">
        <f t="shared" si="5"/>
        <v>2.9831360187227549</v>
      </c>
      <c r="W24" s="248" t="s">
        <v>870</v>
      </c>
      <c r="X24" s="340" t="s">
        <v>857</v>
      </c>
      <c r="Y24" s="177">
        <f t="shared" si="9"/>
        <v>1.9634383971202903E-3</v>
      </c>
      <c r="Z24" s="250" t="s">
        <v>644</v>
      </c>
      <c r="AB24" s="387">
        <v>1</v>
      </c>
      <c r="AC24" s="250">
        <v>0.85099999999999998</v>
      </c>
    </row>
    <row r="25" spans="1:29" ht="31.5" customHeight="1" x14ac:dyDescent="0.25">
      <c r="A25" s="382">
        <v>8</v>
      </c>
      <c r="B25" s="248" t="s">
        <v>648</v>
      </c>
      <c r="C25" s="248" t="s">
        <v>649</v>
      </c>
      <c r="D25" s="383" t="s">
        <v>664</v>
      </c>
      <c r="E25" s="384" t="s">
        <v>665</v>
      </c>
      <c r="F25" s="248">
        <v>220</v>
      </c>
      <c r="G25" s="248">
        <v>1</v>
      </c>
      <c r="H25" s="384">
        <v>5</v>
      </c>
      <c r="I25" s="249">
        <f t="shared" si="6"/>
        <v>0.13</v>
      </c>
      <c r="J25" s="249">
        <v>0.1</v>
      </c>
      <c r="K25" s="249">
        <v>0.1</v>
      </c>
      <c r="L25" s="248">
        <f t="shared" si="0"/>
        <v>0.1</v>
      </c>
      <c r="M25" s="385">
        <f t="shared" si="7"/>
        <v>0.10782531046954917</v>
      </c>
      <c r="N25" s="385">
        <f t="shared" si="8"/>
        <v>0.14705882352941177</v>
      </c>
      <c r="O25" s="248">
        <v>82.7</v>
      </c>
      <c r="P25" s="248">
        <v>0.68</v>
      </c>
      <c r="Q25" s="386">
        <f t="shared" si="1"/>
        <v>0.66844919786096257</v>
      </c>
      <c r="R25" s="248">
        <v>0.6</v>
      </c>
      <c r="S25" s="248">
        <f t="shared" si="2"/>
        <v>0.06</v>
      </c>
      <c r="T25" s="248">
        <f t="shared" si="3"/>
        <v>6.4695186281729503E-2</v>
      </c>
      <c r="U25" s="248">
        <f t="shared" si="4"/>
        <v>8.8235294117647065E-2</v>
      </c>
      <c r="V25" s="248">
        <f t="shared" si="5"/>
        <v>0.13405966002855088</v>
      </c>
      <c r="W25" s="248" t="s">
        <v>871</v>
      </c>
      <c r="X25" s="340" t="s">
        <v>886</v>
      </c>
      <c r="Y25" s="177">
        <f t="shared" si="9"/>
        <v>8.8235294117647065E-5</v>
      </c>
      <c r="Z25" s="250" t="s">
        <v>644</v>
      </c>
      <c r="AB25" s="387">
        <v>1</v>
      </c>
      <c r="AC25" s="250">
        <v>1</v>
      </c>
    </row>
    <row r="26" spans="1:29" ht="31.5" customHeight="1" x14ac:dyDescent="0.25">
      <c r="A26" s="382">
        <v>9</v>
      </c>
      <c r="B26" s="248" t="s">
        <v>648</v>
      </c>
      <c r="C26" s="248" t="s">
        <v>649</v>
      </c>
      <c r="D26" s="383" t="s">
        <v>660</v>
      </c>
      <c r="E26" s="384" t="s">
        <v>666</v>
      </c>
      <c r="F26" s="248">
        <v>380</v>
      </c>
      <c r="G26" s="248">
        <v>3</v>
      </c>
      <c r="H26" s="384">
        <v>6</v>
      </c>
      <c r="I26" s="249">
        <f t="shared" si="6"/>
        <v>2.95</v>
      </c>
      <c r="J26" s="249">
        <v>2.2000000000000002</v>
      </c>
      <c r="K26" s="249">
        <v>2.2000000000000002</v>
      </c>
      <c r="L26" s="248">
        <f t="shared" si="0"/>
        <v>2.5851938895417157</v>
      </c>
      <c r="M26" s="385">
        <f t="shared" si="7"/>
        <v>2.0063291926479661</v>
      </c>
      <c r="N26" s="385">
        <f t="shared" si="8"/>
        <v>3.2723973285338173</v>
      </c>
      <c r="O26" s="248">
        <v>85.1</v>
      </c>
      <c r="P26" s="248">
        <v>0.79</v>
      </c>
      <c r="Q26" s="386">
        <f t="shared" si="1"/>
        <v>4.9718933645379257</v>
      </c>
      <c r="R26" s="248">
        <v>0.6</v>
      </c>
      <c r="S26" s="248">
        <f t="shared" si="2"/>
        <v>1.5511163337250293</v>
      </c>
      <c r="T26" s="248">
        <f t="shared" si="3"/>
        <v>1.2037975155887797</v>
      </c>
      <c r="U26" s="248">
        <f t="shared" si="4"/>
        <v>1.9634383971202902</v>
      </c>
      <c r="V26" s="248">
        <f t="shared" si="5"/>
        <v>2.9831360187227549</v>
      </c>
      <c r="W26" s="248" t="s">
        <v>870</v>
      </c>
      <c r="X26" s="340" t="s">
        <v>857</v>
      </c>
      <c r="Y26" s="177">
        <f t="shared" si="9"/>
        <v>1.9634383971202903E-3</v>
      </c>
      <c r="Z26" s="250" t="s">
        <v>644</v>
      </c>
      <c r="AB26" s="387">
        <v>1</v>
      </c>
      <c r="AC26" s="250">
        <v>0.85099999999999998</v>
      </c>
    </row>
    <row r="27" spans="1:29" ht="31.5" customHeight="1" x14ac:dyDescent="0.25">
      <c r="A27" s="382">
        <v>10</v>
      </c>
      <c r="B27" s="248" t="s">
        <v>648</v>
      </c>
      <c r="C27" s="248" t="s">
        <v>649</v>
      </c>
      <c r="D27" s="383" t="s">
        <v>662</v>
      </c>
      <c r="E27" s="384" t="s">
        <v>667</v>
      </c>
      <c r="F27" s="248">
        <v>380</v>
      </c>
      <c r="G27" s="248">
        <v>3</v>
      </c>
      <c r="H27" s="384">
        <v>6</v>
      </c>
      <c r="I27" s="249">
        <f t="shared" si="6"/>
        <v>2.95</v>
      </c>
      <c r="J27" s="249">
        <v>2.2000000000000002</v>
      </c>
      <c r="K27" s="249">
        <v>2.2000000000000002</v>
      </c>
      <c r="L27" s="248">
        <f t="shared" si="0"/>
        <v>2.5851938895417157</v>
      </c>
      <c r="M27" s="385">
        <f t="shared" si="7"/>
        <v>2.0063291926479661</v>
      </c>
      <c r="N27" s="385">
        <f t="shared" si="8"/>
        <v>3.2723973285338173</v>
      </c>
      <c r="O27" s="248">
        <v>85.1</v>
      </c>
      <c r="P27" s="248">
        <v>0.79</v>
      </c>
      <c r="Q27" s="386">
        <f t="shared" si="1"/>
        <v>4.9718933645379257</v>
      </c>
      <c r="R27" s="248">
        <v>0.6</v>
      </c>
      <c r="S27" s="248">
        <f t="shared" si="2"/>
        <v>1.5511163337250293</v>
      </c>
      <c r="T27" s="248">
        <f t="shared" si="3"/>
        <v>1.2037975155887797</v>
      </c>
      <c r="U27" s="248">
        <f t="shared" si="4"/>
        <v>1.9634383971202902</v>
      </c>
      <c r="V27" s="248">
        <f t="shared" si="5"/>
        <v>2.9831360187227549</v>
      </c>
      <c r="W27" s="248" t="s">
        <v>870</v>
      </c>
      <c r="X27" s="340" t="s">
        <v>857</v>
      </c>
      <c r="Y27" s="177">
        <f t="shared" si="9"/>
        <v>1.9634383971202903E-3</v>
      </c>
      <c r="Z27" s="250" t="s">
        <v>644</v>
      </c>
      <c r="AB27" s="387">
        <v>1</v>
      </c>
      <c r="AC27" s="250">
        <v>0.85099999999999998</v>
      </c>
    </row>
    <row r="28" spans="1:29" ht="31.5" customHeight="1" x14ac:dyDescent="0.25">
      <c r="A28" s="382">
        <v>11</v>
      </c>
      <c r="B28" s="248" t="s">
        <v>648</v>
      </c>
      <c r="C28" s="248" t="s">
        <v>668</v>
      </c>
      <c r="D28" s="383" t="s">
        <v>669</v>
      </c>
      <c r="E28" s="384" t="s">
        <v>670</v>
      </c>
      <c r="F28" s="248">
        <v>380</v>
      </c>
      <c r="G28" s="248">
        <v>3</v>
      </c>
      <c r="H28" s="384">
        <v>3</v>
      </c>
      <c r="I28" s="249">
        <f t="shared" si="6"/>
        <v>7.37</v>
      </c>
      <c r="J28" s="249">
        <v>5.5</v>
      </c>
      <c r="K28" s="249">
        <v>5.5</v>
      </c>
      <c r="L28" s="248">
        <f t="shared" si="0"/>
        <v>6.1452513966480442</v>
      </c>
      <c r="M28" s="385">
        <f t="shared" si="7"/>
        <v>4.4490852065757149</v>
      </c>
      <c r="N28" s="385">
        <f t="shared" si="8"/>
        <v>7.586730119318573</v>
      </c>
      <c r="O28" s="248">
        <v>89.5</v>
      </c>
      <c r="P28" s="248">
        <v>0.81</v>
      </c>
      <c r="Q28" s="386">
        <f t="shared" si="1"/>
        <v>11.526843885941105</v>
      </c>
      <c r="R28" s="248">
        <v>0.6</v>
      </c>
      <c r="S28" s="248">
        <f t="shared" si="2"/>
        <v>3.6871508379888263</v>
      </c>
      <c r="T28" s="248">
        <f t="shared" si="3"/>
        <v>2.669451123945429</v>
      </c>
      <c r="U28" s="248">
        <f t="shared" si="4"/>
        <v>4.5520380715911433</v>
      </c>
      <c r="V28" s="248">
        <f t="shared" si="5"/>
        <v>6.9161063315646629</v>
      </c>
      <c r="W28" s="248" t="s">
        <v>872</v>
      </c>
      <c r="X28" s="340" t="s">
        <v>857</v>
      </c>
      <c r="Y28" s="177">
        <f t="shared" si="9"/>
        <v>4.5520380715911432E-3</v>
      </c>
      <c r="Z28" s="250" t="s">
        <v>644</v>
      </c>
      <c r="AB28" s="387">
        <v>1</v>
      </c>
      <c r="AC28" s="250">
        <v>0.89500000000000002</v>
      </c>
    </row>
    <row r="29" spans="1:29" ht="31.5" customHeight="1" x14ac:dyDescent="0.25">
      <c r="A29" s="382">
        <v>12</v>
      </c>
      <c r="B29" s="248" t="s">
        <v>648</v>
      </c>
      <c r="C29" s="248" t="s">
        <v>671</v>
      </c>
      <c r="D29" s="383" t="s">
        <v>669</v>
      </c>
      <c r="E29" s="384" t="s">
        <v>672</v>
      </c>
      <c r="F29" s="248">
        <v>380</v>
      </c>
      <c r="G29" s="248">
        <v>3</v>
      </c>
      <c r="H29" s="384">
        <v>3</v>
      </c>
      <c r="I29" s="249">
        <f t="shared" si="6"/>
        <v>6.03</v>
      </c>
      <c r="J29" s="249">
        <v>4.5</v>
      </c>
      <c r="K29" s="249">
        <v>4.5</v>
      </c>
      <c r="L29" s="248">
        <f t="shared" si="0"/>
        <v>5.0847457627118642</v>
      </c>
      <c r="M29" s="385">
        <f t="shared" si="7"/>
        <v>3.681292382020275</v>
      </c>
      <c r="N29" s="385">
        <f t="shared" si="8"/>
        <v>6.2774639045825475</v>
      </c>
      <c r="O29" s="248">
        <v>88.5</v>
      </c>
      <c r="P29" s="248">
        <v>0.81</v>
      </c>
      <c r="Q29" s="386">
        <f t="shared" si="1"/>
        <v>9.5376196714181418</v>
      </c>
      <c r="R29" s="248">
        <v>0.6</v>
      </c>
      <c r="S29" s="248">
        <f t="shared" si="2"/>
        <v>3.0508474576271185</v>
      </c>
      <c r="T29" s="248">
        <f t="shared" si="3"/>
        <v>2.2087754292121651</v>
      </c>
      <c r="U29" s="248">
        <f t="shared" si="4"/>
        <v>3.7664783427495285</v>
      </c>
      <c r="V29" s="248">
        <f t="shared" si="5"/>
        <v>5.7225718028508847</v>
      </c>
      <c r="W29" s="248" t="s">
        <v>873</v>
      </c>
      <c r="X29" s="340" t="s">
        <v>857</v>
      </c>
      <c r="Y29" s="177">
        <f t="shared" si="9"/>
        <v>3.7664783427495286E-3</v>
      </c>
      <c r="Z29" s="250" t="s">
        <v>644</v>
      </c>
      <c r="AB29" s="387">
        <v>1</v>
      </c>
      <c r="AC29" s="250">
        <v>0.88500000000000001</v>
      </c>
    </row>
    <row r="30" spans="1:29" ht="31.5" customHeight="1" x14ac:dyDescent="0.25">
      <c r="A30" s="382">
        <v>13</v>
      </c>
      <c r="B30" s="248" t="s">
        <v>673</v>
      </c>
      <c r="C30" s="248" t="s">
        <v>689</v>
      </c>
      <c r="D30" s="383" t="s">
        <v>675</v>
      </c>
      <c r="E30" s="384" t="s">
        <v>676</v>
      </c>
      <c r="F30" s="248">
        <v>380</v>
      </c>
      <c r="G30" s="248">
        <v>3</v>
      </c>
      <c r="H30" s="384">
        <v>3</v>
      </c>
      <c r="I30" s="249">
        <f t="shared" si="6"/>
        <v>4.96</v>
      </c>
      <c r="J30" s="249">
        <v>3.7</v>
      </c>
      <c r="K30" s="249">
        <v>3.7</v>
      </c>
      <c r="L30" s="248">
        <f t="shared" si="0"/>
        <v>4.2285714285714286</v>
      </c>
      <c r="M30" s="385">
        <f t="shared" si="7"/>
        <v>3.3925043243662691</v>
      </c>
      <c r="N30" s="385">
        <f t="shared" si="8"/>
        <v>5.4212454212454215</v>
      </c>
      <c r="O30" s="248">
        <v>87.5</v>
      </c>
      <c r="P30" s="248">
        <v>0.78</v>
      </c>
      <c r="Q30" s="386">
        <f t="shared" si="1"/>
        <v>8.2367302718396598</v>
      </c>
      <c r="R30" s="248">
        <v>0.6</v>
      </c>
      <c r="S30" s="248">
        <f>L30*R30</f>
        <v>2.5371428571428569</v>
      </c>
      <c r="T30" s="248">
        <f t="shared" si="3"/>
        <v>2.0355025946197616</v>
      </c>
      <c r="U30" s="248">
        <f t="shared" si="4"/>
        <v>3.2527472527472527</v>
      </c>
      <c r="V30" s="248">
        <f t="shared" si="5"/>
        <v>4.9420381631037955</v>
      </c>
      <c r="W30" s="248" t="s">
        <v>874</v>
      </c>
      <c r="X30" s="340" t="s">
        <v>857</v>
      </c>
      <c r="Y30" s="177">
        <f t="shared" si="9"/>
        <v>3.2527472527472527E-3</v>
      </c>
      <c r="Z30" s="250" t="s">
        <v>644</v>
      </c>
      <c r="AB30" s="387">
        <v>1</v>
      </c>
      <c r="AC30" s="250">
        <v>0.875</v>
      </c>
    </row>
    <row r="31" spans="1:29" ht="31.5" customHeight="1" x14ac:dyDescent="0.25">
      <c r="A31" s="382">
        <v>14</v>
      </c>
      <c r="B31" s="248" t="s">
        <v>673</v>
      </c>
      <c r="C31" s="248" t="s">
        <v>689</v>
      </c>
      <c r="D31" s="383" t="s">
        <v>675</v>
      </c>
      <c r="E31" s="384" t="s">
        <v>677</v>
      </c>
      <c r="F31" s="248">
        <v>380</v>
      </c>
      <c r="G31" s="248">
        <v>3</v>
      </c>
      <c r="H31" s="384">
        <v>3</v>
      </c>
      <c r="I31" s="249">
        <f t="shared" si="6"/>
        <v>40.229999999999997</v>
      </c>
      <c r="J31" s="249">
        <v>30</v>
      </c>
      <c r="K31" s="249">
        <v>30</v>
      </c>
      <c r="L31" s="248">
        <f t="shared" si="0"/>
        <v>32.258064516129032</v>
      </c>
      <c r="M31" s="385">
        <f t="shared" si="7"/>
        <v>17.411058778647977</v>
      </c>
      <c r="N31" s="385">
        <f t="shared" si="8"/>
        <v>36.656891495601172</v>
      </c>
      <c r="O31" s="248">
        <v>93</v>
      </c>
      <c r="P31" s="248">
        <v>0.88</v>
      </c>
      <c r="Q31" s="386">
        <f t="shared" si="1"/>
        <v>55.694384664842744</v>
      </c>
      <c r="R31" s="248">
        <v>0.6</v>
      </c>
      <c r="S31" s="248">
        <f t="shared" si="2"/>
        <v>19.35483870967742</v>
      </c>
      <c r="T31" s="248">
        <f t="shared" si="3"/>
        <v>10.446635267188785</v>
      </c>
      <c r="U31" s="248">
        <f t="shared" si="4"/>
        <v>21.994134897360702</v>
      </c>
      <c r="V31" s="248">
        <f t="shared" si="5"/>
        <v>33.416630798905643</v>
      </c>
      <c r="W31" s="248" t="s">
        <v>875</v>
      </c>
      <c r="X31" s="340" t="s">
        <v>858</v>
      </c>
      <c r="Y31" s="177">
        <f t="shared" si="9"/>
        <v>2.1994134897360702E-2</v>
      </c>
      <c r="Z31" s="250" t="s">
        <v>644</v>
      </c>
      <c r="AB31" s="387">
        <v>1</v>
      </c>
      <c r="AC31" s="250">
        <v>0.93</v>
      </c>
    </row>
    <row r="32" spans="1:29" ht="31.5" customHeight="1" x14ac:dyDescent="0.25">
      <c r="A32" s="382">
        <v>15</v>
      </c>
      <c r="B32" s="248" t="s">
        <v>673</v>
      </c>
      <c r="C32" s="248" t="s">
        <v>689</v>
      </c>
      <c r="D32" s="383" t="s">
        <v>674</v>
      </c>
      <c r="E32" s="384" t="s">
        <v>678</v>
      </c>
      <c r="F32" s="248">
        <v>380</v>
      </c>
      <c r="G32" s="248">
        <v>3</v>
      </c>
      <c r="H32" s="384">
        <v>6</v>
      </c>
      <c r="I32" s="249">
        <f t="shared" si="6"/>
        <v>375.48</v>
      </c>
      <c r="J32" s="249">
        <v>280</v>
      </c>
      <c r="K32" s="249">
        <v>280</v>
      </c>
      <c r="L32" s="248">
        <f t="shared" si="0"/>
        <v>294.73684210526318</v>
      </c>
      <c r="M32" s="385">
        <f t="shared" si="7"/>
        <v>167.03506593945036</v>
      </c>
      <c r="N32" s="385">
        <f t="shared" si="8"/>
        <v>338.77797943133697</v>
      </c>
      <c r="O32" s="248">
        <v>95</v>
      </c>
      <c r="P32" s="248">
        <v>0.87</v>
      </c>
      <c r="Q32" s="386">
        <f t="shared" si="1"/>
        <v>514.71988847421028</v>
      </c>
      <c r="R32" s="248">
        <v>0.6</v>
      </c>
      <c r="S32" s="248">
        <f t="shared" si="2"/>
        <v>176.84210526315789</v>
      </c>
      <c r="T32" s="248">
        <f t="shared" si="3"/>
        <v>100.22103956367022</v>
      </c>
      <c r="U32" s="248">
        <f t="shared" si="4"/>
        <v>203.26678765880217</v>
      </c>
      <c r="V32" s="248">
        <f t="shared" si="5"/>
        <v>308.83193308452616</v>
      </c>
      <c r="W32" s="248" t="s">
        <v>876</v>
      </c>
      <c r="X32" s="340" t="s">
        <v>856</v>
      </c>
      <c r="Y32" s="177">
        <f t="shared" si="9"/>
        <v>0.20326678765880218</v>
      </c>
      <c r="Z32" s="250" t="s">
        <v>644</v>
      </c>
      <c r="AB32" s="387">
        <v>1</v>
      </c>
      <c r="AC32" s="250">
        <v>0.95</v>
      </c>
    </row>
    <row r="33" spans="1:29" ht="31.5" customHeight="1" x14ac:dyDescent="0.25">
      <c r="A33" s="382">
        <v>16</v>
      </c>
      <c r="B33" s="248" t="s">
        <v>673</v>
      </c>
      <c r="C33" s="248" t="s">
        <v>689</v>
      </c>
      <c r="D33" s="383" t="s">
        <v>679</v>
      </c>
      <c r="E33" s="384" t="s">
        <v>680</v>
      </c>
      <c r="F33" s="248">
        <v>380</v>
      </c>
      <c r="G33" s="248">
        <v>3</v>
      </c>
      <c r="H33" s="384">
        <v>3</v>
      </c>
      <c r="I33" s="249">
        <f t="shared" si="6"/>
        <v>1.27</v>
      </c>
      <c r="J33" s="249">
        <v>0.95</v>
      </c>
      <c r="K33" s="249">
        <v>0.95</v>
      </c>
      <c r="L33" s="248">
        <f t="shared" si="0"/>
        <v>1.165644171779141</v>
      </c>
      <c r="M33" s="385">
        <f t="shared" si="7"/>
        <v>1.2568594471910637</v>
      </c>
      <c r="N33" s="385">
        <f t="shared" si="8"/>
        <v>1.7141826055575602</v>
      </c>
      <c r="O33" s="248">
        <v>81.5</v>
      </c>
      <c r="P33" s="248">
        <v>0.68</v>
      </c>
      <c r="Q33" s="386">
        <f t="shared" si="1"/>
        <v>2.6044310230495569</v>
      </c>
      <c r="R33" s="248">
        <v>0.6</v>
      </c>
      <c r="S33" s="248">
        <f t="shared" si="2"/>
        <v>0.69938650306748462</v>
      </c>
      <c r="T33" s="248">
        <f t="shared" si="3"/>
        <v>0.75411566831463817</v>
      </c>
      <c r="U33" s="248">
        <f t="shared" si="4"/>
        <v>1.028509563334536</v>
      </c>
      <c r="V33" s="248">
        <f t="shared" si="5"/>
        <v>1.562658613829734</v>
      </c>
      <c r="W33" s="248" t="s">
        <v>877</v>
      </c>
      <c r="X33" s="340" t="s">
        <v>857</v>
      </c>
      <c r="Y33" s="177">
        <f t="shared" si="9"/>
        <v>1.0285095633345361E-3</v>
      </c>
      <c r="Z33" s="250" t="s">
        <v>644</v>
      </c>
      <c r="AB33" s="387">
        <v>1</v>
      </c>
      <c r="AC33" s="250">
        <v>0.81499999999999995</v>
      </c>
    </row>
    <row r="34" spans="1:29" ht="31.5" customHeight="1" x14ac:dyDescent="0.25">
      <c r="A34" s="382">
        <v>17</v>
      </c>
      <c r="B34" s="248" t="s">
        <v>673</v>
      </c>
      <c r="C34" s="248" t="s">
        <v>689</v>
      </c>
      <c r="D34" s="383" t="s">
        <v>681</v>
      </c>
      <c r="E34" s="384" t="s">
        <v>682</v>
      </c>
      <c r="F34" s="248">
        <v>380</v>
      </c>
      <c r="G34" s="248">
        <v>3</v>
      </c>
      <c r="H34" s="384">
        <v>3</v>
      </c>
      <c r="I34" s="249">
        <f t="shared" si="6"/>
        <v>7.37</v>
      </c>
      <c r="J34" s="249">
        <v>5.5</v>
      </c>
      <c r="K34" s="249">
        <v>5.5</v>
      </c>
      <c r="L34" s="248">
        <f t="shared" si="0"/>
        <v>6.1452513966480442</v>
      </c>
      <c r="M34" s="385">
        <f t="shared" si="7"/>
        <v>4.4490852065757149</v>
      </c>
      <c r="N34" s="385">
        <f t="shared" si="8"/>
        <v>7.586730119318573</v>
      </c>
      <c r="O34" s="248">
        <v>89.5</v>
      </c>
      <c r="P34" s="248">
        <v>0.81</v>
      </c>
      <c r="Q34" s="386">
        <f t="shared" si="1"/>
        <v>11.526843885941105</v>
      </c>
      <c r="R34" s="248">
        <v>0.6</v>
      </c>
      <c r="S34" s="248">
        <f t="shared" si="2"/>
        <v>3.6871508379888263</v>
      </c>
      <c r="T34" s="248">
        <f t="shared" si="3"/>
        <v>2.669451123945429</v>
      </c>
      <c r="U34" s="248">
        <f t="shared" si="4"/>
        <v>4.5520380715911433</v>
      </c>
      <c r="V34" s="248">
        <f t="shared" si="5"/>
        <v>6.9161063315646629</v>
      </c>
      <c r="W34" s="248" t="s">
        <v>872</v>
      </c>
      <c r="X34" s="340" t="s">
        <v>857</v>
      </c>
      <c r="Y34" s="177">
        <f t="shared" si="9"/>
        <v>4.5520380715911432E-3</v>
      </c>
      <c r="Z34" s="250" t="s">
        <v>644</v>
      </c>
      <c r="AB34" s="387">
        <v>1</v>
      </c>
      <c r="AC34" s="250">
        <v>0.89500000000000002</v>
      </c>
    </row>
    <row r="35" spans="1:29" ht="31.5" customHeight="1" x14ac:dyDescent="0.25">
      <c r="A35" s="382">
        <v>18</v>
      </c>
      <c r="B35" s="248" t="s">
        <v>673</v>
      </c>
      <c r="C35" s="248" t="s">
        <v>689</v>
      </c>
      <c r="D35" s="383" t="s">
        <v>675</v>
      </c>
      <c r="E35" s="384" t="s">
        <v>683</v>
      </c>
      <c r="F35" s="248">
        <v>380</v>
      </c>
      <c r="G35" s="248">
        <v>3</v>
      </c>
      <c r="H35" s="384">
        <v>3</v>
      </c>
      <c r="I35" s="249">
        <f t="shared" si="6"/>
        <v>4.96</v>
      </c>
      <c r="J35" s="249">
        <v>3.7</v>
      </c>
      <c r="K35" s="249">
        <v>3.7</v>
      </c>
      <c r="L35" s="248">
        <f t="shared" si="0"/>
        <v>4.2285714285714286</v>
      </c>
      <c r="M35" s="385">
        <f t="shared" si="7"/>
        <v>3.3925043243662691</v>
      </c>
      <c r="N35" s="385">
        <f t="shared" si="8"/>
        <v>5.4212454212454215</v>
      </c>
      <c r="O35" s="248">
        <v>87.5</v>
      </c>
      <c r="P35" s="248">
        <v>0.78</v>
      </c>
      <c r="Q35" s="386">
        <f t="shared" si="1"/>
        <v>8.2367302718396598</v>
      </c>
      <c r="R35" s="248">
        <v>0.6</v>
      </c>
      <c r="S35" s="248">
        <f t="shared" si="2"/>
        <v>2.5371428571428569</v>
      </c>
      <c r="T35" s="248">
        <f t="shared" si="3"/>
        <v>2.0355025946197616</v>
      </c>
      <c r="U35" s="248">
        <f t="shared" si="4"/>
        <v>3.2527472527472527</v>
      </c>
      <c r="V35" s="248">
        <f t="shared" si="5"/>
        <v>4.9420381631037955</v>
      </c>
      <c r="W35" s="248" t="s">
        <v>874</v>
      </c>
      <c r="X35" s="340" t="s">
        <v>857</v>
      </c>
      <c r="Y35" s="177">
        <f t="shared" si="9"/>
        <v>3.2527472527472527E-3</v>
      </c>
      <c r="Z35" s="250" t="s">
        <v>644</v>
      </c>
      <c r="AB35" s="387">
        <v>1</v>
      </c>
      <c r="AC35" s="250">
        <v>0.875</v>
      </c>
    </row>
    <row r="36" spans="1:29" ht="31.5" customHeight="1" x14ac:dyDescent="0.25">
      <c r="A36" s="382">
        <v>19</v>
      </c>
      <c r="B36" s="248" t="s">
        <v>673</v>
      </c>
      <c r="C36" s="248" t="s">
        <v>689</v>
      </c>
      <c r="D36" s="383" t="s">
        <v>675</v>
      </c>
      <c r="E36" s="384" t="s">
        <v>684</v>
      </c>
      <c r="F36" s="248">
        <v>380</v>
      </c>
      <c r="G36" s="248">
        <v>3</v>
      </c>
      <c r="H36" s="384">
        <v>3</v>
      </c>
      <c r="I36" s="249">
        <f t="shared" si="6"/>
        <v>40.229999999999997</v>
      </c>
      <c r="J36" s="249">
        <v>30</v>
      </c>
      <c r="K36" s="249">
        <v>30</v>
      </c>
      <c r="L36" s="248">
        <f t="shared" si="0"/>
        <v>32.258064516129032</v>
      </c>
      <c r="M36" s="385">
        <f t="shared" si="7"/>
        <v>17.411058778647977</v>
      </c>
      <c r="N36" s="385">
        <f t="shared" si="8"/>
        <v>36.656891495601172</v>
      </c>
      <c r="O36" s="248">
        <v>93</v>
      </c>
      <c r="P36" s="248">
        <v>0.88</v>
      </c>
      <c r="Q36" s="386">
        <f t="shared" si="1"/>
        <v>55.694384664842744</v>
      </c>
      <c r="R36" s="248">
        <v>0.6</v>
      </c>
      <c r="S36" s="248">
        <f t="shared" si="2"/>
        <v>19.35483870967742</v>
      </c>
      <c r="T36" s="248">
        <f t="shared" si="3"/>
        <v>10.446635267188785</v>
      </c>
      <c r="U36" s="248">
        <f t="shared" si="4"/>
        <v>21.994134897360702</v>
      </c>
      <c r="V36" s="248">
        <f t="shared" si="5"/>
        <v>33.416630798905643</v>
      </c>
      <c r="W36" s="248" t="s">
        <v>875</v>
      </c>
      <c r="X36" s="340" t="s">
        <v>858</v>
      </c>
      <c r="Y36" s="177">
        <f t="shared" si="9"/>
        <v>2.1994134897360702E-2</v>
      </c>
      <c r="Z36" s="250" t="s">
        <v>644</v>
      </c>
      <c r="AB36" s="387">
        <v>1</v>
      </c>
      <c r="AC36" s="250">
        <v>0.93</v>
      </c>
    </row>
    <row r="37" spans="1:29" ht="31.5" customHeight="1" x14ac:dyDescent="0.25">
      <c r="A37" s="382">
        <v>20</v>
      </c>
      <c r="B37" s="248" t="s">
        <v>673</v>
      </c>
      <c r="C37" s="248" t="s">
        <v>689</v>
      </c>
      <c r="D37" s="383" t="s">
        <v>685</v>
      </c>
      <c r="E37" s="384" t="s">
        <v>686</v>
      </c>
      <c r="F37" s="248">
        <v>380</v>
      </c>
      <c r="G37" s="248">
        <v>3</v>
      </c>
      <c r="H37" s="384">
        <v>6</v>
      </c>
      <c r="I37" s="249">
        <f t="shared" si="6"/>
        <v>375.48</v>
      </c>
      <c r="J37" s="249">
        <v>280</v>
      </c>
      <c r="K37" s="249">
        <v>280</v>
      </c>
      <c r="L37" s="248">
        <f t="shared" si="0"/>
        <v>294.73684210526318</v>
      </c>
      <c r="M37" s="385">
        <f t="shared" si="7"/>
        <v>167.03506593945036</v>
      </c>
      <c r="N37" s="385">
        <f t="shared" si="8"/>
        <v>338.77797943133697</v>
      </c>
      <c r="O37" s="248">
        <v>95</v>
      </c>
      <c r="P37" s="248">
        <v>0.87</v>
      </c>
      <c r="Q37" s="386">
        <f t="shared" si="1"/>
        <v>514.71988847421028</v>
      </c>
      <c r="R37" s="248">
        <v>0.6</v>
      </c>
      <c r="S37" s="248">
        <f t="shared" si="2"/>
        <v>176.84210526315789</v>
      </c>
      <c r="T37" s="248">
        <f t="shared" si="3"/>
        <v>100.22103956367022</v>
      </c>
      <c r="U37" s="248">
        <f t="shared" si="4"/>
        <v>203.26678765880217</v>
      </c>
      <c r="V37" s="248">
        <f t="shared" si="5"/>
        <v>308.83193308452616</v>
      </c>
      <c r="W37" s="248" t="s">
        <v>876</v>
      </c>
      <c r="X37" s="340" t="s">
        <v>856</v>
      </c>
      <c r="Y37" s="177">
        <f t="shared" si="9"/>
        <v>0.20326678765880218</v>
      </c>
      <c r="Z37" s="250" t="s">
        <v>644</v>
      </c>
      <c r="AB37" s="387">
        <v>1</v>
      </c>
      <c r="AC37" s="250">
        <v>0.95</v>
      </c>
    </row>
    <row r="38" spans="1:29" ht="31.5" customHeight="1" x14ac:dyDescent="0.25">
      <c r="A38" s="382">
        <v>21</v>
      </c>
      <c r="B38" s="248" t="s">
        <v>673</v>
      </c>
      <c r="C38" s="248" t="s">
        <v>689</v>
      </c>
      <c r="D38" s="383" t="s">
        <v>679</v>
      </c>
      <c r="E38" s="384" t="s">
        <v>687</v>
      </c>
      <c r="F38" s="248">
        <v>380</v>
      </c>
      <c r="G38" s="248">
        <v>3</v>
      </c>
      <c r="H38" s="384">
        <v>3</v>
      </c>
      <c r="I38" s="249">
        <f t="shared" si="6"/>
        <v>1.27</v>
      </c>
      <c r="J38" s="249">
        <v>0.95</v>
      </c>
      <c r="K38" s="249">
        <v>0.95</v>
      </c>
      <c r="L38" s="248">
        <f t="shared" si="0"/>
        <v>1.165644171779141</v>
      </c>
      <c r="M38" s="385">
        <f t="shared" si="7"/>
        <v>1.2568594471910637</v>
      </c>
      <c r="N38" s="385">
        <f t="shared" si="8"/>
        <v>1.7141826055575602</v>
      </c>
      <c r="O38" s="248">
        <v>81.5</v>
      </c>
      <c r="P38" s="248">
        <v>0.68</v>
      </c>
      <c r="Q38" s="386">
        <f t="shared" si="1"/>
        <v>2.6044310230495569</v>
      </c>
      <c r="R38" s="248">
        <v>0.6</v>
      </c>
      <c r="S38" s="248">
        <f t="shared" si="2"/>
        <v>0.69938650306748462</v>
      </c>
      <c r="T38" s="248">
        <f t="shared" si="3"/>
        <v>0.75411566831463817</v>
      </c>
      <c r="U38" s="248">
        <f t="shared" si="4"/>
        <v>1.028509563334536</v>
      </c>
      <c r="V38" s="248">
        <f t="shared" si="5"/>
        <v>1.562658613829734</v>
      </c>
      <c r="W38" s="248" t="s">
        <v>877</v>
      </c>
      <c r="X38" s="340" t="s">
        <v>857</v>
      </c>
      <c r="Y38" s="177">
        <f t="shared" si="9"/>
        <v>1.0285095633345361E-3</v>
      </c>
      <c r="Z38" s="250" t="s">
        <v>644</v>
      </c>
      <c r="AB38" s="387">
        <v>1</v>
      </c>
      <c r="AC38" s="250">
        <v>0.81499999999999995</v>
      </c>
    </row>
    <row r="39" spans="1:29" ht="31.5" customHeight="1" x14ac:dyDescent="0.25">
      <c r="A39" s="382">
        <v>22</v>
      </c>
      <c r="B39" s="248" t="s">
        <v>673</v>
      </c>
      <c r="C39" s="248" t="s">
        <v>689</v>
      </c>
      <c r="D39" s="383" t="s">
        <v>681</v>
      </c>
      <c r="E39" s="384" t="s">
        <v>688</v>
      </c>
      <c r="F39" s="248">
        <v>380</v>
      </c>
      <c r="G39" s="248">
        <v>3</v>
      </c>
      <c r="H39" s="384">
        <v>3</v>
      </c>
      <c r="I39" s="249">
        <f t="shared" si="6"/>
        <v>7.37</v>
      </c>
      <c r="J39" s="249">
        <v>5.5</v>
      </c>
      <c r="K39" s="249">
        <v>5.5</v>
      </c>
      <c r="L39" s="248">
        <f t="shared" si="0"/>
        <v>6.1452513966480442</v>
      </c>
      <c r="M39" s="385">
        <f t="shared" si="7"/>
        <v>4.4490852065757149</v>
      </c>
      <c r="N39" s="385">
        <f t="shared" si="8"/>
        <v>7.586730119318573</v>
      </c>
      <c r="O39" s="248">
        <v>89.5</v>
      </c>
      <c r="P39" s="248">
        <v>0.81</v>
      </c>
      <c r="Q39" s="386">
        <f t="shared" si="1"/>
        <v>11.526843885941105</v>
      </c>
      <c r="R39" s="248">
        <v>0.6</v>
      </c>
      <c r="S39" s="248">
        <f t="shared" si="2"/>
        <v>3.6871508379888263</v>
      </c>
      <c r="T39" s="248">
        <f t="shared" si="3"/>
        <v>2.669451123945429</v>
      </c>
      <c r="U39" s="248">
        <f t="shared" si="4"/>
        <v>4.5520380715911433</v>
      </c>
      <c r="V39" s="248">
        <f t="shared" si="5"/>
        <v>6.9161063315646629</v>
      </c>
      <c r="W39" s="248" t="s">
        <v>872</v>
      </c>
      <c r="X39" s="340" t="s">
        <v>857</v>
      </c>
      <c r="Y39" s="177">
        <f t="shared" si="9"/>
        <v>4.5520380715911432E-3</v>
      </c>
      <c r="Z39" s="250" t="s">
        <v>644</v>
      </c>
      <c r="AB39" s="387">
        <v>1</v>
      </c>
      <c r="AC39" s="250">
        <v>0.89500000000000002</v>
      </c>
    </row>
    <row r="40" spans="1:29" ht="31.5" customHeight="1" x14ac:dyDescent="0.25">
      <c r="A40" s="382">
        <v>23</v>
      </c>
      <c r="B40" s="248" t="s">
        <v>690</v>
      </c>
      <c r="C40" s="248" t="s">
        <v>691</v>
      </c>
      <c r="D40" s="383" t="s">
        <v>692</v>
      </c>
      <c r="E40" s="384" t="s">
        <v>693</v>
      </c>
      <c r="F40" s="248">
        <v>380</v>
      </c>
      <c r="G40" s="248">
        <v>3</v>
      </c>
      <c r="H40" s="384">
        <v>5</v>
      </c>
      <c r="I40" s="249">
        <f t="shared" si="6"/>
        <v>6.3</v>
      </c>
      <c r="J40" s="249">
        <v>4.7</v>
      </c>
      <c r="K40" s="249">
        <v>4.7</v>
      </c>
      <c r="L40" s="248">
        <f t="shared" si="0"/>
        <v>5.2513966480446932</v>
      </c>
      <c r="M40" s="385">
        <f t="shared" si="7"/>
        <v>3.8019455401647013</v>
      </c>
      <c r="N40" s="385">
        <f t="shared" si="8"/>
        <v>6.4832057383267809</v>
      </c>
      <c r="O40" s="248">
        <v>89.5</v>
      </c>
      <c r="P40" s="248">
        <v>0.81</v>
      </c>
      <c r="Q40" s="386">
        <f t="shared" si="1"/>
        <v>9.8502120479860373</v>
      </c>
      <c r="R40" s="248">
        <v>0.6</v>
      </c>
      <c r="S40" s="248">
        <f t="shared" si="2"/>
        <v>3.1508379888268156</v>
      </c>
      <c r="T40" s="248">
        <f t="shared" si="3"/>
        <v>2.2811673240988206</v>
      </c>
      <c r="U40" s="248">
        <f t="shared" si="4"/>
        <v>3.8899234429960683</v>
      </c>
      <c r="V40" s="248">
        <f t="shared" si="5"/>
        <v>5.9101272287916213</v>
      </c>
      <c r="W40" s="248" t="s">
        <v>873</v>
      </c>
      <c r="X40" s="340" t="s">
        <v>857</v>
      </c>
      <c r="Y40" s="177">
        <f t="shared" si="9"/>
        <v>3.8899234429960682E-3</v>
      </c>
      <c r="Z40" s="250" t="s">
        <v>644</v>
      </c>
      <c r="AB40" s="387">
        <v>1</v>
      </c>
      <c r="AC40" s="250">
        <v>0.89500000000000002</v>
      </c>
    </row>
    <row r="41" spans="1:29" ht="31.5" customHeight="1" x14ac:dyDescent="0.25">
      <c r="A41" s="382">
        <v>24</v>
      </c>
      <c r="B41" s="248" t="s">
        <v>690</v>
      </c>
      <c r="C41" s="248" t="s">
        <v>691</v>
      </c>
      <c r="D41" s="383" t="s">
        <v>694</v>
      </c>
      <c r="E41" s="384" t="s">
        <v>695</v>
      </c>
      <c r="F41" s="248">
        <v>380</v>
      </c>
      <c r="G41" s="248">
        <v>3</v>
      </c>
      <c r="H41" s="384">
        <v>3</v>
      </c>
      <c r="I41" s="249">
        <f t="shared" si="6"/>
        <v>0.22</v>
      </c>
      <c r="J41" s="249">
        <v>0.17</v>
      </c>
      <c r="K41" s="249">
        <v>0.17</v>
      </c>
      <c r="L41" s="248">
        <f t="shared" si="0"/>
        <v>0.20556227327690446</v>
      </c>
      <c r="M41" s="385">
        <f t="shared" si="7"/>
        <v>0.22164815936908533</v>
      </c>
      <c r="N41" s="385">
        <f t="shared" si="8"/>
        <v>0.30229746070133007</v>
      </c>
      <c r="O41" s="248">
        <v>82.7</v>
      </c>
      <c r="P41" s="248">
        <v>0.68</v>
      </c>
      <c r="Q41" s="386">
        <f t="shared" si="1"/>
        <v>0.45929347450329799</v>
      </c>
      <c r="R41" s="248">
        <v>0.6</v>
      </c>
      <c r="S41" s="248">
        <f t="shared" si="2"/>
        <v>0.12333736396614267</v>
      </c>
      <c r="T41" s="248">
        <f t="shared" si="3"/>
        <v>0.13298889562145119</v>
      </c>
      <c r="U41" s="248">
        <f t="shared" si="4"/>
        <v>0.18137847642079805</v>
      </c>
      <c r="V41" s="248">
        <f t="shared" si="5"/>
        <v>0.27557608470197881</v>
      </c>
      <c r="W41" s="248" t="s">
        <v>871</v>
      </c>
      <c r="X41" s="340" t="s">
        <v>857</v>
      </c>
      <c r="Y41" s="177">
        <f t="shared" si="9"/>
        <v>1.8137847642079805E-4</v>
      </c>
      <c r="Z41" s="250" t="s">
        <v>644</v>
      </c>
      <c r="AB41" s="387">
        <v>1</v>
      </c>
      <c r="AC41" s="250">
        <v>0.82700000000000007</v>
      </c>
    </row>
    <row r="42" spans="1:29" ht="31.5" customHeight="1" x14ac:dyDescent="0.25">
      <c r="A42" s="382">
        <v>25</v>
      </c>
      <c r="B42" s="248" t="s">
        <v>690</v>
      </c>
      <c r="C42" s="248" t="s">
        <v>849</v>
      </c>
      <c r="D42" s="383" t="s">
        <v>697</v>
      </c>
      <c r="E42" s="384" t="s">
        <v>698</v>
      </c>
      <c r="F42" s="248">
        <v>380</v>
      </c>
      <c r="G42" s="248">
        <v>3</v>
      </c>
      <c r="H42" s="384">
        <v>5</v>
      </c>
      <c r="I42" s="249">
        <f t="shared" si="6"/>
        <v>8.0399999999999991</v>
      </c>
      <c r="J42" s="249">
        <v>6</v>
      </c>
      <c r="K42" s="249">
        <v>6</v>
      </c>
      <c r="L42" s="248">
        <f t="shared" si="0"/>
        <v>6</v>
      </c>
      <c r="M42" s="385">
        <f t="shared" si="7"/>
        <v>4.0320245110508939</v>
      </c>
      <c r="N42" s="385">
        <f t="shared" si="8"/>
        <v>7.2289156626506026</v>
      </c>
      <c r="O42" s="248">
        <v>90</v>
      </c>
      <c r="P42" s="248">
        <v>0.83</v>
      </c>
      <c r="Q42" s="386">
        <f t="shared" si="1"/>
        <v>10.983201062580074</v>
      </c>
      <c r="R42" s="248">
        <v>0.6</v>
      </c>
      <c r="S42" s="248">
        <f t="shared" ref="S42:S63" si="10">L42*R42</f>
        <v>3.5999999999999996</v>
      </c>
      <c r="T42" s="248">
        <f t="shared" ref="T42:T63" si="11">M42*R42</f>
        <v>2.4192147066305361</v>
      </c>
      <c r="U42" s="248">
        <f t="shared" ref="U42:U63" si="12">N42*R42</f>
        <v>4.3373493975903612</v>
      </c>
      <c r="V42" s="248">
        <f t="shared" si="5"/>
        <v>6.589920637548043</v>
      </c>
      <c r="W42" s="248" t="s">
        <v>878</v>
      </c>
      <c r="X42" s="340" t="s">
        <v>857</v>
      </c>
      <c r="Y42" s="177">
        <f t="shared" si="9"/>
        <v>4.3373493975903616E-3</v>
      </c>
      <c r="Z42" s="250" t="s">
        <v>644</v>
      </c>
      <c r="AB42" s="387">
        <v>1</v>
      </c>
      <c r="AC42" s="250">
        <v>1</v>
      </c>
    </row>
    <row r="43" spans="1:29" ht="31.5" customHeight="1" x14ac:dyDescent="0.25">
      <c r="A43" s="382">
        <v>26</v>
      </c>
      <c r="B43" s="248" t="s">
        <v>690</v>
      </c>
      <c r="C43" s="248" t="s">
        <v>696</v>
      </c>
      <c r="D43" s="383" t="s">
        <v>699</v>
      </c>
      <c r="E43" s="384" t="s">
        <v>700</v>
      </c>
      <c r="F43" s="248">
        <v>380</v>
      </c>
      <c r="G43" s="248">
        <v>3</v>
      </c>
      <c r="H43" s="384">
        <v>3</v>
      </c>
      <c r="I43" s="249">
        <f t="shared" si="6"/>
        <v>29.63</v>
      </c>
      <c r="J43" s="249">
        <v>22.1</v>
      </c>
      <c r="K43" s="249">
        <v>22.1</v>
      </c>
      <c r="L43" s="248">
        <f t="shared" si="0"/>
        <v>23.763440860215056</v>
      </c>
      <c r="M43" s="385">
        <f t="shared" si="7"/>
        <v>12.826146633604012</v>
      </c>
      <c r="N43" s="385">
        <f t="shared" si="8"/>
        <v>27.003910068426201</v>
      </c>
      <c r="O43" s="248">
        <v>93</v>
      </c>
      <c r="P43" s="248">
        <v>0.88</v>
      </c>
      <c r="Q43" s="386">
        <f t="shared" si="1"/>
        <v>41.028196703100825</v>
      </c>
      <c r="R43" s="248">
        <v>0.6</v>
      </c>
      <c r="S43" s="248">
        <f t="shared" si="10"/>
        <v>14.258064516129034</v>
      </c>
      <c r="T43" s="248">
        <f t="shared" si="11"/>
        <v>7.6956879801624067</v>
      </c>
      <c r="U43" s="248">
        <f t="shared" si="12"/>
        <v>16.202346041055719</v>
      </c>
      <c r="V43" s="248">
        <f t="shared" si="5"/>
        <v>24.616918021860496</v>
      </c>
      <c r="W43" s="248" t="s">
        <v>879</v>
      </c>
      <c r="X43" s="340" t="s">
        <v>887</v>
      </c>
      <c r="Y43" s="177">
        <f t="shared" si="9"/>
        <v>1.6202346041055721E-2</v>
      </c>
      <c r="Z43" s="250" t="s">
        <v>644</v>
      </c>
      <c r="AB43" s="387">
        <v>1</v>
      </c>
      <c r="AC43" s="250">
        <v>0.93</v>
      </c>
    </row>
    <row r="44" spans="1:29" ht="31.5" customHeight="1" x14ac:dyDescent="0.25">
      <c r="A44" s="382">
        <v>27</v>
      </c>
      <c r="B44" s="248" t="s">
        <v>690</v>
      </c>
      <c r="C44" s="248" t="s">
        <v>701</v>
      </c>
      <c r="D44" s="383" t="s">
        <v>702</v>
      </c>
      <c r="E44" s="384" t="s">
        <v>703</v>
      </c>
      <c r="F44" s="248">
        <v>380</v>
      </c>
      <c r="G44" s="248">
        <v>3</v>
      </c>
      <c r="H44" s="384">
        <v>3</v>
      </c>
      <c r="I44" s="249">
        <f t="shared" si="6"/>
        <v>0.49</v>
      </c>
      <c r="J44" s="249">
        <v>0.37</v>
      </c>
      <c r="K44" s="249">
        <v>0.37</v>
      </c>
      <c r="L44" s="248">
        <f t="shared" si="0"/>
        <v>0.4474002418379685</v>
      </c>
      <c r="M44" s="385">
        <f t="shared" si="7"/>
        <v>0.48241069980330337</v>
      </c>
      <c r="N44" s="385">
        <f t="shared" si="8"/>
        <v>0.65794153211465956</v>
      </c>
      <c r="O44" s="248">
        <v>82.7</v>
      </c>
      <c r="P44" s="248">
        <v>0.68</v>
      </c>
      <c r="Q44" s="386">
        <f t="shared" si="1"/>
        <v>0.99963873862482511</v>
      </c>
      <c r="R44" s="248">
        <v>0.6</v>
      </c>
      <c r="S44" s="248">
        <f t="shared" si="10"/>
        <v>0.26844014510278108</v>
      </c>
      <c r="T44" s="248">
        <f t="shared" si="11"/>
        <v>0.289446419881982</v>
      </c>
      <c r="U44" s="248">
        <f t="shared" si="12"/>
        <v>0.3947649192687957</v>
      </c>
      <c r="V44" s="248">
        <f t="shared" si="5"/>
        <v>0.59978324317489506</v>
      </c>
      <c r="W44" s="248" t="s">
        <v>871</v>
      </c>
      <c r="X44" s="340" t="s">
        <v>857</v>
      </c>
      <c r="Y44" s="177">
        <f t="shared" si="9"/>
        <v>3.9476491926879572E-4</v>
      </c>
      <c r="Z44" s="250" t="s">
        <v>644</v>
      </c>
      <c r="AB44" s="387">
        <v>1</v>
      </c>
      <c r="AC44" s="250">
        <v>0.82700000000000007</v>
      </c>
    </row>
    <row r="45" spans="1:29" ht="31.5" customHeight="1" x14ac:dyDescent="0.25">
      <c r="A45" s="382">
        <v>28</v>
      </c>
      <c r="B45" s="248" t="s">
        <v>690</v>
      </c>
      <c r="C45" s="248" t="s">
        <v>701</v>
      </c>
      <c r="D45" s="383" t="s">
        <v>704</v>
      </c>
      <c r="E45" s="384" t="s">
        <v>705</v>
      </c>
      <c r="F45" s="248">
        <v>380</v>
      </c>
      <c r="G45" s="248">
        <v>3</v>
      </c>
      <c r="H45" s="384">
        <v>3</v>
      </c>
      <c r="I45" s="249">
        <f t="shared" si="6"/>
        <v>2.95</v>
      </c>
      <c r="J45" s="249">
        <v>2.2000000000000002</v>
      </c>
      <c r="K45" s="249">
        <v>2.2000000000000002</v>
      </c>
      <c r="L45" s="248">
        <f t="shared" si="0"/>
        <v>2.5851938895417157</v>
      </c>
      <c r="M45" s="385">
        <f t="shared" si="7"/>
        <v>2.0063291926479661</v>
      </c>
      <c r="N45" s="385">
        <f t="shared" si="8"/>
        <v>3.2723973285338173</v>
      </c>
      <c r="O45" s="248">
        <v>85.1</v>
      </c>
      <c r="P45" s="248">
        <v>0.79</v>
      </c>
      <c r="Q45" s="386">
        <f t="shared" si="1"/>
        <v>4.9718933645379257</v>
      </c>
      <c r="R45" s="248">
        <v>0.6</v>
      </c>
      <c r="S45" s="248">
        <f t="shared" si="10"/>
        <v>1.5511163337250293</v>
      </c>
      <c r="T45" s="248">
        <f t="shared" si="11"/>
        <v>1.2037975155887797</v>
      </c>
      <c r="U45" s="248">
        <f t="shared" si="12"/>
        <v>1.9634383971202902</v>
      </c>
      <c r="V45" s="248">
        <f t="shared" si="5"/>
        <v>2.9831360187227549</v>
      </c>
      <c r="W45" s="248" t="s">
        <v>870</v>
      </c>
      <c r="X45" s="340" t="s">
        <v>857</v>
      </c>
      <c r="Y45" s="177">
        <f t="shared" si="9"/>
        <v>1.9634383971202903E-3</v>
      </c>
      <c r="Z45" s="250" t="s">
        <v>644</v>
      </c>
      <c r="AB45" s="387">
        <v>1</v>
      </c>
      <c r="AC45" s="250">
        <v>0.85099999999999998</v>
      </c>
    </row>
    <row r="46" spans="1:29" ht="31.5" customHeight="1" x14ac:dyDescent="0.25">
      <c r="A46" s="382">
        <v>29</v>
      </c>
      <c r="B46" s="248" t="s">
        <v>690</v>
      </c>
      <c r="C46" s="248" t="s">
        <v>701</v>
      </c>
      <c r="D46" s="383" t="s">
        <v>702</v>
      </c>
      <c r="E46" s="384" t="s">
        <v>706</v>
      </c>
      <c r="F46" s="248">
        <v>380</v>
      </c>
      <c r="G46" s="248">
        <v>3</v>
      </c>
      <c r="H46" s="384">
        <v>3</v>
      </c>
      <c r="I46" s="249">
        <f t="shared" si="6"/>
        <v>0.49</v>
      </c>
      <c r="J46" s="249">
        <v>0.37</v>
      </c>
      <c r="K46" s="249">
        <v>0.37</v>
      </c>
      <c r="L46" s="248">
        <f t="shared" si="0"/>
        <v>0.4474002418379685</v>
      </c>
      <c r="M46" s="385">
        <f t="shared" si="7"/>
        <v>0.48241069980330337</v>
      </c>
      <c r="N46" s="385">
        <f t="shared" si="8"/>
        <v>0.65794153211465956</v>
      </c>
      <c r="O46" s="248">
        <v>82.7</v>
      </c>
      <c r="P46" s="248">
        <v>0.68</v>
      </c>
      <c r="Q46" s="386">
        <f t="shared" si="1"/>
        <v>0.99963873862482511</v>
      </c>
      <c r="R46" s="248">
        <v>0.6</v>
      </c>
      <c r="S46" s="248">
        <f t="shared" si="10"/>
        <v>0.26844014510278108</v>
      </c>
      <c r="T46" s="248">
        <f t="shared" si="11"/>
        <v>0.289446419881982</v>
      </c>
      <c r="U46" s="248">
        <f t="shared" si="12"/>
        <v>0.3947649192687957</v>
      </c>
      <c r="V46" s="248">
        <f t="shared" si="5"/>
        <v>0.59978324317489506</v>
      </c>
      <c r="W46" s="248" t="s">
        <v>871</v>
      </c>
      <c r="X46" s="340" t="s">
        <v>857</v>
      </c>
      <c r="Y46" s="177">
        <f t="shared" si="9"/>
        <v>3.9476491926879572E-4</v>
      </c>
      <c r="Z46" s="250" t="s">
        <v>644</v>
      </c>
      <c r="AB46" s="387">
        <v>1</v>
      </c>
      <c r="AC46" s="250">
        <v>0.82700000000000007</v>
      </c>
    </row>
    <row r="47" spans="1:29" ht="31.5" customHeight="1" x14ac:dyDescent="0.25">
      <c r="A47" s="382">
        <v>30</v>
      </c>
      <c r="B47" s="248" t="s">
        <v>690</v>
      </c>
      <c r="C47" s="248" t="s">
        <v>701</v>
      </c>
      <c r="D47" s="383" t="s">
        <v>704</v>
      </c>
      <c r="E47" s="384" t="s">
        <v>707</v>
      </c>
      <c r="F47" s="248">
        <v>380</v>
      </c>
      <c r="G47" s="248">
        <v>3</v>
      </c>
      <c r="H47" s="384">
        <v>3</v>
      </c>
      <c r="I47" s="249">
        <f t="shared" si="6"/>
        <v>2.95</v>
      </c>
      <c r="J47" s="249">
        <v>2.2000000000000002</v>
      </c>
      <c r="K47" s="249">
        <v>2.2000000000000002</v>
      </c>
      <c r="L47" s="248">
        <f t="shared" si="0"/>
        <v>2.5851938895417157</v>
      </c>
      <c r="M47" s="385">
        <f t="shared" si="7"/>
        <v>2.0063291926479661</v>
      </c>
      <c r="N47" s="385">
        <f t="shared" si="8"/>
        <v>3.2723973285338173</v>
      </c>
      <c r="O47" s="248">
        <v>85.1</v>
      </c>
      <c r="P47" s="248">
        <v>0.79</v>
      </c>
      <c r="Q47" s="386">
        <f t="shared" si="1"/>
        <v>4.9718933645379257</v>
      </c>
      <c r="R47" s="248">
        <v>0.6</v>
      </c>
      <c r="S47" s="248">
        <f t="shared" si="10"/>
        <v>1.5511163337250293</v>
      </c>
      <c r="T47" s="248">
        <f t="shared" si="11"/>
        <v>1.2037975155887797</v>
      </c>
      <c r="U47" s="248">
        <f t="shared" si="12"/>
        <v>1.9634383971202902</v>
      </c>
      <c r="V47" s="248">
        <f t="shared" si="5"/>
        <v>2.9831360187227549</v>
      </c>
      <c r="W47" s="248" t="s">
        <v>870</v>
      </c>
      <c r="X47" s="340" t="s">
        <v>857</v>
      </c>
      <c r="Y47" s="177">
        <f t="shared" si="9"/>
        <v>1.9634383971202903E-3</v>
      </c>
      <c r="Z47" s="250" t="s">
        <v>644</v>
      </c>
      <c r="AB47" s="387">
        <v>1</v>
      </c>
      <c r="AC47" s="250">
        <v>0.85099999999999998</v>
      </c>
    </row>
    <row r="48" spans="1:29" ht="31.5" customHeight="1" x14ac:dyDescent="0.25">
      <c r="A48" s="382">
        <v>31</v>
      </c>
      <c r="B48" s="248" t="s">
        <v>690</v>
      </c>
      <c r="C48" s="248" t="s">
        <v>701</v>
      </c>
      <c r="D48" s="383" t="s">
        <v>708</v>
      </c>
      <c r="E48" s="384" t="s">
        <v>709</v>
      </c>
      <c r="F48" s="248">
        <v>380</v>
      </c>
      <c r="G48" s="248">
        <v>3</v>
      </c>
      <c r="H48" s="384">
        <v>3</v>
      </c>
      <c r="I48" s="249">
        <f t="shared" si="6"/>
        <v>0.08</v>
      </c>
      <c r="J48" s="249">
        <v>0.06</v>
      </c>
      <c r="K48" s="249">
        <v>0.06</v>
      </c>
      <c r="L48" s="248">
        <f t="shared" si="0"/>
        <v>7.2551390568319218E-2</v>
      </c>
      <c r="M48" s="385">
        <f t="shared" si="7"/>
        <v>7.8228762130265403E-2</v>
      </c>
      <c r="N48" s="385">
        <f t="shared" si="8"/>
        <v>0.10669322142399884</v>
      </c>
      <c r="O48" s="248">
        <v>82.7</v>
      </c>
      <c r="P48" s="248">
        <v>0.68</v>
      </c>
      <c r="Q48" s="386">
        <f t="shared" si="1"/>
        <v>0.1621035792364581</v>
      </c>
      <c r="R48" s="248">
        <v>0.6</v>
      </c>
      <c r="S48" s="248">
        <f t="shared" si="10"/>
        <v>4.3530834340991531E-2</v>
      </c>
      <c r="T48" s="248">
        <f t="shared" si="11"/>
        <v>4.6937257278159242E-2</v>
      </c>
      <c r="U48" s="248">
        <f t="shared" si="12"/>
        <v>6.4015932854399299E-2</v>
      </c>
      <c r="V48" s="248">
        <f t="shared" si="5"/>
        <v>9.7262147541874858E-2</v>
      </c>
      <c r="W48" s="248" t="s">
        <v>871</v>
      </c>
      <c r="X48" s="340" t="s">
        <v>857</v>
      </c>
      <c r="Y48" s="177">
        <f t="shared" si="9"/>
        <v>6.4015932854399294E-5</v>
      </c>
      <c r="Z48" s="250" t="s">
        <v>644</v>
      </c>
      <c r="AB48" s="387">
        <v>1</v>
      </c>
      <c r="AC48" s="250">
        <v>0.82700000000000007</v>
      </c>
    </row>
    <row r="49" spans="1:29" ht="31.5" customHeight="1" x14ac:dyDescent="0.25">
      <c r="A49" s="382">
        <v>32</v>
      </c>
      <c r="B49" s="248" t="s">
        <v>690</v>
      </c>
      <c r="C49" s="248" t="s">
        <v>701</v>
      </c>
      <c r="D49" s="383" t="s">
        <v>710</v>
      </c>
      <c r="E49" s="384" t="s">
        <v>711</v>
      </c>
      <c r="F49" s="248">
        <v>380</v>
      </c>
      <c r="G49" s="248">
        <v>3</v>
      </c>
      <c r="H49" s="384">
        <v>3</v>
      </c>
      <c r="I49" s="249">
        <f t="shared" si="6"/>
        <v>0.16</v>
      </c>
      <c r="J49" s="249">
        <v>0.12</v>
      </c>
      <c r="K49" s="249">
        <v>0.12</v>
      </c>
      <c r="L49" s="248">
        <f t="shared" ref="L49:L77" si="13">(J49/AC49)*AB49</f>
        <v>0.14510278113663844</v>
      </c>
      <c r="M49" s="385">
        <f t="shared" si="7"/>
        <v>0.15645752426053081</v>
      </c>
      <c r="N49" s="385">
        <f t="shared" si="8"/>
        <v>0.21338644284799768</v>
      </c>
      <c r="O49" s="248">
        <v>82.7</v>
      </c>
      <c r="P49" s="248">
        <v>0.68</v>
      </c>
      <c r="Q49" s="386">
        <f t="shared" ref="Q49:Q77" si="14">IF((((G49=3))),(N49*1000)/((SQRT(3)*F49)),(IF(((G49=1)),(N49*1000)/((F49)),(IF(((G49=2)),(N49*1000)/((F49)),0)))))</f>
        <v>0.3242071584729162</v>
      </c>
      <c r="R49" s="248">
        <v>0.6</v>
      </c>
      <c r="S49" s="248">
        <f t="shared" si="10"/>
        <v>8.7061668681983062E-2</v>
      </c>
      <c r="T49" s="248">
        <f t="shared" si="11"/>
        <v>9.3874514556318484E-2</v>
      </c>
      <c r="U49" s="248">
        <f t="shared" si="12"/>
        <v>0.1280318657087986</v>
      </c>
      <c r="V49" s="248">
        <f t="shared" si="5"/>
        <v>0.19452429508374972</v>
      </c>
      <c r="W49" s="248" t="s">
        <v>871</v>
      </c>
      <c r="X49" s="340" t="s">
        <v>857</v>
      </c>
      <c r="Y49" s="177">
        <f t="shared" si="9"/>
        <v>1.2803186570879859E-4</v>
      </c>
      <c r="Z49" s="250" t="s">
        <v>644</v>
      </c>
      <c r="AB49" s="387">
        <v>1</v>
      </c>
      <c r="AC49" s="250">
        <v>0.82700000000000007</v>
      </c>
    </row>
    <row r="50" spans="1:29" ht="31.5" customHeight="1" x14ac:dyDescent="0.25">
      <c r="A50" s="382">
        <v>33</v>
      </c>
      <c r="B50" s="248" t="s">
        <v>690</v>
      </c>
      <c r="C50" s="248" t="s">
        <v>701</v>
      </c>
      <c r="D50" s="383" t="s">
        <v>702</v>
      </c>
      <c r="E50" s="384" t="s">
        <v>712</v>
      </c>
      <c r="F50" s="248">
        <v>380</v>
      </c>
      <c r="G50" s="248">
        <v>3</v>
      </c>
      <c r="H50" s="384">
        <v>3</v>
      </c>
      <c r="I50" s="249">
        <f t="shared" si="6"/>
        <v>0.49</v>
      </c>
      <c r="J50" s="249">
        <v>0.37</v>
      </c>
      <c r="K50" s="249">
        <v>0.37</v>
      </c>
      <c r="L50" s="248">
        <f t="shared" si="13"/>
        <v>0.4474002418379685</v>
      </c>
      <c r="M50" s="385">
        <f t="shared" si="7"/>
        <v>0.48241069980330337</v>
      </c>
      <c r="N50" s="385">
        <f t="shared" si="8"/>
        <v>0.65794153211465956</v>
      </c>
      <c r="O50" s="248">
        <v>82.7</v>
      </c>
      <c r="P50" s="248">
        <v>0.68</v>
      </c>
      <c r="Q50" s="386">
        <f t="shared" si="14"/>
        <v>0.99963873862482511</v>
      </c>
      <c r="R50" s="248">
        <v>0.6</v>
      </c>
      <c r="S50" s="248">
        <f t="shared" si="10"/>
        <v>0.26844014510278108</v>
      </c>
      <c r="T50" s="248">
        <f t="shared" si="11"/>
        <v>0.289446419881982</v>
      </c>
      <c r="U50" s="248">
        <f t="shared" si="12"/>
        <v>0.3947649192687957</v>
      </c>
      <c r="V50" s="248">
        <f t="shared" si="5"/>
        <v>0.59978324317489506</v>
      </c>
      <c r="W50" s="248" t="s">
        <v>871</v>
      </c>
      <c r="X50" s="340" t="s">
        <v>857</v>
      </c>
      <c r="Y50" s="177">
        <f t="shared" si="9"/>
        <v>3.9476491926879572E-4</v>
      </c>
      <c r="Z50" s="250" t="s">
        <v>644</v>
      </c>
      <c r="AB50" s="387">
        <v>1</v>
      </c>
      <c r="AC50" s="250">
        <v>0.82700000000000007</v>
      </c>
    </row>
    <row r="51" spans="1:29" ht="31.5" customHeight="1" x14ac:dyDescent="0.25">
      <c r="A51" s="382">
        <v>34</v>
      </c>
      <c r="B51" s="248" t="s">
        <v>690</v>
      </c>
      <c r="C51" s="248" t="s">
        <v>701</v>
      </c>
      <c r="D51" s="383" t="s">
        <v>713</v>
      </c>
      <c r="E51" s="384" t="s">
        <v>714</v>
      </c>
      <c r="F51" s="248">
        <v>380</v>
      </c>
      <c r="G51" s="248">
        <v>3</v>
      </c>
      <c r="H51" s="384">
        <v>3</v>
      </c>
      <c r="I51" s="249">
        <f t="shared" si="6"/>
        <v>0.49</v>
      </c>
      <c r="J51" s="249">
        <v>0.37</v>
      </c>
      <c r="K51" s="249">
        <v>0.37</v>
      </c>
      <c r="L51" s="248">
        <f t="shared" si="13"/>
        <v>0.4474002418379685</v>
      </c>
      <c r="M51" s="385">
        <f t="shared" si="7"/>
        <v>0.48241069980330337</v>
      </c>
      <c r="N51" s="385">
        <f t="shared" si="8"/>
        <v>0.65794153211465956</v>
      </c>
      <c r="O51" s="248">
        <v>82.7</v>
      </c>
      <c r="P51" s="248">
        <v>0.68</v>
      </c>
      <c r="Q51" s="386">
        <f t="shared" si="14"/>
        <v>0.99963873862482511</v>
      </c>
      <c r="R51" s="248">
        <v>0.6</v>
      </c>
      <c r="S51" s="248">
        <f t="shared" si="10"/>
        <v>0.26844014510278108</v>
      </c>
      <c r="T51" s="248">
        <f t="shared" si="11"/>
        <v>0.289446419881982</v>
      </c>
      <c r="U51" s="248">
        <f t="shared" si="12"/>
        <v>0.3947649192687957</v>
      </c>
      <c r="V51" s="248">
        <f t="shared" si="5"/>
        <v>0.59978324317489506</v>
      </c>
      <c r="W51" s="248" t="s">
        <v>871</v>
      </c>
      <c r="X51" s="340" t="s">
        <v>857</v>
      </c>
      <c r="Y51" s="177">
        <f t="shared" si="9"/>
        <v>3.9476491926879572E-4</v>
      </c>
      <c r="Z51" s="250" t="s">
        <v>644</v>
      </c>
      <c r="AB51" s="387">
        <v>1</v>
      </c>
      <c r="AC51" s="250">
        <v>0.82700000000000007</v>
      </c>
    </row>
    <row r="52" spans="1:29" ht="31.5" customHeight="1" x14ac:dyDescent="0.25">
      <c r="A52" s="382">
        <v>35</v>
      </c>
      <c r="B52" s="248" t="s">
        <v>690</v>
      </c>
      <c r="C52" s="248" t="s">
        <v>701</v>
      </c>
      <c r="D52" s="383" t="s">
        <v>713</v>
      </c>
      <c r="E52" s="384" t="s">
        <v>715</v>
      </c>
      <c r="F52" s="248">
        <v>380</v>
      </c>
      <c r="G52" s="248">
        <v>3</v>
      </c>
      <c r="H52" s="384">
        <v>3</v>
      </c>
      <c r="I52" s="249">
        <f t="shared" si="6"/>
        <v>0.49</v>
      </c>
      <c r="J52" s="249">
        <v>0.37</v>
      </c>
      <c r="K52" s="249">
        <v>0.37</v>
      </c>
      <c r="L52" s="248">
        <f t="shared" si="13"/>
        <v>0.4474002418379685</v>
      </c>
      <c r="M52" s="385">
        <f t="shared" si="7"/>
        <v>0.48241069980330337</v>
      </c>
      <c r="N52" s="385">
        <f t="shared" si="8"/>
        <v>0.65794153211465956</v>
      </c>
      <c r="O52" s="248">
        <v>82.7</v>
      </c>
      <c r="P52" s="248">
        <v>0.68</v>
      </c>
      <c r="Q52" s="386">
        <f t="shared" si="14"/>
        <v>0.99963873862482511</v>
      </c>
      <c r="R52" s="248">
        <v>0.6</v>
      </c>
      <c r="S52" s="248">
        <f t="shared" si="10"/>
        <v>0.26844014510278108</v>
      </c>
      <c r="T52" s="248">
        <f t="shared" si="11"/>
        <v>0.289446419881982</v>
      </c>
      <c r="U52" s="248">
        <f t="shared" si="12"/>
        <v>0.3947649192687957</v>
      </c>
      <c r="V52" s="248">
        <f t="shared" si="5"/>
        <v>0.59978324317489506</v>
      </c>
      <c r="W52" s="248" t="s">
        <v>871</v>
      </c>
      <c r="X52" s="340" t="s">
        <v>857</v>
      </c>
      <c r="Y52" s="177">
        <f t="shared" si="9"/>
        <v>3.9476491926879572E-4</v>
      </c>
      <c r="Z52" s="250" t="s">
        <v>644</v>
      </c>
      <c r="AB52" s="387">
        <v>1</v>
      </c>
      <c r="AC52" s="250">
        <v>0.82700000000000007</v>
      </c>
    </row>
    <row r="53" spans="1:29" ht="31.5" customHeight="1" x14ac:dyDescent="0.25">
      <c r="A53" s="382">
        <v>36</v>
      </c>
      <c r="B53" s="248" t="s">
        <v>690</v>
      </c>
      <c r="C53" s="248" t="s">
        <v>701</v>
      </c>
      <c r="D53" s="383" t="s">
        <v>713</v>
      </c>
      <c r="E53" s="384" t="s">
        <v>716</v>
      </c>
      <c r="F53" s="248">
        <v>380</v>
      </c>
      <c r="G53" s="248">
        <v>3</v>
      </c>
      <c r="H53" s="384">
        <v>3</v>
      </c>
      <c r="I53" s="249">
        <f t="shared" si="6"/>
        <v>0.49</v>
      </c>
      <c r="J53" s="249">
        <v>0.37</v>
      </c>
      <c r="K53" s="249">
        <v>0.37</v>
      </c>
      <c r="L53" s="248">
        <f t="shared" si="13"/>
        <v>0.4474002418379685</v>
      </c>
      <c r="M53" s="385">
        <f t="shared" si="7"/>
        <v>0.48241069980330337</v>
      </c>
      <c r="N53" s="385">
        <f t="shared" si="8"/>
        <v>0.65794153211465956</v>
      </c>
      <c r="O53" s="248">
        <v>82.7</v>
      </c>
      <c r="P53" s="248">
        <v>0.68</v>
      </c>
      <c r="Q53" s="386">
        <f t="shared" si="14"/>
        <v>0.99963873862482511</v>
      </c>
      <c r="R53" s="248">
        <v>0.6</v>
      </c>
      <c r="S53" s="248">
        <f t="shared" si="10"/>
        <v>0.26844014510278108</v>
      </c>
      <c r="T53" s="248">
        <f t="shared" si="11"/>
        <v>0.289446419881982</v>
      </c>
      <c r="U53" s="248">
        <f t="shared" si="12"/>
        <v>0.3947649192687957</v>
      </c>
      <c r="V53" s="248">
        <f t="shared" si="5"/>
        <v>0.59978324317489506</v>
      </c>
      <c r="W53" s="248" t="s">
        <v>871</v>
      </c>
      <c r="X53" s="340" t="s">
        <v>857</v>
      </c>
      <c r="Y53" s="177">
        <f t="shared" si="9"/>
        <v>3.9476491926879572E-4</v>
      </c>
      <c r="Z53" s="250" t="s">
        <v>644</v>
      </c>
      <c r="AB53" s="387">
        <v>1</v>
      </c>
      <c r="AC53" s="250">
        <v>0.82700000000000007</v>
      </c>
    </row>
    <row r="54" spans="1:29" ht="31.5" customHeight="1" x14ac:dyDescent="0.25">
      <c r="A54" s="382">
        <v>37</v>
      </c>
      <c r="B54" s="248" t="s">
        <v>690</v>
      </c>
      <c r="C54" s="248" t="s">
        <v>701</v>
      </c>
      <c r="D54" s="383" t="s">
        <v>717</v>
      </c>
      <c r="E54" s="384" t="s">
        <v>718</v>
      </c>
      <c r="F54" s="248">
        <v>380</v>
      </c>
      <c r="G54" s="248">
        <v>3</v>
      </c>
      <c r="H54" s="384">
        <v>3</v>
      </c>
      <c r="I54" s="249">
        <f t="shared" si="6"/>
        <v>1</v>
      </c>
      <c r="J54" s="249">
        <v>0.75</v>
      </c>
      <c r="K54" s="249">
        <v>0.75</v>
      </c>
      <c r="L54" s="248">
        <f t="shared" si="13"/>
        <v>0.90689238210399026</v>
      </c>
      <c r="M54" s="385">
        <f t="shared" si="7"/>
        <v>0.97785952662831765</v>
      </c>
      <c r="N54" s="385">
        <f t="shared" si="8"/>
        <v>1.3336652677999856</v>
      </c>
      <c r="O54" s="248">
        <v>82.7</v>
      </c>
      <c r="P54" s="248">
        <v>0.68</v>
      </c>
      <c r="Q54" s="386">
        <f t="shared" si="14"/>
        <v>2.0262947404557266</v>
      </c>
      <c r="R54" s="248">
        <v>0.6</v>
      </c>
      <c r="S54" s="248">
        <f t="shared" si="10"/>
        <v>0.54413542926239411</v>
      </c>
      <c r="T54" s="248">
        <f t="shared" si="11"/>
        <v>0.58671571597699057</v>
      </c>
      <c r="U54" s="248">
        <f t="shared" si="12"/>
        <v>0.80019916067999131</v>
      </c>
      <c r="V54" s="248">
        <f t="shared" si="5"/>
        <v>1.2157768442734358</v>
      </c>
      <c r="W54" s="248" t="s">
        <v>871</v>
      </c>
      <c r="X54" s="340" t="s">
        <v>857</v>
      </c>
      <c r="Y54" s="177">
        <f t="shared" si="9"/>
        <v>8.0019916067999126E-4</v>
      </c>
      <c r="Z54" s="250" t="s">
        <v>644</v>
      </c>
      <c r="AB54" s="387">
        <v>1</v>
      </c>
      <c r="AC54" s="250">
        <v>0.82700000000000007</v>
      </c>
    </row>
    <row r="55" spans="1:29" ht="31.5" customHeight="1" x14ac:dyDescent="0.25">
      <c r="A55" s="382">
        <v>38</v>
      </c>
      <c r="B55" s="248" t="s">
        <v>690</v>
      </c>
      <c r="C55" s="248" t="s">
        <v>701</v>
      </c>
      <c r="D55" s="383" t="s">
        <v>717</v>
      </c>
      <c r="E55" s="384" t="s">
        <v>719</v>
      </c>
      <c r="F55" s="248">
        <v>380</v>
      </c>
      <c r="G55" s="248">
        <v>3</v>
      </c>
      <c r="H55" s="384">
        <v>3</v>
      </c>
      <c r="I55" s="249">
        <f t="shared" si="6"/>
        <v>2.0099999999999998</v>
      </c>
      <c r="J55" s="249">
        <v>1.5</v>
      </c>
      <c r="K55" s="249">
        <v>1.5</v>
      </c>
      <c r="L55" s="248">
        <f t="shared" si="13"/>
        <v>1.7814726840855104</v>
      </c>
      <c r="M55" s="385">
        <f t="shared" si="7"/>
        <v>1.5234476318232202</v>
      </c>
      <c r="N55" s="385">
        <f t="shared" si="8"/>
        <v>2.3440430053756716</v>
      </c>
      <c r="O55" s="248">
        <v>84.2</v>
      </c>
      <c r="P55" s="248">
        <v>0.76</v>
      </c>
      <c r="Q55" s="386">
        <f t="shared" si="14"/>
        <v>3.5614048951202726</v>
      </c>
      <c r="R55" s="248">
        <v>0.6</v>
      </c>
      <c r="S55" s="248">
        <f t="shared" si="10"/>
        <v>1.0688836104513062</v>
      </c>
      <c r="T55" s="248">
        <f t="shared" si="11"/>
        <v>0.91406857909393202</v>
      </c>
      <c r="U55" s="248">
        <f t="shared" si="12"/>
        <v>1.4064258032254029</v>
      </c>
      <c r="V55" s="248">
        <f t="shared" si="5"/>
        <v>2.1368429370721631</v>
      </c>
      <c r="W55" s="248" t="s">
        <v>880</v>
      </c>
      <c r="X55" s="340" t="s">
        <v>857</v>
      </c>
      <c r="Y55" s="177">
        <f t="shared" si="9"/>
        <v>1.4064258032254028E-3</v>
      </c>
      <c r="Z55" s="250" t="s">
        <v>644</v>
      </c>
      <c r="AB55" s="387">
        <v>1</v>
      </c>
      <c r="AC55" s="250">
        <v>0.84200000000000008</v>
      </c>
    </row>
    <row r="56" spans="1:29" ht="31.5" customHeight="1" x14ac:dyDescent="0.25">
      <c r="A56" s="382">
        <v>39</v>
      </c>
      <c r="B56" s="248" t="s">
        <v>690</v>
      </c>
      <c r="C56" s="248" t="s">
        <v>701</v>
      </c>
      <c r="D56" s="383" t="s">
        <v>702</v>
      </c>
      <c r="E56" s="384" t="s">
        <v>720</v>
      </c>
      <c r="F56" s="248">
        <v>380</v>
      </c>
      <c r="G56" s="248">
        <v>3</v>
      </c>
      <c r="H56" s="384">
        <v>3</v>
      </c>
      <c r="I56" s="249">
        <f t="shared" si="6"/>
        <v>0.49</v>
      </c>
      <c r="J56" s="249">
        <v>0.37</v>
      </c>
      <c r="K56" s="249">
        <v>0.37</v>
      </c>
      <c r="L56" s="248">
        <f t="shared" si="13"/>
        <v>0.4474002418379685</v>
      </c>
      <c r="M56" s="385">
        <f t="shared" si="7"/>
        <v>0.48241069980330337</v>
      </c>
      <c r="N56" s="385">
        <f t="shared" si="8"/>
        <v>0.65794153211465956</v>
      </c>
      <c r="O56" s="248">
        <v>82.7</v>
      </c>
      <c r="P56" s="248">
        <v>0.68</v>
      </c>
      <c r="Q56" s="386">
        <f t="shared" si="14"/>
        <v>0.99963873862482511</v>
      </c>
      <c r="R56" s="248">
        <v>0.6</v>
      </c>
      <c r="S56" s="248">
        <f t="shared" si="10"/>
        <v>0.26844014510278108</v>
      </c>
      <c r="T56" s="248">
        <f t="shared" si="11"/>
        <v>0.289446419881982</v>
      </c>
      <c r="U56" s="248">
        <f t="shared" si="12"/>
        <v>0.3947649192687957</v>
      </c>
      <c r="V56" s="248">
        <f t="shared" si="5"/>
        <v>0.59978324317489506</v>
      </c>
      <c r="W56" s="248" t="s">
        <v>871</v>
      </c>
      <c r="X56" s="340" t="s">
        <v>857</v>
      </c>
      <c r="Y56" s="177">
        <f t="shared" si="9"/>
        <v>3.9476491926879572E-4</v>
      </c>
      <c r="Z56" s="250" t="s">
        <v>644</v>
      </c>
      <c r="AB56" s="387">
        <v>1</v>
      </c>
      <c r="AC56" s="250">
        <v>0.82700000000000007</v>
      </c>
    </row>
    <row r="57" spans="1:29" ht="31.5" customHeight="1" x14ac:dyDescent="0.25">
      <c r="A57" s="382">
        <v>40</v>
      </c>
      <c r="B57" s="248" t="s">
        <v>690</v>
      </c>
      <c r="C57" s="248" t="s">
        <v>701</v>
      </c>
      <c r="D57" s="383" t="s">
        <v>702</v>
      </c>
      <c r="E57" s="384" t="s">
        <v>721</v>
      </c>
      <c r="F57" s="248">
        <v>380</v>
      </c>
      <c r="G57" s="248">
        <v>3</v>
      </c>
      <c r="H57" s="384">
        <v>3</v>
      </c>
      <c r="I57" s="249">
        <f t="shared" si="6"/>
        <v>0.49</v>
      </c>
      <c r="J57" s="249">
        <v>0.37</v>
      </c>
      <c r="K57" s="249">
        <v>0.37</v>
      </c>
      <c r="L57" s="248">
        <f t="shared" si="13"/>
        <v>0.4474002418379685</v>
      </c>
      <c r="M57" s="385">
        <f t="shared" si="7"/>
        <v>0.48241069980330337</v>
      </c>
      <c r="N57" s="385">
        <f t="shared" si="8"/>
        <v>0.65794153211465956</v>
      </c>
      <c r="O57" s="248">
        <v>82.7</v>
      </c>
      <c r="P57" s="248">
        <v>0.68</v>
      </c>
      <c r="Q57" s="386">
        <f t="shared" si="14"/>
        <v>0.99963873862482511</v>
      </c>
      <c r="R57" s="248">
        <v>0.6</v>
      </c>
      <c r="S57" s="248">
        <f t="shared" si="10"/>
        <v>0.26844014510278108</v>
      </c>
      <c r="T57" s="248">
        <f t="shared" si="11"/>
        <v>0.289446419881982</v>
      </c>
      <c r="U57" s="248">
        <f t="shared" si="12"/>
        <v>0.3947649192687957</v>
      </c>
      <c r="V57" s="248">
        <f t="shared" si="5"/>
        <v>0.59978324317489506</v>
      </c>
      <c r="W57" s="248" t="s">
        <v>871</v>
      </c>
      <c r="X57" s="340" t="s">
        <v>857</v>
      </c>
      <c r="Y57" s="177">
        <f t="shared" si="9"/>
        <v>3.9476491926879572E-4</v>
      </c>
      <c r="Z57" s="250" t="s">
        <v>644</v>
      </c>
      <c r="AB57" s="387">
        <v>1</v>
      </c>
      <c r="AC57" s="250">
        <v>0.82700000000000007</v>
      </c>
    </row>
    <row r="58" spans="1:29" ht="31.5" customHeight="1" x14ac:dyDescent="0.25">
      <c r="A58" s="382">
        <v>41</v>
      </c>
      <c r="B58" s="248" t="s">
        <v>722</v>
      </c>
      <c r="C58" s="248" t="s">
        <v>723</v>
      </c>
      <c r="D58" s="383" t="s">
        <v>724</v>
      </c>
      <c r="E58" s="384" t="s">
        <v>725</v>
      </c>
      <c r="F58" s="248">
        <v>380</v>
      </c>
      <c r="G58" s="248">
        <v>3</v>
      </c>
      <c r="H58" s="384">
        <v>2</v>
      </c>
      <c r="I58" s="249">
        <f t="shared" si="6"/>
        <v>16.09</v>
      </c>
      <c r="J58" s="249">
        <v>12</v>
      </c>
      <c r="K58" s="249">
        <v>12</v>
      </c>
      <c r="L58" s="248">
        <f t="shared" si="13"/>
        <v>13.186813186813186</v>
      </c>
      <c r="M58" s="385">
        <f t="shared" si="7"/>
        <v>7.4733114274322388</v>
      </c>
      <c r="N58" s="385">
        <f t="shared" si="8"/>
        <v>15.15725653656688</v>
      </c>
      <c r="O58" s="248">
        <v>91</v>
      </c>
      <c r="P58" s="248">
        <v>0.87</v>
      </c>
      <c r="Q58" s="386">
        <f t="shared" si="14"/>
        <v>23.029068793587115</v>
      </c>
      <c r="R58" s="248">
        <v>0.6</v>
      </c>
      <c r="S58" s="248">
        <f t="shared" si="10"/>
        <v>7.9120879120879115</v>
      </c>
      <c r="T58" s="248">
        <f t="shared" si="11"/>
        <v>4.4839868564593433</v>
      </c>
      <c r="U58" s="248">
        <f t="shared" si="12"/>
        <v>9.0943539219401277</v>
      </c>
      <c r="V58" s="248">
        <f t="shared" si="5"/>
        <v>13.81744127615227</v>
      </c>
      <c r="W58" s="248" t="s">
        <v>881</v>
      </c>
      <c r="X58" s="340" t="s">
        <v>857</v>
      </c>
      <c r="Y58" s="177">
        <f t="shared" si="9"/>
        <v>9.0943539219401279E-3</v>
      </c>
      <c r="Z58" s="250" t="s">
        <v>644</v>
      </c>
      <c r="AB58" s="387">
        <v>1</v>
      </c>
      <c r="AC58" s="250">
        <v>0.91</v>
      </c>
    </row>
    <row r="59" spans="1:29" ht="31.5" customHeight="1" x14ac:dyDescent="0.25">
      <c r="A59" s="382">
        <v>42</v>
      </c>
      <c r="B59" s="248" t="s">
        <v>722</v>
      </c>
      <c r="C59" s="248" t="s">
        <v>723</v>
      </c>
      <c r="D59" s="383" t="s">
        <v>724</v>
      </c>
      <c r="E59" s="384" t="s">
        <v>726</v>
      </c>
      <c r="F59" s="248">
        <v>380</v>
      </c>
      <c r="G59" s="248">
        <v>3</v>
      </c>
      <c r="H59" s="384">
        <v>2</v>
      </c>
      <c r="I59" s="249">
        <f t="shared" si="6"/>
        <v>16.09</v>
      </c>
      <c r="J59" s="249">
        <v>12</v>
      </c>
      <c r="K59" s="249">
        <v>12</v>
      </c>
      <c r="L59" s="248">
        <f t="shared" si="13"/>
        <v>13.186813186813186</v>
      </c>
      <c r="M59" s="385">
        <f t="shared" si="7"/>
        <v>7.4733114274322388</v>
      </c>
      <c r="N59" s="385">
        <f t="shared" si="8"/>
        <v>15.15725653656688</v>
      </c>
      <c r="O59" s="248">
        <v>91</v>
      </c>
      <c r="P59" s="248">
        <v>0.87</v>
      </c>
      <c r="Q59" s="386">
        <f t="shared" si="14"/>
        <v>23.029068793587115</v>
      </c>
      <c r="R59" s="248">
        <v>0.6</v>
      </c>
      <c r="S59" s="248">
        <f t="shared" si="10"/>
        <v>7.9120879120879115</v>
      </c>
      <c r="T59" s="248">
        <f t="shared" si="11"/>
        <v>4.4839868564593433</v>
      </c>
      <c r="U59" s="248">
        <f t="shared" si="12"/>
        <v>9.0943539219401277</v>
      </c>
      <c r="V59" s="248">
        <f t="shared" si="5"/>
        <v>13.81744127615227</v>
      </c>
      <c r="W59" s="248" t="s">
        <v>881</v>
      </c>
      <c r="X59" s="340" t="s">
        <v>858</v>
      </c>
      <c r="Y59" s="177">
        <f t="shared" si="9"/>
        <v>9.0943539219401279E-3</v>
      </c>
      <c r="Z59" s="250" t="s">
        <v>644</v>
      </c>
      <c r="AB59" s="387">
        <v>1</v>
      </c>
      <c r="AC59" s="250">
        <v>0.91</v>
      </c>
    </row>
    <row r="60" spans="1:29" ht="31.5" customHeight="1" x14ac:dyDescent="0.25">
      <c r="A60" s="382">
        <v>43</v>
      </c>
      <c r="B60" s="248" t="s">
        <v>722</v>
      </c>
      <c r="C60" s="248" t="s">
        <v>723</v>
      </c>
      <c r="D60" s="383" t="s">
        <v>724</v>
      </c>
      <c r="E60" s="384" t="s">
        <v>727</v>
      </c>
      <c r="F60" s="248">
        <v>380</v>
      </c>
      <c r="G60" s="248">
        <v>3</v>
      </c>
      <c r="H60" s="384">
        <v>2</v>
      </c>
      <c r="I60" s="249">
        <f t="shared" si="6"/>
        <v>16.09</v>
      </c>
      <c r="J60" s="249">
        <v>12</v>
      </c>
      <c r="K60" s="249">
        <v>12</v>
      </c>
      <c r="L60" s="248">
        <f t="shared" si="13"/>
        <v>13.186813186813186</v>
      </c>
      <c r="M60" s="385">
        <f t="shared" si="7"/>
        <v>7.4733114274322388</v>
      </c>
      <c r="N60" s="385">
        <f t="shared" si="8"/>
        <v>15.15725653656688</v>
      </c>
      <c r="O60" s="248">
        <v>91</v>
      </c>
      <c r="P60" s="248">
        <v>0.87</v>
      </c>
      <c r="Q60" s="386">
        <f t="shared" si="14"/>
        <v>23.029068793587115</v>
      </c>
      <c r="R60" s="248">
        <v>0.6</v>
      </c>
      <c r="S60" s="248">
        <f t="shared" si="10"/>
        <v>7.9120879120879115</v>
      </c>
      <c r="T60" s="248">
        <f t="shared" si="11"/>
        <v>4.4839868564593433</v>
      </c>
      <c r="U60" s="248">
        <f t="shared" si="12"/>
        <v>9.0943539219401277</v>
      </c>
      <c r="V60" s="248">
        <f t="shared" si="5"/>
        <v>13.81744127615227</v>
      </c>
      <c r="W60" s="248" t="s">
        <v>881</v>
      </c>
      <c r="X60" s="340" t="s">
        <v>858</v>
      </c>
      <c r="Y60" s="177">
        <f t="shared" si="9"/>
        <v>9.0943539219401279E-3</v>
      </c>
      <c r="Z60" s="250" t="s">
        <v>644</v>
      </c>
      <c r="AB60" s="387">
        <v>1</v>
      </c>
      <c r="AC60" s="250">
        <v>0.91</v>
      </c>
    </row>
    <row r="61" spans="1:29" ht="31.5" customHeight="1" x14ac:dyDescent="0.25">
      <c r="A61" s="382">
        <v>44</v>
      </c>
      <c r="B61" s="248" t="s">
        <v>722</v>
      </c>
      <c r="C61" s="248" t="s">
        <v>723</v>
      </c>
      <c r="D61" s="383" t="s">
        <v>724</v>
      </c>
      <c r="E61" s="384" t="s">
        <v>728</v>
      </c>
      <c r="F61" s="248">
        <v>380</v>
      </c>
      <c r="G61" s="248">
        <v>3</v>
      </c>
      <c r="H61" s="384">
        <v>2</v>
      </c>
      <c r="I61" s="249">
        <f t="shared" si="6"/>
        <v>16.09</v>
      </c>
      <c r="J61" s="249">
        <v>12</v>
      </c>
      <c r="K61" s="249">
        <v>12</v>
      </c>
      <c r="L61" s="248">
        <f t="shared" si="13"/>
        <v>13.186813186813186</v>
      </c>
      <c r="M61" s="385">
        <f t="shared" si="7"/>
        <v>7.4733114274322388</v>
      </c>
      <c r="N61" s="385">
        <f t="shared" si="8"/>
        <v>15.15725653656688</v>
      </c>
      <c r="O61" s="248">
        <v>91</v>
      </c>
      <c r="P61" s="248">
        <v>0.87</v>
      </c>
      <c r="Q61" s="386">
        <f t="shared" si="14"/>
        <v>23.029068793587115</v>
      </c>
      <c r="R61" s="248">
        <v>0.6</v>
      </c>
      <c r="S61" s="248">
        <f t="shared" si="10"/>
        <v>7.9120879120879115</v>
      </c>
      <c r="T61" s="248">
        <f t="shared" si="11"/>
        <v>4.4839868564593433</v>
      </c>
      <c r="U61" s="248">
        <f t="shared" si="12"/>
        <v>9.0943539219401277</v>
      </c>
      <c r="V61" s="248">
        <f t="shared" si="5"/>
        <v>13.81744127615227</v>
      </c>
      <c r="W61" s="248" t="s">
        <v>881</v>
      </c>
      <c r="X61" s="340" t="s">
        <v>857</v>
      </c>
      <c r="Y61" s="177">
        <f t="shared" si="9"/>
        <v>9.0943539219401279E-3</v>
      </c>
      <c r="Z61" s="250" t="s">
        <v>644</v>
      </c>
      <c r="AB61" s="387">
        <v>1</v>
      </c>
      <c r="AC61" s="250">
        <v>0.91</v>
      </c>
    </row>
    <row r="62" spans="1:29" ht="31.5" customHeight="1" x14ac:dyDescent="0.25">
      <c r="A62" s="382">
        <v>45</v>
      </c>
      <c r="B62" s="248" t="s">
        <v>722</v>
      </c>
      <c r="C62" s="248" t="s">
        <v>723</v>
      </c>
      <c r="D62" s="383" t="s">
        <v>724</v>
      </c>
      <c r="E62" s="384" t="s">
        <v>729</v>
      </c>
      <c r="F62" s="248">
        <v>380</v>
      </c>
      <c r="G62" s="248">
        <v>3</v>
      </c>
      <c r="H62" s="384">
        <v>2</v>
      </c>
      <c r="I62" s="249">
        <f t="shared" si="6"/>
        <v>16.09</v>
      </c>
      <c r="J62" s="249">
        <v>12</v>
      </c>
      <c r="K62" s="249">
        <v>12</v>
      </c>
      <c r="L62" s="248">
        <f t="shared" si="13"/>
        <v>13.186813186813186</v>
      </c>
      <c r="M62" s="385">
        <f t="shared" si="7"/>
        <v>7.4733114274322388</v>
      </c>
      <c r="N62" s="385">
        <f t="shared" si="8"/>
        <v>15.15725653656688</v>
      </c>
      <c r="O62" s="248">
        <v>91</v>
      </c>
      <c r="P62" s="248">
        <v>0.87</v>
      </c>
      <c r="Q62" s="386">
        <f t="shared" si="14"/>
        <v>23.029068793587115</v>
      </c>
      <c r="R62" s="248">
        <v>0.6</v>
      </c>
      <c r="S62" s="248">
        <f t="shared" si="10"/>
        <v>7.9120879120879115</v>
      </c>
      <c r="T62" s="248">
        <f t="shared" si="11"/>
        <v>4.4839868564593433</v>
      </c>
      <c r="U62" s="248">
        <f t="shared" si="12"/>
        <v>9.0943539219401277</v>
      </c>
      <c r="V62" s="248">
        <f t="shared" si="5"/>
        <v>13.81744127615227</v>
      </c>
      <c r="W62" s="248" t="s">
        <v>881</v>
      </c>
      <c r="X62" s="340" t="s">
        <v>858</v>
      </c>
      <c r="Y62" s="177">
        <f t="shared" si="9"/>
        <v>9.0943539219401279E-3</v>
      </c>
      <c r="Z62" s="250" t="s">
        <v>644</v>
      </c>
      <c r="AB62" s="387">
        <v>1</v>
      </c>
      <c r="AC62" s="250">
        <v>0.91</v>
      </c>
    </row>
    <row r="63" spans="1:29" ht="31.5" customHeight="1" x14ac:dyDescent="0.25">
      <c r="A63" s="382">
        <v>46</v>
      </c>
      <c r="B63" s="248" t="s">
        <v>722</v>
      </c>
      <c r="C63" s="248" t="s">
        <v>723</v>
      </c>
      <c r="D63" s="383" t="s">
        <v>724</v>
      </c>
      <c r="E63" s="384" t="s">
        <v>730</v>
      </c>
      <c r="F63" s="248">
        <v>380</v>
      </c>
      <c r="G63" s="248">
        <v>3</v>
      </c>
      <c r="H63" s="384">
        <v>2</v>
      </c>
      <c r="I63" s="249">
        <f t="shared" si="6"/>
        <v>16.09</v>
      </c>
      <c r="J63" s="249">
        <v>12</v>
      </c>
      <c r="K63" s="249">
        <v>12</v>
      </c>
      <c r="L63" s="248">
        <f t="shared" si="13"/>
        <v>13.186813186813186</v>
      </c>
      <c r="M63" s="385">
        <f t="shared" si="7"/>
        <v>7.4733114274322388</v>
      </c>
      <c r="N63" s="385">
        <f t="shared" si="8"/>
        <v>15.15725653656688</v>
      </c>
      <c r="O63" s="248">
        <v>91</v>
      </c>
      <c r="P63" s="248">
        <v>0.87</v>
      </c>
      <c r="Q63" s="386">
        <f t="shared" si="14"/>
        <v>23.029068793587115</v>
      </c>
      <c r="R63" s="248">
        <v>0.6</v>
      </c>
      <c r="S63" s="248">
        <f t="shared" si="10"/>
        <v>7.9120879120879115</v>
      </c>
      <c r="T63" s="248">
        <f t="shared" si="11"/>
        <v>4.4839868564593433</v>
      </c>
      <c r="U63" s="248">
        <f t="shared" si="12"/>
        <v>9.0943539219401277</v>
      </c>
      <c r="V63" s="248">
        <f t="shared" si="5"/>
        <v>13.81744127615227</v>
      </c>
      <c r="W63" s="248" t="s">
        <v>881</v>
      </c>
      <c r="X63" s="340" t="s">
        <v>858</v>
      </c>
      <c r="Y63" s="177">
        <f t="shared" si="9"/>
        <v>9.0943539219401279E-3</v>
      </c>
      <c r="Z63" s="250" t="s">
        <v>644</v>
      </c>
      <c r="AB63" s="387">
        <v>1</v>
      </c>
      <c r="AC63" s="250">
        <v>0.91</v>
      </c>
    </row>
    <row r="64" spans="1:29" ht="31.5" customHeight="1" x14ac:dyDescent="0.25">
      <c r="A64" s="382">
        <v>47</v>
      </c>
      <c r="B64" s="248" t="s">
        <v>722</v>
      </c>
      <c r="C64" s="248" t="s">
        <v>723</v>
      </c>
      <c r="D64" s="383" t="s">
        <v>724</v>
      </c>
      <c r="E64" s="384" t="s">
        <v>731</v>
      </c>
      <c r="F64" s="248">
        <v>380</v>
      </c>
      <c r="G64" s="248">
        <v>3</v>
      </c>
      <c r="H64" s="384">
        <v>2</v>
      </c>
      <c r="I64" s="249">
        <f t="shared" si="6"/>
        <v>16.09</v>
      </c>
      <c r="J64" s="249">
        <v>12</v>
      </c>
      <c r="K64" s="249">
        <v>12</v>
      </c>
      <c r="L64" s="248">
        <f t="shared" si="13"/>
        <v>13.186813186813186</v>
      </c>
      <c r="M64" s="385">
        <f t="shared" si="7"/>
        <v>7.4733114274322388</v>
      </c>
      <c r="N64" s="385">
        <f t="shared" si="8"/>
        <v>15.15725653656688</v>
      </c>
      <c r="O64" s="248">
        <v>91</v>
      </c>
      <c r="P64" s="248">
        <v>0.87</v>
      </c>
      <c r="Q64" s="386">
        <f t="shared" si="14"/>
        <v>23.029068793587115</v>
      </c>
      <c r="R64" s="248">
        <v>0.6</v>
      </c>
      <c r="S64" s="248">
        <f t="shared" ref="S64:S79" si="15">L64*R64</f>
        <v>7.9120879120879115</v>
      </c>
      <c r="T64" s="248">
        <f t="shared" ref="T64:T79" si="16">M64*R64</f>
        <v>4.4839868564593433</v>
      </c>
      <c r="U64" s="248">
        <f t="shared" ref="U64:U79" si="17">N64*R64</f>
        <v>9.0943539219401277</v>
      </c>
      <c r="V64" s="248">
        <f t="shared" si="5"/>
        <v>13.81744127615227</v>
      </c>
      <c r="W64" s="248" t="s">
        <v>881</v>
      </c>
      <c r="X64" s="340" t="s">
        <v>857</v>
      </c>
      <c r="Y64" s="177">
        <f t="shared" si="9"/>
        <v>9.0943539219401279E-3</v>
      </c>
      <c r="Z64" s="250" t="s">
        <v>644</v>
      </c>
      <c r="AB64" s="387">
        <v>1</v>
      </c>
      <c r="AC64" s="250">
        <v>0.91</v>
      </c>
    </row>
    <row r="65" spans="1:29" ht="31.5" customHeight="1" x14ac:dyDescent="0.25">
      <c r="A65" s="382">
        <v>48</v>
      </c>
      <c r="B65" s="248" t="s">
        <v>722</v>
      </c>
      <c r="C65" s="248" t="s">
        <v>723</v>
      </c>
      <c r="D65" s="383" t="s">
        <v>732</v>
      </c>
      <c r="E65" s="384" t="s">
        <v>733</v>
      </c>
      <c r="F65" s="248">
        <v>380</v>
      </c>
      <c r="G65" s="248">
        <v>3</v>
      </c>
      <c r="H65" s="384">
        <v>3</v>
      </c>
      <c r="I65" s="249">
        <f t="shared" si="6"/>
        <v>6.03</v>
      </c>
      <c r="J65" s="249">
        <v>4.5</v>
      </c>
      <c r="K65" s="249">
        <v>4.5</v>
      </c>
      <c r="L65" s="248">
        <f t="shared" si="13"/>
        <v>5.0847457627118642</v>
      </c>
      <c r="M65" s="385">
        <f t="shared" si="7"/>
        <v>3.681292382020275</v>
      </c>
      <c r="N65" s="385">
        <f t="shared" si="8"/>
        <v>6.2774639045825475</v>
      </c>
      <c r="O65" s="248">
        <v>88.5</v>
      </c>
      <c r="P65" s="248">
        <v>0.81</v>
      </c>
      <c r="Q65" s="386">
        <f t="shared" si="14"/>
        <v>9.5376196714181418</v>
      </c>
      <c r="R65" s="248">
        <v>0.6</v>
      </c>
      <c r="S65" s="248">
        <f t="shared" si="15"/>
        <v>3.0508474576271185</v>
      </c>
      <c r="T65" s="248">
        <f t="shared" si="16"/>
        <v>2.2087754292121651</v>
      </c>
      <c r="U65" s="248">
        <f t="shared" si="17"/>
        <v>3.7664783427495285</v>
      </c>
      <c r="V65" s="248">
        <f t="shared" si="5"/>
        <v>5.7225718028508847</v>
      </c>
      <c r="W65" s="248" t="s">
        <v>873</v>
      </c>
      <c r="X65" s="340" t="s">
        <v>857</v>
      </c>
      <c r="Y65" s="177">
        <f t="shared" si="9"/>
        <v>3.7664783427495286E-3</v>
      </c>
      <c r="Z65" s="250" t="s">
        <v>644</v>
      </c>
      <c r="AB65" s="387">
        <v>1</v>
      </c>
      <c r="AC65" s="250">
        <v>0.88500000000000001</v>
      </c>
    </row>
    <row r="66" spans="1:29" ht="31.5" customHeight="1" x14ac:dyDescent="0.25">
      <c r="A66" s="382">
        <v>49</v>
      </c>
      <c r="B66" s="248" t="s">
        <v>722</v>
      </c>
      <c r="C66" s="248" t="s">
        <v>723</v>
      </c>
      <c r="D66" s="383" t="s">
        <v>724</v>
      </c>
      <c r="E66" s="384" t="s">
        <v>734</v>
      </c>
      <c r="F66" s="248">
        <v>380</v>
      </c>
      <c r="G66" s="248">
        <v>3</v>
      </c>
      <c r="H66" s="384">
        <v>2</v>
      </c>
      <c r="I66" s="249">
        <f t="shared" si="6"/>
        <v>16.09</v>
      </c>
      <c r="J66" s="249">
        <v>12</v>
      </c>
      <c r="K66" s="249">
        <v>12</v>
      </c>
      <c r="L66" s="248">
        <f t="shared" si="13"/>
        <v>13.186813186813186</v>
      </c>
      <c r="M66" s="385">
        <f t="shared" si="7"/>
        <v>7.4733114274322388</v>
      </c>
      <c r="N66" s="385">
        <f t="shared" si="8"/>
        <v>15.15725653656688</v>
      </c>
      <c r="O66" s="248">
        <v>91</v>
      </c>
      <c r="P66" s="248">
        <v>0.87</v>
      </c>
      <c r="Q66" s="386">
        <f t="shared" si="14"/>
        <v>23.029068793587115</v>
      </c>
      <c r="R66" s="248">
        <v>0.6</v>
      </c>
      <c r="S66" s="248">
        <f t="shared" si="15"/>
        <v>7.9120879120879115</v>
      </c>
      <c r="T66" s="248">
        <f t="shared" si="16"/>
        <v>4.4839868564593433</v>
      </c>
      <c r="U66" s="248">
        <f t="shared" si="17"/>
        <v>9.0943539219401277</v>
      </c>
      <c r="V66" s="248">
        <f t="shared" si="5"/>
        <v>13.81744127615227</v>
      </c>
      <c r="W66" s="248" t="s">
        <v>881</v>
      </c>
      <c r="X66" s="340" t="s">
        <v>857</v>
      </c>
      <c r="Y66" s="177">
        <f t="shared" si="9"/>
        <v>9.0943539219401279E-3</v>
      </c>
      <c r="Z66" s="250" t="s">
        <v>644</v>
      </c>
      <c r="AB66" s="387">
        <v>1</v>
      </c>
      <c r="AC66" s="250">
        <v>0.91</v>
      </c>
    </row>
    <row r="67" spans="1:29" ht="31.5" customHeight="1" x14ac:dyDescent="0.25">
      <c r="A67" s="382">
        <v>50</v>
      </c>
      <c r="B67" s="248" t="s">
        <v>722</v>
      </c>
      <c r="C67" s="248" t="s">
        <v>723</v>
      </c>
      <c r="D67" s="383" t="s">
        <v>732</v>
      </c>
      <c r="E67" s="384" t="s">
        <v>735</v>
      </c>
      <c r="F67" s="248">
        <v>380</v>
      </c>
      <c r="G67" s="248">
        <v>3</v>
      </c>
      <c r="H67" s="384">
        <v>3</v>
      </c>
      <c r="I67" s="249">
        <f t="shared" si="6"/>
        <v>6.03</v>
      </c>
      <c r="J67" s="249">
        <v>4.5</v>
      </c>
      <c r="K67" s="249">
        <v>4.5</v>
      </c>
      <c r="L67" s="248">
        <f t="shared" si="13"/>
        <v>5.0847457627118642</v>
      </c>
      <c r="M67" s="385">
        <f t="shared" si="7"/>
        <v>3.681292382020275</v>
      </c>
      <c r="N67" s="385">
        <f t="shared" si="8"/>
        <v>6.2774639045825475</v>
      </c>
      <c r="O67" s="248">
        <v>88.5</v>
      </c>
      <c r="P67" s="248">
        <v>0.81</v>
      </c>
      <c r="Q67" s="386">
        <f t="shared" si="14"/>
        <v>9.5376196714181418</v>
      </c>
      <c r="R67" s="248">
        <v>0.6</v>
      </c>
      <c r="S67" s="248">
        <f t="shared" si="15"/>
        <v>3.0508474576271185</v>
      </c>
      <c r="T67" s="248">
        <f t="shared" si="16"/>
        <v>2.2087754292121651</v>
      </c>
      <c r="U67" s="248">
        <f t="shared" si="17"/>
        <v>3.7664783427495285</v>
      </c>
      <c r="V67" s="248">
        <f t="shared" si="5"/>
        <v>5.7225718028508847</v>
      </c>
      <c r="W67" s="248" t="s">
        <v>873</v>
      </c>
      <c r="X67" s="340" t="s">
        <v>857</v>
      </c>
      <c r="Y67" s="177">
        <f t="shared" si="9"/>
        <v>3.7664783427495286E-3</v>
      </c>
      <c r="Z67" s="250" t="s">
        <v>644</v>
      </c>
      <c r="AB67" s="387">
        <v>1</v>
      </c>
      <c r="AC67" s="250">
        <v>0.88500000000000001</v>
      </c>
    </row>
    <row r="68" spans="1:29" ht="31.5" customHeight="1" x14ac:dyDescent="0.25">
      <c r="A68" s="382">
        <v>51</v>
      </c>
      <c r="B68" s="248" t="s">
        <v>722</v>
      </c>
      <c r="C68" s="248" t="s">
        <v>723</v>
      </c>
      <c r="D68" s="383" t="s">
        <v>736</v>
      </c>
      <c r="E68" s="384" t="s">
        <v>737</v>
      </c>
      <c r="F68" s="248">
        <v>380</v>
      </c>
      <c r="G68" s="248">
        <v>3</v>
      </c>
      <c r="H68" s="384">
        <v>3</v>
      </c>
      <c r="I68" s="249">
        <f t="shared" si="6"/>
        <v>20.11</v>
      </c>
      <c r="J68" s="249">
        <v>15</v>
      </c>
      <c r="K68" s="249">
        <v>15</v>
      </c>
      <c r="L68" s="248">
        <f t="shared" si="13"/>
        <v>16.483516483516482</v>
      </c>
      <c r="M68" s="385">
        <f t="shared" si="7"/>
        <v>9.3416392842902987</v>
      </c>
      <c r="N68" s="385">
        <f t="shared" si="8"/>
        <v>18.946570670708599</v>
      </c>
      <c r="O68" s="248">
        <v>91</v>
      </c>
      <c r="P68" s="248">
        <v>0.87</v>
      </c>
      <c r="Q68" s="386">
        <f t="shared" si="14"/>
        <v>28.786335991983893</v>
      </c>
      <c r="R68" s="248">
        <v>0.6</v>
      </c>
      <c r="S68" s="248">
        <f t="shared" si="15"/>
        <v>9.8901098901098887</v>
      </c>
      <c r="T68" s="248">
        <f t="shared" si="16"/>
        <v>5.6049835705741788</v>
      </c>
      <c r="U68" s="248">
        <f t="shared" si="17"/>
        <v>11.367942402425159</v>
      </c>
      <c r="V68" s="248">
        <f t="shared" si="5"/>
        <v>17.271801595190333</v>
      </c>
      <c r="W68" s="248" t="s">
        <v>882</v>
      </c>
      <c r="X68" s="340" t="s">
        <v>887</v>
      </c>
      <c r="Y68" s="177">
        <f t="shared" si="9"/>
        <v>1.136794240242516E-2</v>
      </c>
      <c r="Z68" s="250" t="s">
        <v>644</v>
      </c>
      <c r="AB68" s="387">
        <v>1</v>
      </c>
      <c r="AC68" s="250">
        <v>0.91</v>
      </c>
    </row>
    <row r="69" spans="1:29" ht="31.5" customHeight="1" x14ac:dyDescent="0.25">
      <c r="A69" s="382">
        <v>52</v>
      </c>
      <c r="B69" s="248" t="s">
        <v>722</v>
      </c>
      <c r="C69" s="248" t="s">
        <v>723</v>
      </c>
      <c r="D69" s="383" t="s">
        <v>732</v>
      </c>
      <c r="E69" s="384" t="s">
        <v>738</v>
      </c>
      <c r="F69" s="248">
        <v>380</v>
      </c>
      <c r="G69" s="248">
        <v>3</v>
      </c>
      <c r="H69" s="384">
        <v>3</v>
      </c>
      <c r="I69" s="249">
        <f t="shared" si="6"/>
        <v>7.37</v>
      </c>
      <c r="J69" s="249">
        <v>5.5</v>
      </c>
      <c r="K69" s="249">
        <v>5.5</v>
      </c>
      <c r="L69" s="248">
        <f t="shared" si="13"/>
        <v>6.1452513966480442</v>
      </c>
      <c r="M69" s="385">
        <f t="shared" si="7"/>
        <v>4.4490852065757149</v>
      </c>
      <c r="N69" s="385">
        <f t="shared" si="8"/>
        <v>7.586730119318573</v>
      </c>
      <c r="O69" s="248">
        <v>89.5</v>
      </c>
      <c r="P69" s="248">
        <v>0.81</v>
      </c>
      <c r="Q69" s="386">
        <f t="shared" si="14"/>
        <v>11.526843885941105</v>
      </c>
      <c r="R69" s="248">
        <v>0.6</v>
      </c>
      <c r="S69" s="248">
        <f t="shared" si="15"/>
        <v>3.6871508379888263</v>
      </c>
      <c r="T69" s="248">
        <f t="shared" si="16"/>
        <v>2.669451123945429</v>
      </c>
      <c r="U69" s="248">
        <f t="shared" si="17"/>
        <v>4.5520380715911433</v>
      </c>
      <c r="V69" s="248">
        <f t="shared" si="5"/>
        <v>6.9161063315646629</v>
      </c>
      <c r="W69" s="248" t="s">
        <v>872</v>
      </c>
      <c r="X69" s="340" t="s">
        <v>857</v>
      </c>
      <c r="Y69" s="177">
        <f t="shared" si="9"/>
        <v>4.5520380715911432E-3</v>
      </c>
      <c r="Z69" s="250" t="s">
        <v>644</v>
      </c>
      <c r="AB69" s="387">
        <v>1</v>
      </c>
      <c r="AC69" s="250">
        <v>0.89500000000000002</v>
      </c>
    </row>
    <row r="70" spans="1:29" ht="31.5" customHeight="1" x14ac:dyDescent="0.25">
      <c r="A70" s="382">
        <v>53</v>
      </c>
      <c r="B70" s="248" t="s">
        <v>722</v>
      </c>
      <c r="C70" s="248" t="s">
        <v>723</v>
      </c>
      <c r="D70" s="383" t="s">
        <v>739</v>
      </c>
      <c r="E70" s="384" t="s">
        <v>740</v>
      </c>
      <c r="F70" s="248">
        <v>380</v>
      </c>
      <c r="G70" s="248">
        <v>3</v>
      </c>
      <c r="H70" s="384">
        <v>3</v>
      </c>
      <c r="I70" s="249">
        <f t="shared" si="6"/>
        <v>1</v>
      </c>
      <c r="J70" s="249">
        <v>0.75</v>
      </c>
      <c r="K70" s="249">
        <v>0.75</v>
      </c>
      <c r="L70" s="248">
        <f t="shared" si="13"/>
        <v>0.90689238210399026</v>
      </c>
      <c r="M70" s="385">
        <f t="shared" si="7"/>
        <v>0.97785952662831765</v>
      </c>
      <c r="N70" s="385">
        <f t="shared" si="8"/>
        <v>1.3336652677999856</v>
      </c>
      <c r="O70" s="248">
        <v>82.7</v>
      </c>
      <c r="P70" s="248">
        <v>0.68</v>
      </c>
      <c r="Q70" s="386">
        <f t="shared" si="14"/>
        <v>2.0262947404557266</v>
      </c>
      <c r="R70" s="248">
        <v>0.6</v>
      </c>
      <c r="S70" s="248">
        <f t="shared" si="15"/>
        <v>0.54413542926239411</v>
      </c>
      <c r="T70" s="248">
        <f t="shared" si="16"/>
        <v>0.58671571597699057</v>
      </c>
      <c r="U70" s="248">
        <f t="shared" si="17"/>
        <v>0.80019916067999131</v>
      </c>
      <c r="V70" s="248">
        <f t="shared" si="5"/>
        <v>1.2157768442734358</v>
      </c>
      <c r="W70" s="248" t="s">
        <v>871</v>
      </c>
      <c r="X70" s="340" t="s">
        <v>857</v>
      </c>
      <c r="Y70" s="177">
        <f t="shared" si="9"/>
        <v>8.0019916067999126E-4</v>
      </c>
      <c r="Z70" s="250" t="s">
        <v>644</v>
      </c>
      <c r="AB70" s="387">
        <v>1</v>
      </c>
      <c r="AC70" s="250">
        <v>0.82700000000000007</v>
      </c>
    </row>
    <row r="71" spans="1:29" ht="31.5" customHeight="1" x14ac:dyDescent="0.25">
      <c r="A71" s="382">
        <v>54</v>
      </c>
      <c r="B71" s="248" t="s">
        <v>722</v>
      </c>
      <c r="C71" s="248" t="s">
        <v>723</v>
      </c>
      <c r="D71" s="383" t="s">
        <v>724</v>
      </c>
      <c r="E71" s="384" t="s">
        <v>741</v>
      </c>
      <c r="F71" s="248">
        <v>380</v>
      </c>
      <c r="G71" s="248">
        <v>3</v>
      </c>
      <c r="H71" s="384">
        <v>3</v>
      </c>
      <c r="I71" s="249">
        <f t="shared" si="6"/>
        <v>67.05</v>
      </c>
      <c r="J71" s="249">
        <v>50</v>
      </c>
      <c r="K71" s="249">
        <v>50</v>
      </c>
      <c r="L71" s="248">
        <f t="shared" si="13"/>
        <v>53.134962805526037</v>
      </c>
      <c r="M71" s="385">
        <f t="shared" si="7"/>
        <v>25.734437026453378</v>
      </c>
      <c r="N71" s="385">
        <f t="shared" si="8"/>
        <v>59.038847561695597</v>
      </c>
      <c r="O71" s="248">
        <v>94.1</v>
      </c>
      <c r="P71" s="248">
        <v>0.9</v>
      </c>
      <c r="Q71" s="386">
        <f t="shared" si="14"/>
        <v>89.700248769447995</v>
      </c>
      <c r="R71" s="248">
        <v>0.6</v>
      </c>
      <c r="S71" s="248">
        <f t="shared" si="15"/>
        <v>31.880977683315621</v>
      </c>
      <c r="T71" s="248">
        <f t="shared" si="16"/>
        <v>15.440662215872026</v>
      </c>
      <c r="U71" s="248">
        <f t="shared" si="17"/>
        <v>35.423308537017355</v>
      </c>
      <c r="V71" s="248">
        <f t="shared" si="5"/>
        <v>53.820149261668796</v>
      </c>
      <c r="W71" s="248" t="s">
        <v>862</v>
      </c>
      <c r="X71" s="340" t="s">
        <v>859</v>
      </c>
      <c r="Y71" s="177">
        <f t="shared" si="9"/>
        <v>3.5423308537017355E-2</v>
      </c>
      <c r="Z71" s="250" t="s">
        <v>644</v>
      </c>
      <c r="AB71" s="387">
        <v>1</v>
      </c>
      <c r="AC71" s="250">
        <v>0.94099999999999995</v>
      </c>
    </row>
    <row r="72" spans="1:29" ht="31.5" customHeight="1" x14ac:dyDescent="0.25">
      <c r="A72" s="382">
        <v>55</v>
      </c>
      <c r="B72" s="248" t="s">
        <v>722</v>
      </c>
      <c r="C72" s="248" t="s">
        <v>742</v>
      </c>
      <c r="D72" s="383" t="s">
        <v>681</v>
      </c>
      <c r="E72" s="384" t="s">
        <v>743</v>
      </c>
      <c r="F72" s="248">
        <v>380</v>
      </c>
      <c r="G72" s="248">
        <v>3</v>
      </c>
      <c r="H72" s="384">
        <v>3</v>
      </c>
      <c r="I72" s="249">
        <f t="shared" si="6"/>
        <v>0.16</v>
      </c>
      <c r="J72" s="249">
        <v>0.12</v>
      </c>
      <c r="K72" s="249">
        <v>0.12</v>
      </c>
      <c r="L72" s="248">
        <f t="shared" si="13"/>
        <v>0.14510278113663844</v>
      </c>
      <c r="M72" s="385">
        <f t="shared" si="7"/>
        <v>0.15645752426053081</v>
      </c>
      <c r="N72" s="385">
        <f t="shared" si="8"/>
        <v>0.21338644284799768</v>
      </c>
      <c r="O72" s="248">
        <v>82.7</v>
      </c>
      <c r="P72" s="248">
        <v>0.68</v>
      </c>
      <c r="Q72" s="386">
        <f t="shared" si="14"/>
        <v>0.3242071584729162</v>
      </c>
      <c r="R72" s="248">
        <v>0.6</v>
      </c>
      <c r="S72" s="248">
        <f t="shared" si="15"/>
        <v>8.7061668681983062E-2</v>
      </c>
      <c r="T72" s="248">
        <f t="shared" si="16"/>
        <v>9.3874514556318484E-2</v>
      </c>
      <c r="U72" s="248">
        <f t="shared" si="17"/>
        <v>0.1280318657087986</v>
      </c>
      <c r="V72" s="248">
        <f t="shared" si="5"/>
        <v>0.19452429508374972</v>
      </c>
      <c r="W72" s="248" t="s">
        <v>871</v>
      </c>
      <c r="X72" s="340" t="s">
        <v>857</v>
      </c>
      <c r="Y72" s="177">
        <f t="shared" si="9"/>
        <v>1.2803186570879859E-4</v>
      </c>
      <c r="Z72" s="250" t="s">
        <v>644</v>
      </c>
      <c r="AB72" s="387">
        <v>1</v>
      </c>
      <c r="AC72" s="250">
        <v>0.82700000000000007</v>
      </c>
    </row>
    <row r="73" spans="1:29" ht="31.5" customHeight="1" x14ac:dyDescent="0.25">
      <c r="A73" s="382">
        <v>56</v>
      </c>
      <c r="B73" s="248" t="s">
        <v>722</v>
      </c>
      <c r="C73" s="248" t="s">
        <v>742</v>
      </c>
      <c r="D73" s="383" t="s">
        <v>681</v>
      </c>
      <c r="E73" s="384" t="s">
        <v>744</v>
      </c>
      <c r="F73" s="248">
        <v>380</v>
      </c>
      <c r="G73" s="248">
        <v>3</v>
      </c>
      <c r="H73" s="384">
        <v>3</v>
      </c>
      <c r="I73" s="249">
        <f t="shared" si="6"/>
        <v>0.16</v>
      </c>
      <c r="J73" s="249">
        <v>0.12</v>
      </c>
      <c r="K73" s="249">
        <v>0.12</v>
      </c>
      <c r="L73" s="248">
        <f t="shared" si="13"/>
        <v>0.14510278113663844</v>
      </c>
      <c r="M73" s="385">
        <f t="shared" si="7"/>
        <v>0.15645752426053081</v>
      </c>
      <c r="N73" s="385">
        <f t="shared" si="8"/>
        <v>0.21338644284799768</v>
      </c>
      <c r="O73" s="248">
        <v>82.7</v>
      </c>
      <c r="P73" s="248">
        <v>0.68</v>
      </c>
      <c r="Q73" s="386">
        <f t="shared" si="14"/>
        <v>0.3242071584729162</v>
      </c>
      <c r="R73" s="248">
        <v>0.6</v>
      </c>
      <c r="S73" s="248">
        <f t="shared" si="15"/>
        <v>8.7061668681983062E-2</v>
      </c>
      <c r="T73" s="248">
        <f t="shared" si="16"/>
        <v>9.3874514556318484E-2</v>
      </c>
      <c r="U73" s="248">
        <f t="shared" si="17"/>
        <v>0.1280318657087986</v>
      </c>
      <c r="V73" s="248">
        <f t="shared" si="5"/>
        <v>0.19452429508374972</v>
      </c>
      <c r="W73" s="248" t="s">
        <v>871</v>
      </c>
      <c r="X73" s="340" t="s">
        <v>857</v>
      </c>
      <c r="Y73" s="177">
        <f t="shared" si="9"/>
        <v>1.2803186570879859E-4</v>
      </c>
      <c r="Z73" s="250" t="s">
        <v>644</v>
      </c>
      <c r="AB73" s="387">
        <v>1</v>
      </c>
      <c r="AC73" s="250">
        <v>0.82700000000000007</v>
      </c>
    </row>
    <row r="74" spans="1:29" ht="31.5" customHeight="1" x14ac:dyDescent="0.25">
      <c r="A74" s="382">
        <v>57</v>
      </c>
      <c r="B74" s="248" t="s">
        <v>722</v>
      </c>
      <c r="C74" s="248" t="s">
        <v>742</v>
      </c>
      <c r="D74" s="383" t="s">
        <v>681</v>
      </c>
      <c r="E74" s="384" t="s">
        <v>745</v>
      </c>
      <c r="F74" s="248">
        <v>380</v>
      </c>
      <c r="G74" s="248">
        <v>3</v>
      </c>
      <c r="H74" s="384">
        <v>3</v>
      </c>
      <c r="I74" s="249">
        <f t="shared" si="6"/>
        <v>0.16</v>
      </c>
      <c r="J74" s="249">
        <v>0.12</v>
      </c>
      <c r="K74" s="249">
        <v>0.12</v>
      </c>
      <c r="L74" s="248">
        <f t="shared" si="13"/>
        <v>0.14510278113663844</v>
      </c>
      <c r="M74" s="385">
        <f t="shared" si="7"/>
        <v>0.15645752426053081</v>
      </c>
      <c r="N74" s="385">
        <f t="shared" si="8"/>
        <v>0.21338644284799768</v>
      </c>
      <c r="O74" s="248">
        <v>82.7</v>
      </c>
      <c r="P74" s="248">
        <v>0.68</v>
      </c>
      <c r="Q74" s="386">
        <f t="shared" si="14"/>
        <v>0.3242071584729162</v>
      </c>
      <c r="R74" s="248">
        <v>0.6</v>
      </c>
      <c r="S74" s="248">
        <f t="shared" si="15"/>
        <v>8.7061668681983062E-2</v>
      </c>
      <c r="T74" s="248">
        <f t="shared" si="16"/>
        <v>9.3874514556318484E-2</v>
      </c>
      <c r="U74" s="248">
        <f t="shared" si="17"/>
        <v>0.1280318657087986</v>
      </c>
      <c r="V74" s="248">
        <f t="shared" si="5"/>
        <v>0.19452429508374972</v>
      </c>
      <c r="W74" s="248" t="s">
        <v>871</v>
      </c>
      <c r="X74" s="340" t="s">
        <v>857</v>
      </c>
      <c r="Y74" s="177">
        <f t="shared" si="9"/>
        <v>1.2803186570879859E-4</v>
      </c>
      <c r="Z74" s="250" t="s">
        <v>644</v>
      </c>
      <c r="AB74" s="387">
        <v>1</v>
      </c>
      <c r="AC74" s="250">
        <v>0.82700000000000007</v>
      </c>
    </row>
    <row r="75" spans="1:29" ht="31.5" customHeight="1" x14ac:dyDescent="0.25">
      <c r="A75" s="382">
        <v>58</v>
      </c>
      <c r="B75" s="248" t="s">
        <v>722</v>
      </c>
      <c r="C75" s="248" t="s">
        <v>742</v>
      </c>
      <c r="D75" s="383" t="s">
        <v>681</v>
      </c>
      <c r="E75" s="384" t="s">
        <v>746</v>
      </c>
      <c r="F75" s="248">
        <v>380</v>
      </c>
      <c r="G75" s="248">
        <v>3</v>
      </c>
      <c r="H75" s="384">
        <v>3</v>
      </c>
      <c r="I75" s="249">
        <f t="shared" si="6"/>
        <v>0.16</v>
      </c>
      <c r="J75" s="249">
        <v>0.12</v>
      </c>
      <c r="K75" s="249">
        <v>0.12</v>
      </c>
      <c r="L75" s="248">
        <f t="shared" si="13"/>
        <v>0.14510278113663844</v>
      </c>
      <c r="M75" s="385">
        <f t="shared" si="7"/>
        <v>0.15645752426053081</v>
      </c>
      <c r="N75" s="385">
        <f t="shared" si="8"/>
        <v>0.21338644284799768</v>
      </c>
      <c r="O75" s="248">
        <v>82.7</v>
      </c>
      <c r="P75" s="248">
        <v>0.68</v>
      </c>
      <c r="Q75" s="386">
        <f t="shared" si="14"/>
        <v>0.3242071584729162</v>
      </c>
      <c r="R75" s="248">
        <v>0.6</v>
      </c>
      <c r="S75" s="248">
        <f t="shared" si="15"/>
        <v>8.7061668681983062E-2</v>
      </c>
      <c r="T75" s="248">
        <f t="shared" si="16"/>
        <v>9.3874514556318484E-2</v>
      </c>
      <c r="U75" s="248">
        <f t="shared" si="17"/>
        <v>0.1280318657087986</v>
      </c>
      <c r="V75" s="248">
        <f t="shared" si="5"/>
        <v>0.19452429508374972</v>
      </c>
      <c r="W75" s="248" t="s">
        <v>871</v>
      </c>
      <c r="X75" s="340" t="s">
        <v>857</v>
      </c>
      <c r="Y75" s="177">
        <f t="shared" si="9"/>
        <v>1.2803186570879859E-4</v>
      </c>
      <c r="Z75" s="250" t="s">
        <v>644</v>
      </c>
      <c r="AB75" s="387">
        <v>1</v>
      </c>
      <c r="AC75" s="250">
        <v>0.82700000000000007</v>
      </c>
    </row>
    <row r="76" spans="1:29" ht="31.5" customHeight="1" x14ac:dyDescent="0.25">
      <c r="A76" s="382">
        <v>59</v>
      </c>
      <c r="B76" s="248" t="s">
        <v>747</v>
      </c>
      <c r="C76" s="248" t="s">
        <v>749</v>
      </c>
      <c r="D76" s="383" t="s">
        <v>750</v>
      </c>
      <c r="E76" s="384" t="s">
        <v>751</v>
      </c>
      <c r="F76" s="248">
        <v>380</v>
      </c>
      <c r="G76" s="248">
        <v>3</v>
      </c>
      <c r="H76" s="384">
        <v>3</v>
      </c>
      <c r="I76" s="249">
        <f t="shared" si="6"/>
        <v>12.33</v>
      </c>
      <c r="J76" s="249">
        <v>9.1999999999999993</v>
      </c>
      <c r="K76" s="249">
        <v>9.1999999999999993</v>
      </c>
      <c r="L76" s="248">
        <f t="shared" si="13"/>
        <v>10.109890109890109</v>
      </c>
      <c r="M76" s="385">
        <f t="shared" si="7"/>
        <v>7.0567467057377939</v>
      </c>
      <c r="N76" s="385">
        <f t="shared" si="8"/>
        <v>12.329134280353793</v>
      </c>
      <c r="O76" s="248">
        <v>91</v>
      </c>
      <c r="P76" s="248">
        <v>0.82</v>
      </c>
      <c r="Q76" s="386">
        <f t="shared" si="14"/>
        <v>18.732181567466597</v>
      </c>
      <c r="R76" s="248">
        <v>0.6</v>
      </c>
      <c r="S76" s="248">
        <f t="shared" si="15"/>
        <v>6.0659340659340657</v>
      </c>
      <c r="T76" s="248">
        <f t="shared" si="16"/>
        <v>4.2340480234426758</v>
      </c>
      <c r="U76" s="248">
        <f t="shared" si="17"/>
        <v>7.3974805682122753</v>
      </c>
      <c r="V76" s="248">
        <f t="shared" si="5"/>
        <v>11.239308940479956</v>
      </c>
      <c r="W76" s="248" t="s">
        <v>883</v>
      </c>
      <c r="X76" s="340" t="s">
        <v>857</v>
      </c>
      <c r="Y76" s="177">
        <f t="shared" si="9"/>
        <v>7.3974805682122755E-3</v>
      </c>
      <c r="Z76" s="250" t="s">
        <v>644</v>
      </c>
      <c r="AB76" s="387">
        <v>1</v>
      </c>
      <c r="AC76" s="250">
        <v>0.91</v>
      </c>
    </row>
    <row r="77" spans="1:29" ht="31.5" customHeight="1" x14ac:dyDescent="0.25">
      <c r="A77" s="382">
        <v>60</v>
      </c>
      <c r="B77" s="248" t="s">
        <v>747</v>
      </c>
      <c r="C77" s="248" t="s">
        <v>749</v>
      </c>
      <c r="D77" s="383" t="s">
        <v>750</v>
      </c>
      <c r="E77" s="384" t="s">
        <v>752</v>
      </c>
      <c r="F77" s="248">
        <v>380</v>
      </c>
      <c r="G77" s="248">
        <v>3</v>
      </c>
      <c r="H77" s="384">
        <v>3</v>
      </c>
      <c r="I77" s="249">
        <f t="shared" si="6"/>
        <v>12.33</v>
      </c>
      <c r="J77" s="249">
        <v>9.1999999999999993</v>
      </c>
      <c r="K77" s="249">
        <v>9.1999999999999993</v>
      </c>
      <c r="L77" s="248">
        <f t="shared" si="13"/>
        <v>10.109890109890109</v>
      </c>
      <c r="M77" s="385">
        <f t="shared" si="7"/>
        <v>7.0567467057377939</v>
      </c>
      <c r="N77" s="385">
        <f t="shared" si="8"/>
        <v>12.329134280353793</v>
      </c>
      <c r="O77" s="248">
        <v>91</v>
      </c>
      <c r="P77" s="248">
        <v>0.82</v>
      </c>
      <c r="Q77" s="386">
        <f t="shared" si="14"/>
        <v>18.732181567466597</v>
      </c>
      <c r="R77" s="248">
        <v>0.6</v>
      </c>
      <c r="S77" s="248">
        <f t="shared" si="15"/>
        <v>6.0659340659340657</v>
      </c>
      <c r="T77" s="248">
        <f t="shared" si="16"/>
        <v>4.2340480234426758</v>
      </c>
      <c r="U77" s="248">
        <f t="shared" si="17"/>
        <v>7.3974805682122753</v>
      </c>
      <c r="V77" s="248">
        <f t="shared" si="5"/>
        <v>11.239308940479956</v>
      </c>
      <c r="W77" s="248" t="s">
        <v>883</v>
      </c>
      <c r="X77" s="340" t="s">
        <v>857</v>
      </c>
      <c r="Y77" s="177">
        <f t="shared" si="9"/>
        <v>7.3974805682122755E-3</v>
      </c>
      <c r="Z77" s="250" t="s">
        <v>644</v>
      </c>
      <c r="AB77" s="387">
        <v>1</v>
      </c>
      <c r="AC77" s="250">
        <v>0.91</v>
      </c>
    </row>
    <row r="78" spans="1:29" ht="31.5" customHeight="1" x14ac:dyDescent="0.25">
      <c r="A78" s="382">
        <v>61</v>
      </c>
      <c r="B78" s="248" t="s">
        <v>747</v>
      </c>
      <c r="C78" s="248" t="s">
        <v>749</v>
      </c>
      <c r="D78" s="383" t="s">
        <v>753</v>
      </c>
      <c r="E78" s="384" t="s">
        <v>754</v>
      </c>
      <c r="F78" s="248">
        <v>380</v>
      </c>
      <c r="G78" s="248">
        <v>3</v>
      </c>
      <c r="H78" s="384">
        <v>3</v>
      </c>
      <c r="I78" s="249">
        <f t="shared" si="6"/>
        <v>49.61</v>
      </c>
      <c r="J78" s="249">
        <v>37</v>
      </c>
      <c r="K78" s="249">
        <v>37</v>
      </c>
      <c r="L78" s="248">
        <f t="shared" ref="L78:L109" si="18">(J78/AC78)*AB78</f>
        <v>39.784946236559136</v>
      </c>
      <c r="M78" s="385">
        <f t="shared" si="7"/>
        <v>19.268728902151118</v>
      </c>
      <c r="N78" s="385">
        <f t="shared" si="8"/>
        <v>44.205495818399037</v>
      </c>
      <c r="O78" s="248">
        <v>93</v>
      </c>
      <c r="P78" s="248">
        <v>0.9</v>
      </c>
      <c r="Q78" s="386">
        <f t="shared" ref="Q78:Q109" si="19">IF((((G78=3))),(N78*1000)/((SQRT(3)*F78)),(IF(((G78=1)),(N78*1000)/((F78)),(IF(((G78=2)),(N78*1000)/((F78)),0)))))</f>
        <v>67.16330239582517</v>
      </c>
      <c r="R78" s="248">
        <v>0.6</v>
      </c>
      <c r="S78" s="248">
        <f t="shared" si="15"/>
        <v>23.87096774193548</v>
      </c>
      <c r="T78" s="248">
        <f t="shared" si="16"/>
        <v>11.561237341290671</v>
      </c>
      <c r="U78" s="248">
        <f t="shared" si="17"/>
        <v>26.523297491039422</v>
      </c>
      <c r="V78" s="248">
        <f t="shared" ref="V78:V129" si="20">U78*1000/(380*SQRT(3))</f>
        <v>40.297981437495096</v>
      </c>
      <c r="W78" s="248" t="s">
        <v>884</v>
      </c>
      <c r="X78" s="340" t="s">
        <v>887</v>
      </c>
      <c r="Y78" s="177">
        <f t="shared" si="9"/>
        <v>2.6523297491039422E-2</v>
      </c>
      <c r="Z78" s="250" t="s">
        <v>644</v>
      </c>
      <c r="AB78" s="387">
        <v>1</v>
      </c>
      <c r="AC78" s="250">
        <v>0.93</v>
      </c>
    </row>
    <row r="79" spans="1:29" ht="31.5" customHeight="1" x14ac:dyDescent="0.25">
      <c r="A79" s="382">
        <v>62</v>
      </c>
      <c r="B79" s="248" t="s">
        <v>747</v>
      </c>
      <c r="C79" s="248" t="s">
        <v>749</v>
      </c>
      <c r="D79" s="383" t="s">
        <v>753</v>
      </c>
      <c r="E79" s="384" t="s">
        <v>755</v>
      </c>
      <c r="F79" s="248">
        <v>380</v>
      </c>
      <c r="G79" s="248">
        <v>3</v>
      </c>
      <c r="H79" s="384">
        <v>3</v>
      </c>
      <c r="I79" s="249">
        <f t="shared" ref="I79:I129" si="21">ROUNDDOWN(J79/0.7457,2)</f>
        <v>49.61</v>
      </c>
      <c r="J79" s="249">
        <v>37</v>
      </c>
      <c r="K79" s="249">
        <v>37</v>
      </c>
      <c r="L79" s="248">
        <f t="shared" si="18"/>
        <v>39.784946236559136</v>
      </c>
      <c r="M79" s="385">
        <f t="shared" ref="M79:M129" si="22">SQRT((N79^2)-(L79^2))</f>
        <v>19.268728902151118</v>
      </c>
      <c r="N79" s="385">
        <f t="shared" ref="N79:N129" si="23">L79/P79</f>
        <v>44.205495818399037</v>
      </c>
      <c r="O79" s="248">
        <v>93</v>
      </c>
      <c r="P79" s="248">
        <v>0.9</v>
      </c>
      <c r="Q79" s="386">
        <f t="shared" si="19"/>
        <v>67.16330239582517</v>
      </c>
      <c r="R79" s="248">
        <v>0.6</v>
      </c>
      <c r="S79" s="248">
        <f t="shared" si="15"/>
        <v>23.87096774193548</v>
      </c>
      <c r="T79" s="248">
        <f t="shared" si="16"/>
        <v>11.561237341290671</v>
      </c>
      <c r="U79" s="248">
        <f t="shared" si="17"/>
        <v>26.523297491039422</v>
      </c>
      <c r="V79" s="248">
        <f t="shared" si="20"/>
        <v>40.297981437495096</v>
      </c>
      <c r="W79" s="248" t="s">
        <v>884</v>
      </c>
      <c r="X79" s="340" t="s">
        <v>859</v>
      </c>
      <c r="Y79" s="177">
        <f t="shared" si="9"/>
        <v>2.6523297491039422E-2</v>
      </c>
      <c r="Z79" s="250" t="s">
        <v>644</v>
      </c>
      <c r="AB79" s="387">
        <v>1</v>
      </c>
      <c r="AC79" s="250">
        <v>0.93</v>
      </c>
    </row>
    <row r="80" spans="1:29" ht="31.5" customHeight="1" x14ac:dyDescent="0.25">
      <c r="A80" s="382">
        <v>63</v>
      </c>
      <c r="B80" s="248" t="s">
        <v>748</v>
      </c>
      <c r="C80" s="248" t="s">
        <v>756</v>
      </c>
      <c r="D80" s="383" t="s">
        <v>697</v>
      </c>
      <c r="E80" s="384" t="s">
        <v>757</v>
      </c>
      <c r="F80" s="248">
        <v>380</v>
      </c>
      <c r="G80" s="248">
        <v>3</v>
      </c>
      <c r="H80" s="384">
        <v>5</v>
      </c>
      <c r="I80" s="249">
        <f t="shared" si="21"/>
        <v>16.09</v>
      </c>
      <c r="J80" s="249">
        <v>12</v>
      </c>
      <c r="K80" s="249">
        <v>12</v>
      </c>
      <c r="L80" s="248">
        <f t="shared" si="18"/>
        <v>12</v>
      </c>
      <c r="M80" s="385">
        <f t="shared" si="22"/>
        <v>6.8007133989633397</v>
      </c>
      <c r="N80" s="385">
        <f t="shared" si="23"/>
        <v>13.793103448275863</v>
      </c>
      <c r="O80" s="248">
        <v>91</v>
      </c>
      <c r="P80" s="248">
        <v>0.87</v>
      </c>
      <c r="Q80" s="386">
        <f t="shared" si="19"/>
        <v>20.956452602164276</v>
      </c>
      <c r="R80" s="248">
        <v>0.6</v>
      </c>
      <c r="S80" s="248">
        <f t="shared" ref="S80:S82" si="24">L80*R80</f>
        <v>7.1999999999999993</v>
      </c>
      <c r="T80" s="248">
        <f t="shared" ref="T80:T82" si="25">M80*R80</f>
        <v>4.0804280393780035</v>
      </c>
      <c r="U80" s="248">
        <f t="shared" ref="U80:U82" si="26">N80*R80</f>
        <v>8.2758620689655178</v>
      </c>
      <c r="V80" s="248">
        <f t="shared" si="20"/>
        <v>12.573871561298567</v>
      </c>
      <c r="W80" s="248" t="s">
        <v>885</v>
      </c>
      <c r="X80" s="340" t="s">
        <v>858</v>
      </c>
      <c r="Y80" s="177">
        <f t="shared" ref="Y80:Y129" si="27">U80/1000</f>
        <v>8.2758620689655175E-3</v>
      </c>
      <c r="Z80" s="250" t="s">
        <v>644</v>
      </c>
      <c r="AB80" s="387">
        <v>1</v>
      </c>
      <c r="AC80" s="250">
        <v>1</v>
      </c>
    </row>
    <row r="81" spans="1:29" ht="31.5" customHeight="1" x14ac:dyDescent="0.25">
      <c r="A81" s="382">
        <v>64</v>
      </c>
      <c r="B81" s="248" t="s">
        <v>748</v>
      </c>
      <c r="C81" s="248" t="s">
        <v>756</v>
      </c>
      <c r="D81" s="383" t="s">
        <v>699</v>
      </c>
      <c r="E81" s="384" t="s">
        <v>758</v>
      </c>
      <c r="F81" s="248">
        <v>380</v>
      </c>
      <c r="G81" s="248">
        <v>3</v>
      </c>
      <c r="H81" s="384">
        <v>3</v>
      </c>
      <c r="I81" s="249">
        <f t="shared" si="21"/>
        <v>49.61</v>
      </c>
      <c r="J81" s="249">
        <v>37</v>
      </c>
      <c r="K81" s="249">
        <v>37</v>
      </c>
      <c r="L81" s="248">
        <f t="shared" si="18"/>
        <v>39.784946236559136</v>
      </c>
      <c r="M81" s="385">
        <f t="shared" si="22"/>
        <v>19.268728902151118</v>
      </c>
      <c r="N81" s="385">
        <f t="shared" si="23"/>
        <v>44.205495818399037</v>
      </c>
      <c r="O81" s="248">
        <v>93</v>
      </c>
      <c r="P81" s="248">
        <v>0.9</v>
      </c>
      <c r="Q81" s="386">
        <f t="shared" si="19"/>
        <v>67.16330239582517</v>
      </c>
      <c r="R81" s="248">
        <v>0.6</v>
      </c>
      <c r="S81" s="248">
        <f t="shared" si="24"/>
        <v>23.87096774193548</v>
      </c>
      <c r="T81" s="248">
        <f t="shared" si="25"/>
        <v>11.561237341290671</v>
      </c>
      <c r="U81" s="248">
        <f t="shared" si="26"/>
        <v>26.523297491039422</v>
      </c>
      <c r="V81" s="248">
        <f t="shared" si="20"/>
        <v>40.297981437495096</v>
      </c>
      <c r="W81" s="248" t="s">
        <v>884</v>
      </c>
      <c r="X81" s="340" t="s">
        <v>859</v>
      </c>
      <c r="Y81" s="177">
        <f t="shared" si="27"/>
        <v>2.6523297491039422E-2</v>
      </c>
      <c r="Z81" s="250" t="s">
        <v>644</v>
      </c>
      <c r="AB81" s="387">
        <v>1</v>
      </c>
      <c r="AC81" s="250">
        <v>0.93</v>
      </c>
    </row>
    <row r="82" spans="1:29" ht="31.5" customHeight="1" x14ac:dyDescent="0.25">
      <c r="A82" s="382">
        <v>65</v>
      </c>
      <c r="B82" s="248" t="s">
        <v>748</v>
      </c>
      <c r="C82" s="248" t="s">
        <v>756</v>
      </c>
      <c r="D82" s="383" t="s">
        <v>699</v>
      </c>
      <c r="E82" s="384" t="s">
        <v>759</v>
      </c>
      <c r="F82" s="248">
        <v>380</v>
      </c>
      <c r="G82" s="248">
        <v>3</v>
      </c>
      <c r="H82" s="384">
        <v>3</v>
      </c>
      <c r="I82" s="249">
        <f t="shared" si="21"/>
        <v>40.229999999999997</v>
      </c>
      <c r="J82" s="249">
        <v>30</v>
      </c>
      <c r="K82" s="249">
        <v>30</v>
      </c>
      <c r="L82" s="248">
        <f t="shared" si="18"/>
        <v>32.258064516129032</v>
      </c>
      <c r="M82" s="385">
        <f t="shared" si="22"/>
        <v>17.411058778647977</v>
      </c>
      <c r="N82" s="385">
        <f t="shared" si="23"/>
        <v>36.656891495601172</v>
      </c>
      <c r="O82" s="248">
        <v>93</v>
      </c>
      <c r="P82" s="248">
        <v>0.88</v>
      </c>
      <c r="Q82" s="386">
        <f t="shared" si="19"/>
        <v>55.694384664842744</v>
      </c>
      <c r="R82" s="248">
        <v>0.6</v>
      </c>
      <c r="S82" s="248">
        <f t="shared" si="24"/>
        <v>19.35483870967742</v>
      </c>
      <c r="T82" s="248">
        <f t="shared" si="25"/>
        <v>10.446635267188785</v>
      </c>
      <c r="U82" s="248">
        <f t="shared" si="26"/>
        <v>21.994134897360702</v>
      </c>
      <c r="V82" s="248">
        <f t="shared" si="20"/>
        <v>33.416630798905643</v>
      </c>
      <c r="W82" s="248" t="s">
        <v>875</v>
      </c>
      <c r="X82" s="340" t="s">
        <v>853</v>
      </c>
      <c r="Y82" s="177">
        <f t="shared" si="27"/>
        <v>2.1994134897360702E-2</v>
      </c>
      <c r="Z82" s="250" t="s">
        <v>644</v>
      </c>
      <c r="AB82" s="387">
        <v>1</v>
      </c>
      <c r="AC82" s="250">
        <v>0.93</v>
      </c>
    </row>
    <row r="83" spans="1:29" ht="31.5" customHeight="1" x14ac:dyDescent="0.25">
      <c r="A83" s="382">
        <v>66</v>
      </c>
      <c r="B83" s="248" t="s">
        <v>748</v>
      </c>
      <c r="C83" s="248" t="s">
        <v>760</v>
      </c>
      <c r="D83" s="383" t="s">
        <v>761</v>
      </c>
      <c r="E83" s="384" t="s">
        <v>762</v>
      </c>
      <c r="F83" s="248">
        <v>380</v>
      </c>
      <c r="G83" s="248">
        <v>3</v>
      </c>
      <c r="H83" s="384">
        <v>3</v>
      </c>
      <c r="I83" s="249">
        <f t="shared" si="21"/>
        <v>1.2</v>
      </c>
      <c r="J83" s="249">
        <v>0.9</v>
      </c>
      <c r="K83" s="249">
        <v>0.9</v>
      </c>
      <c r="L83" s="248">
        <f t="shared" si="18"/>
        <v>1.1042944785276074</v>
      </c>
      <c r="M83" s="385">
        <f t="shared" si="22"/>
        <v>1.1907089499704815</v>
      </c>
      <c r="N83" s="385">
        <f t="shared" si="23"/>
        <v>1.6239624684229519</v>
      </c>
      <c r="O83" s="248">
        <v>81.5</v>
      </c>
      <c r="P83" s="248">
        <v>0.68</v>
      </c>
      <c r="Q83" s="386">
        <f t="shared" si="19"/>
        <v>2.4673557060469484</v>
      </c>
      <c r="R83" s="248">
        <v>0.6</v>
      </c>
      <c r="S83" s="248">
        <f t="shared" ref="S83:S118" si="28">L83*R83</f>
        <v>0.66257668711656448</v>
      </c>
      <c r="T83" s="248">
        <f t="shared" ref="T83:T118" si="29">M83*R83</f>
        <v>0.71442536998228889</v>
      </c>
      <c r="U83" s="248">
        <f t="shared" ref="U83:U118" si="30">N83*R83</f>
        <v>0.97437748105377109</v>
      </c>
      <c r="V83" s="248">
        <f t="shared" si="20"/>
        <v>1.4804134236281692</v>
      </c>
      <c r="W83" s="248" t="s">
        <v>871</v>
      </c>
      <c r="X83" s="340" t="s">
        <v>857</v>
      </c>
      <c r="Y83" s="177">
        <f t="shared" si="27"/>
        <v>9.7437748105377105E-4</v>
      </c>
      <c r="Z83" s="250" t="s">
        <v>644</v>
      </c>
      <c r="AB83" s="387">
        <v>1</v>
      </c>
      <c r="AC83" s="250">
        <v>0.81499999999999995</v>
      </c>
    </row>
    <row r="84" spans="1:29" ht="31.5" customHeight="1" x14ac:dyDescent="0.25">
      <c r="A84" s="382">
        <v>67</v>
      </c>
      <c r="B84" s="248" t="s">
        <v>748</v>
      </c>
      <c r="C84" s="248" t="s">
        <v>760</v>
      </c>
      <c r="D84" s="383" t="s">
        <v>713</v>
      </c>
      <c r="E84" s="384" t="s">
        <v>763</v>
      </c>
      <c r="F84" s="248">
        <v>380</v>
      </c>
      <c r="G84" s="248">
        <v>3</v>
      </c>
      <c r="H84" s="384">
        <v>3</v>
      </c>
      <c r="I84" s="249">
        <f t="shared" si="21"/>
        <v>0.73</v>
      </c>
      <c r="J84" s="249">
        <v>0.55000000000000004</v>
      </c>
      <c r="K84" s="249">
        <v>0.55000000000000004</v>
      </c>
      <c r="L84" s="248">
        <f t="shared" si="18"/>
        <v>0.66505441354292627</v>
      </c>
      <c r="M84" s="385">
        <f t="shared" si="22"/>
        <v>0.71709698619409956</v>
      </c>
      <c r="N84" s="385">
        <f t="shared" si="23"/>
        <v>0.97802119638665619</v>
      </c>
      <c r="O84" s="248">
        <v>82.7</v>
      </c>
      <c r="P84" s="248">
        <v>0.68</v>
      </c>
      <c r="Q84" s="386">
        <f t="shared" si="19"/>
        <v>1.4859494763341996</v>
      </c>
      <c r="R84" s="248">
        <v>0.6</v>
      </c>
      <c r="S84" s="248">
        <f t="shared" si="28"/>
        <v>0.39903264812575573</v>
      </c>
      <c r="T84" s="248">
        <f t="shared" si="29"/>
        <v>0.43025819171645974</v>
      </c>
      <c r="U84" s="248">
        <f t="shared" si="30"/>
        <v>0.58681271783199374</v>
      </c>
      <c r="V84" s="248">
        <f t="shared" si="20"/>
        <v>0.89156968580051976</v>
      </c>
      <c r="W84" s="248" t="s">
        <v>871</v>
      </c>
      <c r="X84" s="340" t="s">
        <v>857</v>
      </c>
      <c r="Y84" s="177">
        <f t="shared" si="27"/>
        <v>5.8681271783199375E-4</v>
      </c>
      <c r="Z84" s="250" t="s">
        <v>644</v>
      </c>
      <c r="AB84" s="387">
        <v>1</v>
      </c>
      <c r="AC84" s="250">
        <v>0.82700000000000007</v>
      </c>
    </row>
    <row r="85" spans="1:29" ht="31.5" customHeight="1" x14ac:dyDescent="0.25">
      <c r="A85" s="382">
        <v>68</v>
      </c>
      <c r="B85" s="248" t="s">
        <v>748</v>
      </c>
      <c r="C85" s="248" t="s">
        <v>760</v>
      </c>
      <c r="D85" s="383" t="s">
        <v>692</v>
      </c>
      <c r="E85" s="384" t="s">
        <v>764</v>
      </c>
      <c r="F85" s="248">
        <v>380</v>
      </c>
      <c r="G85" s="248">
        <v>3</v>
      </c>
      <c r="H85" s="384">
        <v>5</v>
      </c>
      <c r="I85" s="249">
        <f t="shared" si="21"/>
        <v>6.3</v>
      </c>
      <c r="J85" s="249">
        <v>4.7</v>
      </c>
      <c r="K85" s="249">
        <v>4.7</v>
      </c>
      <c r="L85" s="248">
        <f t="shared" si="18"/>
        <v>4.7</v>
      </c>
      <c r="M85" s="385">
        <f t="shared" si="22"/>
        <v>3.4027412584474082</v>
      </c>
      <c r="N85" s="385">
        <f t="shared" si="23"/>
        <v>5.8024691358024691</v>
      </c>
      <c r="O85" s="248">
        <v>89.5</v>
      </c>
      <c r="P85" s="248">
        <v>0.81</v>
      </c>
      <c r="Q85" s="386">
        <f t="shared" si="19"/>
        <v>8.8159397829475026</v>
      </c>
      <c r="R85" s="248">
        <v>0.6</v>
      </c>
      <c r="S85" s="248">
        <f t="shared" si="28"/>
        <v>2.82</v>
      </c>
      <c r="T85" s="248">
        <f t="shared" si="29"/>
        <v>2.0416447550684449</v>
      </c>
      <c r="U85" s="248">
        <f t="shared" si="30"/>
        <v>3.4814814814814814</v>
      </c>
      <c r="V85" s="248">
        <f t="shared" si="20"/>
        <v>5.289563869768501</v>
      </c>
      <c r="W85" s="248" t="s">
        <v>874</v>
      </c>
      <c r="X85" s="340" t="s">
        <v>857</v>
      </c>
      <c r="Y85" s="177">
        <f t="shared" si="27"/>
        <v>3.4814814814814812E-3</v>
      </c>
      <c r="Z85" s="250" t="s">
        <v>644</v>
      </c>
      <c r="AB85" s="387">
        <v>1</v>
      </c>
      <c r="AC85" s="250">
        <v>1</v>
      </c>
    </row>
    <row r="86" spans="1:29" ht="31.5" customHeight="1" x14ac:dyDescent="0.25">
      <c r="A86" s="382">
        <v>69</v>
      </c>
      <c r="B86" s="248" t="s">
        <v>748</v>
      </c>
      <c r="C86" s="248" t="s">
        <v>760</v>
      </c>
      <c r="D86" s="383" t="s">
        <v>694</v>
      </c>
      <c r="E86" s="384" t="s">
        <v>765</v>
      </c>
      <c r="F86" s="248">
        <v>380</v>
      </c>
      <c r="G86" s="248">
        <v>3</v>
      </c>
      <c r="H86" s="384">
        <v>3</v>
      </c>
      <c r="I86" s="249">
        <f t="shared" si="21"/>
        <v>0.22</v>
      </c>
      <c r="J86" s="249">
        <v>0.17</v>
      </c>
      <c r="K86" s="249">
        <v>0.17</v>
      </c>
      <c r="L86" s="248">
        <f t="shared" si="18"/>
        <v>0.20556227327690446</v>
      </c>
      <c r="M86" s="385">
        <f t="shared" si="22"/>
        <v>0.22164815936908533</v>
      </c>
      <c r="N86" s="385">
        <f t="shared" si="23"/>
        <v>0.30229746070133007</v>
      </c>
      <c r="O86" s="248">
        <v>82.7</v>
      </c>
      <c r="P86" s="248">
        <v>0.68</v>
      </c>
      <c r="Q86" s="386">
        <f t="shared" si="19"/>
        <v>0.45929347450329799</v>
      </c>
      <c r="R86" s="248">
        <v>0.6</v>
      </c>
      <c r="S86" s="248">
        <f t="shared" si="28"/>
        <v>0.12333736396614267</v>
      </c>
      <c r="T86" s="248">
        <f t="shared" si="29"/>
        <v>0.13298889562145119</v>
      </c>
      <c r="U86" s="248">
        <f t="shared" si="30"/>
        <v>0.18137847642079805</v>
      </c>
      <c r="V86" s="248">
        <f t="shared" si="20"/>
        <v>0.27557608470197881</v>
      </c>
      <c r="W86" s="248" t="s">
        <v>871</v>
      </c>
      <c r="X86" s="340" t="s">
        <v>857</v>
      </c>
      <c r="Y86" s="177">
        <f t="shared" si="27"/>
        <v>1.8137847642079805E-4</v>
      </c>
      <c r="Z86" s="250" t="s">
        <v>644</v>
      </c>
      <c r="AB86" s="387">
        <v>1</v>
      </c>
      <c r="AC86" s="250">
        <v>0.82700000000000007</v>
      </c>
    </row>
    <row r="87" spans="1:29" ht="31.5" customHeight="1" x14ac:dyDescent="0.25">
      <c r="A87" s="382">
        <v>70</v>
      </c>
      <c r="B87" s="248" t="s">
        <v>748</v>
      </c>
      <c r="C87" s="248" t="s">
        <v>760</v>
      </c>
      <c r="D87" s="383" t="s">
        <v>704</v>
      </c>
      <c r="E87" s="384" t="s">
        <v>766</v>
      </c>
      <c r="F87" s="248">
        <v>380</v>
      </c>
      <c r="G87" s="248">
        <v>3</v>
      </c>
      <c r="H87" s="384">
        <v>3</v>
      </c>
      <c r="I87" s="249">
        <f t="shared" si="21"/>
        <v>4.96</v>
      </c>
      <c r="J87" s="249">
        <v>3.7</v>
      </c>
      <c r="K87" s="249">
        <v>3.7</v>
      </c>
      <c r="L87" s="248">
        <f t="shared" si="18"/>
        <v>4.2285714285714286</v>
      </c>
      <c r="M87" s="385">
        <f t="shared" si="22"/>
        <v>3.3925043243662691</v>
      </c>
      <c r="N87" s="385">
        <f t="shared" si="23"/>
        <v>5.4212454212454215</v>
      </c>
      <c r="O87" s="248">
        <v>87.5</v>
      </c>
      <c r="P87" s="248">
        <v>0.78</v>
      </c>
      <c r="Q87" s="386">
        <f t="shared" si="19"/>
        <v>8.2367302718396598</v>
      </c>
      <c r="R87" s="248">
        <v>0.6</v>
      </c>
      <c r="S87" s="248">
        <f t="shared" si="28"/>
        <v>2.5371428571428569</v>
      </c>
      <c r="T87" s="248">
        <f t="shared" si="29"/>
        <v>2.0355025946197616</v>
      </c>
      <c r="U87" s="248">
        <f t="shared" si="30"/>
        <v>3.2527472527472527</v>
      </c>
      <c r="V87" s="248">
        <f t="shared" si="20"/>
        <v>4.9420381631037955</v>
      </c>
      <c r="W87" s="248" t="s">
        <v>874</v>
      </c>
      <c r="X87" s="340" t="s">
        <v>857</v>
      </c>
      <c r="Y87" s="177">
        <f t="shared" si="27"/>
        <v>3.2527472527472527E-3</v>
      </c>
      <c r="Z87" s="250" t="s">
        <v>644</v>
      </c>
      <c r="AB87" s="387">
        <v>1</v>
      </c>
      <c r="AC87" s="250">
        <v>0.875</v>
      </c>
    </row>
    <row r="88" spans="1:29" ht="31.5" customHeight="1" x14ac:dyDescent="0.25">
      <c r="A88" s="382">
        <v>71</v>
      </c>
      <c r="B88" s="248" t="s">
        <v>748</v>
      </c>
      <c r="C88" s="248" t="s">
        <v>760</v>
      </c>
      <c r="D88" s="383" t="s">
        <v>761</v>
      </c>
      <c r="E88" s="384" t="s">
        <v>767</v>
      </c>
      <c r="F88" s="248">
        <v>380</v>
      </c>
      <c r="G88" s="248">
        <v>3</v>
      </c>
      <c r="H88" s="384">
        <v>3</v>
      </c>
      <c r="I88" s="249">
        <f t="shared" si="21"/>
        <v>1.2</v>
      </c>
      <c r="J88" s="249">
        <v>0.9</v>
      </c>
      <c r="K88" s="249">
        <v>0.9</v>
      </c>
      <c r="L88" s="248">
        <f t="shared" si="18"/>
        <v>1.1042944785276074</v>
      </c>
      <c r="M88" s="385">
        <f t="shared" si="22"/>
        <v>1.1907089499704815</v>
      </c>
      <c r="N88" s="385">
        <f t="shared" si="23"/>
        <v>1.6239624684229519</v>
      </c>
      <c r="O88" s="248">
        <v>81.5</v>
      </c>
      <c r="P88" s="248">
        <v>0.68</v>
      </c>
      <c r="Q88" s="386">
        <f t="shared" si="19"/>
        <v>2.4673557060469484</v>
      </c>
      <c r="R88" s="248">
        <v>0.6</v>
      </c>
      <c r="S88" s="248">
        <f t="shared" si="28"/>
        <v>0.66257668711656448</v>
      </c>
      <c r="T88" s="248">
        <f t="shared" si="29"/>
        <v>0.71442536998228889</v>
      </c>
      <c r="U88" s="248">
        <f t="shared" si="30"/>
        <v>0.97437748105377109</v>
      </c>
      <c r="V88" s="248">
        <f t="shared" si="20"/>
        <v>1.4804134236281692</v>
      </c>
      <c r="W88" s="248" t="s">
        <v>871</v>
      </c>
      <c r="X88" s="340" t="s">
        <v>857</v>
      </c>
      <c r="Y88" s="177">
        <f t="shared" si="27"/>
        <v>9.7437748105377105E-4</v>
      </c>
      <c r="Z88" s="250" t="s">
        <v>644</v>
      </c>
      <c r="AB88" s="387">
        <v>1</v>
      </c>
      <c r="AC88" s="250">
        <v>0.81499999999999995</v>
      </c>
    </row>
    <row r="89" spans="1:29" ht="31.5" customHeight="1" x14ac:dyDescent="0.25">
      <c r="A89" s="382">
        <v>72</v>
      </c>
      <c r="B89" s="248" t="s">
        <v>748</v>
      </c>
      <c r="C89" s="248" t="s">
        <v>760</v>
      </c>
      <c r="D89" s="383" t="s">
        <v>713</v>
      </c>
      <c r="E89" s="384" t="s">
        <v>768</v>
      </c>
      <c r="F89" s="248">
        <v>380</v>
      </c>
      <c r="G89" s="248">
        <v>3</v>
      </c>
      <c r="H89" s="384">
        <v>3</v>
      </c>
      <c r="I89" s="249">
        <f t="shared" si="21"/>
        <v>1</v>
      </c>
      <c r="J89" s="249">
        <v>0.75</v>
      </c>
      <c r="K89" s="249">
        <v>0.75</v>
      </c>
      <c r="L89" s="248">
        <f t="shared" si="18"/>
        <v>0.90689238210399026</v>
      </c>
      <c r="M89" s="385">
        <f t="shared" si="22"/>
        <v>0.97785952662831765</v>
      </c>
      <c r="N89" s="385">
        <f t="shared" si="23"/>
        <v>1.3336652677999856</v>
      </c>
      <c r="O89" s="248">
        <v>82.7</v>
      </c>
      <c r="P89" s="248">
        <v>0.68</v>
      </c>
      <c r="Q89" s="386">
        <f t="shared" si="19"/>
        <v>2.0262947404557266</v>
      </c>
      <c r="R89" s="248">
        <v>0.6</v>
      </c>
      <c r="S89" s="248">
        <f t="shared" si="28"/>
        <v>0.54413542926239411</v>
      </c>
      <c r="T89" s="248">
        <f t="shared" si="29"/>
        <v>0.58671571597699057</v>
      </c>
      <c r="U89" s="248">
        <f t="shared" si="30"/>
        <v>0.80019916067999131</v>
      </c>
      <c r="V89" s="248">
        <f t="shared" si="20"/>
        <v>1.2157768442734358</v>
      </c>
      <c r="W89" s="248" t="s">
        <v>871</v>
      </c>
      <c r="X89" s="340" t="s">
        <v>857</v>
      </c>
      <c r="Y89" s="177">
        <f t="shared" si="27"/>
        <v>8.0019916067999126E-4</v>
      </c>
      <c r="Z89" s="250" t="s">
        <v>644</v>
      </c>
      <c r="AB89" s="387">
        <v>1</v>
      </c>
      <c r="AC89" s="250">
        <v>0.82700000000000007</v>
      </c>
    </row>
    <row r="90" spans="1:29" ht="31.5" customHeight="1" x14ac:dyDescent="0.25">
      <c r="A90" s="382">
        <v>73</v>
      </c>
      <c r="B90" s="248" t="s">
        <v>748</v>
      </c>
      <c r="C90" s="248" t="s">
        <v>760</v>
      </c>
      <c r="D90" s="383" t="s">
        <v>692</v>
      </c>
      <c r="E90" s="384" t="s">
        <v>769</v>
      </c>
      <c r="F90" s="248">
        <v>380</v>
      </c>
      <c r="G90" s="248">
        <v>3</v>
      </c>
      <c r="H90" s="384">
        <v>5</v>
      </c>
      <c r="I90" s="249">
        <f t="shared" si="21"/>
        <v>6.3</v>
      </c>
      <c r="J90" s="249">
        <v>4.7</v>
      </c>
      <c r="K90" s="249">
        <v>4.7</v>
      </c>
      <c r="L90" s="248">
        <f t="shared" si="18"/>
        <v>4.7</v>
      </c>
      <c r="M90" s="385">
        <f t="shared" si="22"/>
        <v>3.4027412584474082</v>
      </c>
      <c r="N90" s="385">
        <f t="shared" si="23"/>
        <v>5.8024691358024691</v>
      </c>
      <c r="O90" s="248">
        <v>89.5</v>
      </c>
      <c r="P90" s="248">
        <v>0.81</v>
      </c>
      <c r="Q90" s="386">
        <f t="shared" si="19"/>
        <v>8.8159397829475026</v>
      </c>
      <c r="R90" s="248">
        <v>0.6</v>
      </c>
      <c r="S90" s="248">
        <f t="shared" si="28"/>
        <v>2.82</v>
      </c>
      <c r="T90" s="248">
        <f t="shared" si="29"/>
        <v>2.0416447550684449</v>
      </c>
      <c r="U90" s="248">
        <f t="shared" si="30"/>
        <v>3.4814814814814814</v>
      </c>
      <c r="V90" s="248">
        <f t="shared" si="20"/>
        <v>5.289563869768501</v>
      </c>
      <c r="W90" s="248" t="s">
        <v>874</v>
      </c>
      <c r="X90" s="340" t="s">
        <v>857</v>
      </c>
      <c r="Y90" s="177">
        <f t="shared" si="27"/>
        <v>3.4814814814814812E-3</v>
      </c>
      <c r="Z90" s="250" t="s">
        <v>644</v>
      </c>
      <c r="AB90" s="387">
        <v>1</v>
      </c>
      <c r="AC90" s="250">
        <v>1</v>
      </c>
    </row>
    <row r="91" spans="1:29" ht="31.5" customHeight="1" x14ac:dyDescent="0.25">
      <c r="A91" s="382">
        <v>74</v>
      </c>
      <c r="B91" s="248" t="s">
        <v>748</v>
      </c>
      <c r="C91" s="248" t="s">
        <v>760</v>
      </c>
      <c r="D91" s="383" t="s">
        <v>694</v>
      </c>
      <c r="E91" s="384" t="s">
        <v>770</v>
      </c>
      <c r="F91" s="248">
        <v>380</v>
      </c>
      <c r="G91" s="248">
        <v>3</v>
      </c>
      <c r="H91" s="384">
        <v>3</v>
      </c>
      <c r="I91" s="249">
        <f t="shared" si="21"/>
        <v>0.22</v>
      </c>
      <c r="J91" s="249">
        <v>0.17</v>
      </c>
      <c r="K91" s="249">
        <v>0.17</v>
      </c>
      <c r="L91" s="248">
        <f t="shared" si="18"/>
        <v>0.20556227327690446</v>
      </c>
      <c r="M91" s="385">
        <f t="shared" si="22"/>
        <v>0.22164815936908533</v>
      </c>
      <c r="N91" s="385">
        <f t="shared" si="23"/>
        <v>0.30229746070133007</v>
      </c>
      <c r="O91" s="248">
        <v>82.7</v>
      </c>
      <c r="P91" s="248">
        <v>0.68</v>
      </c>
      <c r="Q91" s="386">
        <f t="shared" si="19"/>
        <v>0.45929347450329799</v>
      </c>
      <c r="R91" s="248">
        <v>0.6</v>
      </c>
      <c r="S91" s="248">
        <f t="shared" si="28"/>
        <v>0.12333736396614267</v>
      </c>
      <c r="T91" s="248">
        <f t="shared" si="29"/>
        <v>0.13298889562145119</v>
      </c>
      <c r="U91" s="248">
        <f t="shared" si="30"/>
        <v>0.18137847642079805</v>
      </c>
      <c r="V91" s="248">
        <f t="shared" si="20"/>
        <v>0.27557608470197881</v>
      </c>
      <c r="W91" s="248" t="s">
        <v>871</v>
      </c>
      <c r="X91" s="340" t="s">
        <v>857</v>
      </c>
      <c r="Y91" s="177">
        <f t="shared" si="27"/>
        <v>1.8137847642079805E-4</v>
      </c>
      <c r="Z91" s="250" t="s">
        <v>644</v>
      </c>
      <c r="AB91" s="387">
        <v>1</v>
      </c>
      <c r="AC91" s="250">
        <v>0.82700000000000007</v>
      </c>
    </row>
    <row r="92" spans="1:29" ht="31.5" customHeight="1" x14ac:dyDescent="0.25">
      <c r="A92" s="382">
        <v>75</v>
      </c>
      <c r="B92" s="248" t="s">
        <v>748</v>
      </c>
      <c r="C92" s="248" t="s">
        <v>760</v>
      </c>
      <c r="D92" s="383" t="s">
        <v>704</v>
      </c>
      <c r="E92" s="384" t="s">
        <v>771</v>
      </c>
      <c r="F92" s="248">
        <v>380</v>
      </c>
      <c r="G92" s="248">
        <v>3</v>
      </c>
      <c r="H92" s="384">
        <v>3</v>
      </c>
      <c r="I92" s="249">
        <f t="shared" si="21"/>
        <v>4.96</v>
      </c>
      <c r="J92" s="249">
        <v>3.7</v>
      </c>
      <c r="K92" s="249">
        <v>3.7</v>
      </c>
      <c r="L92" s="248">
        <f t="shared" si="18"/>
        <v>4.2285714285714286</v>
      </c>
      <c r="M92" s="385">
        <f t="shared" si="22"/>
        <v>3.3925043243662691</v>
      </c>
      <c r="N92" s="385">
        <f t="shared" si="23"/>
        <v>5.4212454212454215</v>
      </c>
      <c r="O92" s="248">
        <v>87.5</v>
      </c>
      <c r="P92" s="248">
        <v>0.78</v>
      </c>
      <c r="Q92" s="386">
        <f t="shared" si="19"/>
        <v>8.2367302718396598</v>
      </c>
      <c r="R92" s="248">
        <v>0.6</v>
      </c>
      <c r="S92" s="248">
        <f t="shared" si="28"/>
        <v>2.5371428571428569</v>
      </c>
      <c r="T92" s="248">
        <f t="shared" si="29"/>
        <v>2.0355025946197616</v>
      </c>
      <c r="U92" s="248">
        <f t="shared" si="30"/>
        <v>3.2527472527472527</v>
      </c>
      <c r="V92" s="248">
        <f t="shared" si="20"/>
        <v>4.9420381631037955</v>
      </c>
      <c r="W92" s="248" t="s">
        <v>874</v>
      </c>
      <c r="X92" s="340" t="s">
        <v>857</v>
      </c>
      <c r="Y92" s="177">
        <f t="shared" si="27"/>
        <v>3.2527472527472527E-3</v>
      </c>
      <c r="Z92" s="250" t="s">
        <v>644</v>
      </c>
      <c r="AB92" s="387">
        <v>1</v>
      </c>
      <c r="AC92" s="250">
        <v>0.875</v>
      </c>
    </row>
    <row r="93" spans="1:29" ht="31.5" customHeight="1" x14ac:dyDescent="0.25">
      <c r="A93" s="382">
        <v>76</v>
      </c>
      <c r="B93" s="248" t="s">
        <v>748</v>
      </c>
      <c r="C93" s="248" t="s">
        <v>760</v>
      </c>
      <c r="D93" s="383" t="s">
        <v>761</v>
      </c>
      <c r="E93" s="384" t="s">
        <v>772</v>
      </c>
      <c r="F93" s="248">
        <v>380</v>
      </c>
      <c r="G93" s="248">
        <v>3</v>
      </c>
      <c r="H93" s="384">
        <v>3</v>
      </c>
      <c r="I93" s="249">
        <f t="shared" si="21"/>
        <v>1.2</v>
      </c>
      <c r="J93" s="249">
        <v>0.9</v>
      </c>
      <c r="K93" s="249">
        <v>0.9</v>
      </c>
      <c r="L93" s="248">
        <f t="shared" si="18"/>
        <v>1.1042944785276074</v>
      </c>
      <c r="M93" s="385">
        <f t="shared" si="22"/>
        <v>1.1907089499704815</v>
      </c>
      <c r="N93" s="385">
        <f t="shared" si="23"/>
        <v>1.6239624684229519</v>
      </c>
      <c r="O93" s="248">
        <v>81.5</v>
      </c>
      <c r="P93" s="248">
        <v>0.68</v>
      </c>
      <c r="Q93" s="386">
        <f t="shared" si="19"/>
        <v>2.4673557060469484</v>
      </c>
      <c r="R93" s="248">
        <v>0.6</v>
      </c>
      <c r="S93" s="248">
        <f t="shared" si="28"/>
        <v>0.66257668711656448</v>
      </c>
      <c r="T93" s="248">
        <f t="shared" si="29"/>
        <v>0.71442536998228889</v>
      </c>
      <c r="U93" s="248">
        <f t="shared" si="30"/>
        <v>0.97437748105377109</v>
      </c>
      <c r="V93" s="248">
        <f t="shared" si="20"/>
        <v>1.4804134236281692</v>
      </c>
      <c r="W93" s="248" t="s">
        <v>871</v>
      </c>
      <c r="X93" s="340" t="s">
        <v>857</v>
      </c>
      <c r="Y93" s="177">
        <f t="shared" si="27"/>
        <v>9.7437748105377105E-4</v>
      </c>
      <c r="Z93" s="250" t="s">
        <v>644</v>
      </c>
      <c r="AB93" s="387">
        <v>1</v>
      </c>
      <c r="AC93" s="250">
        <v>0.81499999999999995</v>
      </c>
    </row>
    <row r="94" spans="1:29" ht="31.5" customHeight="1" x14ac:dyDescent="0.25">
      <c r="A94" s="382">
        <v>77</v>
      </c>
      <c r="B94" s="248" t="s">
        <v>748</v>
      </c>
      <c r="C94" s="248" t="s">
        <v>760</v>
      </c>
      <c r="D94" s="383" t="s">
        <v>713</v>
      </c>
      <c r="E94" s="384" t="s">
        <v>773</v>
      </c>
      <c r="F94" s="248">
        <v>380</v>
      </c>
      <c r="G94" s="248">
        <v>3</v>
      </c>
      <c r="H94" s="384">
        <v>3</v>
      </c>
      <c r="I94" s="249">
        <f t="shared" si="21"/>
        <v>1</v>
      </c>
      <c r="J94" s="249">
        <v>0.75</v>
      </c>
      <c r="K94" s="249">
        <v>0.75</v>
      </c>
      <c r="L94" s="248">
        <f t="shared" si="18"/>
        <v>0.90689238210399026</v>
      </c>
      <c r="M94" s="385">
        <f t="shared" si="22"/>
        <v>0.97785952662831765</v>
      </c>
      <c r="N94" s="385">
        <f t="shared" si="23"/>
        <v>1.3336652677999856</v>
      </c>
      <c r="O94" s="248">
        <v>82.7</v>
      </c>
      <c r="P94" s="248">
        <v>0.68</v>
      </c>
      <c r="Q94" s="386">
        <f t="shared" si="19"/>
        <v>2.0262947404557266</v>
      </c>
      <c r="R94" s="248">
        <v>0.6</v>
      </c>
      <c r="S94" s="248">
        <f t="shared" si="28"/>
        <v>0.54413542926239411</v>
      </c>
      <c r="T94" s="248">
        <f t="shared" si="29"/>
        <v>0.58671571597699057</v>
      </c>
      <c r="U94" s="248">
        <f t="shared" si="30"/>
        <v>0.80019916067999131</v>
      </c>
      <c r="V94" s="248">
        <f t="shared" si="20"/>
        <v>1.2157768442734358</v>
      </c>
      <c r="W94" s="248" t="s">
        <v>871</v>
      </c>
      <c r="X94" s="340" t="s">
        <v>857</v>
      </c>
      <c r="Y94" s="177">
        <f t="shared" si="27"/>
        <v>8.0019916067999126E-4</v>
      </c>
      <c r="Z94" s="250" t="s">
        <v>644</v>
      </c>
      <c r="AB94" s="387">
        <v>1</v>
      </c>
      <c r="AC94" s="250">
        <v>0.82700000000000007</v>
      </c>
    </row>
    <row r="95" spans="1:29" ht="31.5" customHeight="1" x14ac:dyDescent="0.25">
      <c r="A95" s="382">
        <v>78</v>
      </c>
      <c r="B95" s="248" t="s">
        <v>748</v>
      </c>
      <c r="C95" s="248" t="s">
        <v>760</v>
      </c>
      <c r="D95" s="383" t="s">
        <v>774</v>
      </c>
      <c r="E95" s="384" t="s">
        <v>775</v>
      </c>
      <c r="F95" s="248">
        <v>380</v>
      </c>
      <c r="G95" s="248">
        <v>3</v>
      </c>
      <c r="H95" s="384">
        <v>5</v>
      </c>
      <c r="I95" s="249">
        <f t="shared" si="21"/>
        <v>1</v>
      </c>
      <c r="J95" s="249">
        <v>0.75</v>
      </c>
      <c r="K95" s="249">
        <v>0.7</v>
      </c>
      <c r="L95" s="248">
        <f t="shared" si="18"/>
        <v>0.75</v>
      </c>
      <c r="M95" s="385">
        <f t="shared" si="22"/>
        <v>0.80868982852161853</v>
      </c>
      <c r="N95" s="385">
        <f t="shared" si="23"/>
        <v>1.1029411764705881</v>
      </c>
      <c r="O95" s="248">
        <v>82.7</v>
      </c>
      <c r="P95" s="248">
        <v>0.68</v>
      </c>
      <c r="Q95" s="386">
        <f t="shared" si="19"/>
        <v>1.6757457503568858</v>
      </c>
      <c r="R95" s="248">
        <v>0.6</v>
      </c>
      <c r="S95" s="248">
        <f t="shared" si="28"/>
        <v>0.44999999999999996</v>
      </c>
      <c r="T95" s="248">
        <f t="shared" si="29"/>
        <v>0.48521389711297108</v>
      </c>
      <c r="U95" s="248">
        <f t="shared" si="30"/>
        <v>0.66176470588235281</v>
      </c>
      <c r="V95" s="248">
        <f t="shared" si="20"/>
        <v>1.0054474502141315</v>
      </c>
      <c r="W95" s="248" t="s">
        <v>871</v>
      </c>
      <c r="X95" s="340" t="s">
        <v>857</v>
      </c>
      <c r="Y95" s="177">
        <f t="shared" si="27"/>
        <v>6.617647058823528E-4</v>
      </c>
      <c r="Z95" s="250" t="s">
        <v>644</v>
      </c>
      <c r="AB95" s="387">
        <v>1</v>
      </c>
      <c r="AC95" s="250">
        <v>1</v>
      </c>
    </row>
    <row r="96" spans="1:29" ht="31.5" customHeight="1" x14ac:dyDescent="0.25">
      <c r="A96" s="382">
        <v>79</v>
      </c>
      <c r="B96" s="248" t="s">
        <v>748</v>
      </c>
      <c r="C96" s="248" t="s">
        <v>760</v>
      </c>
      <c r="D96" s="383" t="s">
        <v>776</v>
      </c>
      <c r="E96" s="384" t="s">
        <v>777</v>
      </c>
      <c r="F96" s="248">
        <v>380</v>
      </c>
      <c r="G96" s="248">
        <v>3</v>
      </c>
      <c r="H96" s="384">
        <v>2</v>
      </c>
      <c r="I96" s="249">
        <f t="shared" si="21"/>
        <v>1</v>
      </c>
      <c r="J96" s="249">
        <v>0.75</v>
      </c>
      <c r="K96" s="249">
        <v>0.75</v>
      </c>
      <c r="L96" s="248">
        <f t="shared" si="18"/>
        <v>0.90689238210399026</v>
      </c>
      <c r="M96" s="385">
        <f t="shared" si="22"/>
        <v>0.97785952662831765</v>
      </c>
      <c r="N96" s="385">
        <f t="shared" si="23"/>
        <v>1.3336652677999856</v>
      </c>
      <c r="O96" s="248">
        <v>82.7</v>
      </c>
      <c r="P96" s="248">
        <v>0.68</v>
      </c>
      <c r="Q96" s="386">
        <f t="shared" si="19"/>
        <v>2.0262947404557266</v>
      </c>
      <c r="R96" s="248">
        <v>0.6</v>
      </c>
      <c r="S96" s="248">
        <f t="shared" si="28"/>
        <v>0.54413542926239411</v>
      </c>
      <c r="T96" s="248">
        <f t="shared" si="29"/>
        <v>0.58671571597699057</v>
      </c>
      <c r="U96" s="248">
        <f t="shared" si="30"/>
        <v>0.80019916067999131</v>
      </c>
      <c r="V96" s="248">
        <f t="shared" si="20"/>
        <v>1.2157768442734358</v>
      </c>
      <c r="W96" s="248" t="s">
        <v>871</v>
      </c>
      <c r="X96" s="340" t="s">
        <v>857</v>
      </c>
      <c r="Y96" s="177">
        <f t="shared" si="27"/>
        <v>8.0019916067999126E-4</v>
      </c>
      <c r="Z96" s="250" t="s">
        <v>644</v>
      </c>
      <c r="AB96" s="387">
        <v>1</v>
      </c>
      <c r="AC96" s="250">
        <v>0.82700000000000007</v>
      </c>
    </row>
    <row r="97" spans="1:29" ht="31.5" customHeight="1" x14ac:dyDescent="0.25">
      <c r="A97" s="382">
        <v>80</v>
      </c>
      <c r="B97" s="248" t="s">
        <v>748</v>
      </c>
      <c r="C97" s="248" t="s">
        <v>760</v>
      </c>
      <c r="D97" s="383" t="s">
        <v>776</v>
      </c>
      <c r="E97" s="384" t="s">
        <v>778</v>
      </c>
      <c r="F97" s="248">
        <v>380</v>
      </c>
      <c r="G97" s="248">
        <v>3</v>
      </c>
      <c r="H97" s="384">
        <v>2</v>
      </c>
      <c r="I97" s="249">
        <f t="shared" si="21"/>
        <v>1</v>
      </c>
      <c r="J97" s="249">
        <v>0.75</v>
      </c>
      <c r="K97" s="249">
        <v>0.75</v>
      </c>
      <c r="L97" s="248">
        <f t="shared" si="18"/>
        <v>0.90689238210399026</v>
      </c>
      <c r="M97" s="385">
        <f t="shared" si="22"/>
        <v>0.97785952662831765</v>
      </c>
      <c r="N97" s="385">
        <f t="shared" si="23"/>
        <v>1.3336652677999856</v>
      </c>
      <c r="O97" s="248">
        <v>82.7</v>
      </c>
      <c r="P97" s="248">
        <v>0.68</v>
      </c>
      <c r="Q97" s="386">
        <f t="shared" si="19"/>
        <v>2.0262947404557266</v>
      </c>
      <c r="R97" s="248">
        <v>0.6</v>
      </c>
      <c r="S97" s="248">
        <f t="shared" si="28"/>
        <v>0.54413542926239411</v>
      </c>
      <c r="T97" s="248">
        <f t="shared" si="29"/>
        <v>0.58671571597699057</v>
      </c>
      <c r="U97" s="248">
        <f t="shared" si="30"/>
        <v>0.80019916067999131</v>
      </c>
      <c r="V97" s="248">
        <f t="shared" si="20"/>
        <v>1.2157768442734358</v>
      </c>
      <c r="W97" s="248" t="s">
        <v>871</v>
      </c>
      <c r="X97" s="340" t="s">
        <v>857</v>
      </c>
      <c r="Y97" s="177">
        <f t="shared" si="27"/>
        <v>8.0019916067999126E-4</v>
      </c>
      <c r="Z97" s="250" t="s">
        <v>644</v>
      </c>
      <c r="AB97" s="387">
        <v>1</v>
      </c>
      <c r="AC97" s="250">
        <v>0.82700000000000007</v>
      </c>
    </row>
    <row r="98" spans="1:29" ht="31.5" customHeight="1" x14ac:dyDescent="0.25">
      <c r="A98" s="382">
        <v>81</v>
      </c>
      <c r="B98" s="248" t="s">
        <v>748</v>
      </c>
      <c r="C98" s="248" t="s">
        <v>760</v>
      </c>
      <c r="D98" s="383" t="s">
        <v>776</v>
      </c>
      <c r="E98" s="384" t="s">
        <v>779</v>
      </c>
      <c r="F98" s="248">
        <v>380</v>
      </c>
      <c r="G98" s="248">
        <v>3</v>
      </c>
      <c r="H98" s="384">
        <v>2</v>
      </c>
      <c r="I98" s="249">
        <f t="shared" si="21"/>
        <v>1</v>
      </c>
      <c r="J98" s="249">
        <v>0.75</v>
      </c>
      <c r="K98" s="249">
        <v>0.75</v>
      </c>
      <c r="L98" s="248">
        <f t="shared" si="18"/>
        <v>0.90689238210399026</v>
      </c>
      <c r="M98" s="385">
        <f t="shared" si="22"/>
        <v>0.97785952662831765</v>
      </c>
      <c r="N98" s="385">
        <f t="shared" si="23"/>
        <v>1.3336652677999856</v>
      </c>
      <c r="O98" s="248">
        <v>82.7</v>
      </c>
      <c r="P98" s="248">
        <v>0.68</v>
      </c>
      <c r="Q98" s="386">
        <f t="shared" si="19"/>
        <v>2.0262947404557266</v>
      </c>
      <c r="R98" s="248">
        <v>0.6</v>
      </c>
      <c r="S98" s="248">
        <f t="shared" si="28"/>
        <v>0.54413542926239411</v>
      </c>
      <c r="T98" s="248">
        <f t="shared" si="29"/>
        <v>0.58671571597699057</v>
      </c>
      <c r="U98" s="248">
        <f t="shared" si="30"/>
        <v>0.80019916067999131</v>
      </c>
      <c r="V98" s="248">
        <f t="shared" si="20"/>
        <v>1.2157768442734358</v>
      </c>
      <c r="W98" s="248" t="s">
        <v>871</v>
      </c>
      <c r="X98" s="340" t="s">
        <v>857</v>
      </c>
      <c r="Y98" s="177">
        <f t="shared" si="27"/>
        <v>8.0019916067999126E-4</v>
      </c>
      <c r="Z98" s="250" t="s">
        <v>644</v>
      </c>
      <c r="AB98" s="387">
        <v>1</v>
      </c>
      <c r="AC98" s="250">
        <v>0.82700000000000007</v>
      </c>
    </row>
    <row r="99" spans="1:29" ht="31.5" customHeight="1" x14ac:dyDescent="0.25">
      <c r="A99" s="382">
        <v>82</v>
      </c>
      <c r="B99" s="248" t="s">
        <v>748</v>
      </c>
      <c r="C99" s="248" t="s">
        <v>760</v>
      </c>
      <c r="D99" s="383" t="s">
        <v>776</v>
      </c>
      <c r="E99" s="384" t="s">
        <v>780</v>
      </c>
      <c r="F99" s="248">
        <v>380</v>
      </c>
      <c r="G99" s="248">
        <v>3</v>
      </c>
      <c r="H99" s="384">
        <v>2</v>
      </c>
      <c r="I99" s="249">
        <f t="shared" si="21"/>
        <v>2.0099999999999998</v>
      </c>
      <c r="J99" s="249">
        <v>1.5</v>
      </c>
      <c r="K99" s="249">
        <v>1.5</v>
      </c>
      <c r="L99" s="248">
        <f t="shared" si="18"/>
        <v>1.7814726840855104</v>
      </c>
      <c r="M99" s="385">
        <f t="shared" si="22"/>
        <v>1.5234476318232202</v>
      </c>
      <c r="N99" s="385">
        <f t="shared" si="23"/>
        <v>2.3440430053756716</v>
      </c>
      <c r="O99" s="248">
        <v>84.2</v>
      </c>
      <c r="P99" s="248">
        <v>0.76</v>
      </c>
      <c r="Q99" s="386">
        <f t="shared" si="19"/>
        <v>3.5614048951202726</v>
      </c>
      <c r="R99" s="248">
        <v>0.6</v>
      </c>
      <c r="S99" s="248">
        <f t="shared" si="28"/>
        <v>1.0688836104513062</v>
      </c>
      <c r="T99" s="248">
        <f t="shared" si="29"/>
        <v>0.91406857909393202</v>
      </c>
      <c r="U99" s="248">
        <f t="shared" si="30"/>
        <v>1.4064258032254029</v>
      </c>
      <c r="V99" s="248">
        <f t="shared" si="20"/>
        <v>2.1368429370721631</v>
      </c>
      <c r="W99" s="248" t="s">
        <v>880</v>
      </c>
      <c r="X99" s="340" t="s">
        <v>857</v>
      </c>
      <c r="Y99" s="177">
        <f t="shared" si="27"/>
        <v>1.4064258032254028E-3</v>
      </c>
      <c r="Z99" s="250" t="s">
        <v>644</v>
      </c>
      <c r="AB99" s="387">
        <v>1</v>
      </c>
      <c r="AC99" s="250">
        <v>0.84200000000000008</v>
      </c>
    </row>
    <row r="100" spans="1:29" ht="31.5" customHeight="1" x14ac:dyDescent="0.25">
      <c r="A100" s="382">
        <v>83</v>
      </c>
      <c r="B100" s="248" t="s">
        <v>748</v>
      </c>
      <c r="C100" s="248" t="s">
        <v>781</v>
      </c>
      <c r="D100" s="383" t="s">
        <v>704</v>
      </c>
      <c r="E100" s="384" t="s">
        <v>782</v>
      </c>
      <c r="F100" s="248">
        <v>380</v>
      </c>
      <c r="G100" s="248">
        <v>3</v>
      </c>
      <c r="H100" s="384">
        <v>3</v>
      </c>
      <c r="I100" s="249">
        <f t="shared" si="21"/>
        <v>4.96</v>
      </c>
      <c r="J100" s="249">
        <v>3.7</v>
      </c>
      <c r="K100" s="249">
        <v>3.7</v>
      </c>
      <c r="L100" s="248">
        <f t="shared" si="18"/>
        <v>4.2285714285714286</v>
      </c>
      <c r="M100" s="385">
        <f t="shared" si="22"/>
        <v>3.3925043243662691</v>
      </c>
      <c r="N100" s="385">
        <f t="shared" si="23"/>
        <v>5.4212454212454215</v>
      </c>
      <c r="O100" s="248">
        <v>87.5</v>
      </c>
      <c r="P100" s="248">
        <v>0.78</v>
      </c>
      <c r="Q100" s="386">
        <f t="shared" si="19"/>
        <v>8.2367302718396598</v>
      </c>
      <c r="R100" s="248">
        <v>0.6</v>
      </c>
      <c r="S100" s="248">
        <f t="shared" si="28"/>
        <v>2.5371428571428569</v>
      </c>
      <c r="T100" s="248">
        <f t="shared" si="29"/>
        <v>2.0355025946197616</v>
      </c>
      <c r="U100" s="248">
        <f t="shared" si="30"/>
        <v>3.2527472527472527</v>
      </c>
      <c r="V100" s="248">
        <f t="shared" si="20"/>
        <v>4.9420381631037955</v>
      </c>
      <c r="W100" s="248" t="s">
        <v>874</v>
      </c>
      <c r="X100" s="340" t="s">
        <v>857</v>
      </c>
      <c r="Y100" s="177">
        <f t="shared" si="27"/>
        <v>3.2527472527472527E-3</v>
      </c>
      <c r="Z100" s="250" t="s">
        <v>644</v>
      </c>
      <c r="AB100" s="387">
        <v>1</v>
      </c>
      <c r="AC100" s="250">
        <v>0.875</v>
      </c>
    </row>
    <row r="101" spans="1:29" ht="31.5" customHeight="1" x14ac:dyDescent="0.25">
      <c r="A101" s="382">
        <v>84</v>
      </c>
      <c r="B101" s="248" t="s">
        <v>748</v>
      </c>
      <c r="C101" s="248" t="s">
        <v>781</v>
      </c>
      <c r="D101" s="383" t="s">
        <v>702</v>
      </c>
      <c r="E101" s="384" t="s">
        <v>783</v>
      </c>
      <c r="F101" s="248">
        <v>380</v>
      </c>
      <c r="G101" s="248">
        <v>3</v>
      </c>
      <c r="H101" s="384">
        <v>3</v>
      </c>
      <c r="I101" s="249">
        <f t="shared" si="21"/>
        <v>0.53</v>
      </c>
      <c r="J101" s="249">
        <v>0.4</v>
      </c>
      <c r="K101" s="249">
        <v>0.4</v>
      </c>
      <c r="L101" s="248">
        <f t="shared" si="18"/>
        <v>0.48367593712212814</v>
      </c>
      <c r="M101" s="385">
        <f t="shared" si="22"/>
        <v>0.52152508086843608</v>
      </c>
      <c r="N101" s="385">
        <f t="shared" si="23"/>
        <v>0.71128814282665898</v>
      </c>
      <c r="O101" s="248">
        <v>82.7</v>
      </c>
      <c r="P101" s="248">
        <v>0.68</v>
      </c>
      <c r="Q101" s="386">
        <f t="shared" si="19"/>
        <v>1.0806905282430541</v>
      </c>
      <c r="R101" s="248">
        <v>0.6</v>
      </c>
      <c r="S101" s="248">
        <f t="shared" si="28"/>
        <v>0.29020556227327687</v>
      </c>
      <c r="T101" s="248">
        <f t="shared" si="29"/>
        <v>0.31291504852106161</v>
      </c>
      <c r="U101" s="248">
        <f t="shared" si="30"/>
        <v>0.42677288569599536</v>
      </c>
      <c r="V101" s="248">
        <f t="shared" si="20"/>
        <v>0.6484143169458324</v>
      </c>
      <c r="W101" s="248" t="s">
        <v>871</v>
      </c>
      <c r="X101" s="340" t="s">
        <v>857</v>
      </c>
      <c r="Y101" s="177">
        <f t="shared" si="27"/>
        <v>4.2677288569599534E-4</v>
      </c>
      <c r="Z101" s="250" t="s">
        <v>644</v>
      </c>
      <c r="AB101" s="387">
        <v>1</v>
      </c>
      <c r="AC101" s="250">
        <v>0.82700000000000007</v>
      </c>
    </row>
    <row r="102" spans="1:29" ht="31.5" customHeight="1" x14ac:dyDescent="0.25">
      <c r="A102" s="382">
        <v>85</v>
      </c>
      <c r="B102" s="248" t="s">
        <v>748</v>
      </c>
      <c r="C102" s="248" t="s">
        <v>781</v>
      </c>
      <c r="D102" s="383" t="s">
        <v>704</v>
      </c>
      <c r="E102" s="384" t="s">
        <v>784</v>
      </c>
      <c r="F102" s="248">
        <v>380</v>
      </c>
      <c r="G102" s="248">
        <v>3</v>
      </c>
      <c r="H102" s="384">
        <v>3</v>
      </c>
      <c r="I102" s="249">
        <f t="shared" si="21"/>
        <v>4.96</v>
      </c>
      <c r="J102" s="249">
        <v>3.7</v>
      </c>
      <c r="K102" s="249">
        <v>3.7</v>
      </c>
      <c r="L102" s="248">
        <f t="shared" si="18"/>
        <v>4.2285714285714286</v>
      </c>
      <c r="M102" s="385">
        <f t="shared" si="22"/>
        <v>3.3925043243662691</v>
      </c>
      <c r="N102" s="385">
        <f t="shared" si="23"/>
        <v>5.4212454212454215</v>
      </c>
      <c r="O102" s="248">
        <v>87.5</v>
      </c>
      <c r="P102" s="248">
        <v>0.78</v>
      </c>
      <c r="Q102" s="386">
        <f t="shared" si="19"/>
        <v>8.2367302718396598</v>
      </c>
      <c r="R102" s="248">
        <v>0.6</v>
      </c>
      <c r="S102" s="248">
        <f t="shared" si="28"/>
        <v>2.5371428571428569</v>
      </c>
      <c r="T102" s="248">
        <f t="shared" si="29"/>
        <v>2.0355025946197616</v>
      </c>
      <c r="U102" s="248">
        <f t="shared" si="30"/>
        <v>3.2527472527472527</v>
      </c>
      <c r="V102" s="248">
        <f t="shared" si="20"/>
        <v>4.9420381631037955</v>
      </c>
      <c r="W102" s="248" t="s">
        <v>874</v>
      </c>
      <c r="X102" s="340" t="s">
        <v>857</v>
      </c>
      <c r="Y102" s="177">
        <f t="shared" si="27"/>
        <v>3.2527472527472527E-3</v>
      </c>
      <c r="Z102" s="250" t="s">
        <v>644</v>
      </c>
      <c r="AB102" s="387">
        <v>1</v>
      </c>
      <c r="AC102" s="250">
        <v>0.875</v>
      </c>
    </row>
    <row r="103" spans="1:29" ht="31.5" customHeight="1" x14ac:dyDescent="0.25">
      <c r="A103" s="382">
        <v>86</v>
      </c>
      <c r="B103" s="248" t="s">
        <v>748</v>
      </c>
      <c r="C103" s="248" t="s">
        <v>781</v>
      </c>
      <c r="D103" s="383" t="s">
        <v>702</v>
      </c>
      <c r="E103" s="384" t="s">
        <v>785</v>
      </c>
      <c r="F103" s="248">
        <v>380</v>
      </c>
      <c r="G103" s="248">
        <v>3</v>
      </c>
      <c r="H103" s="384">
        <v>3</v>
      </c>
      <c r="I103" s="249">
        <f t="shared" si="21"/>
        <v>0.53</v>
      </c>
      <c r="J103" s="249">
        <v>0.4</v>
      </c>
      <c r="K103" s="249">
        <v>0.4</v>
      </c>
      <c r="L103" s="248">
        <f t="shared" si="18"/>
        <v>0.48367593712212814</v>
      </c>
      <c r="M103" s="385">
        <f t="shared" si="22"/>
        <v>0.52152508086843608</v>
      </c>
      <c r="N103" s="385">
        <f t="shared" si="23"/>
        <v>0.71128814282665898</v>
      </c>
      <c r="O103" s="248">
        <v>82.7</v>
      </c>
      <c r="P103" s="248">
        <v>0.68</v>
      </c>
      <c r="Q103" s="386">
        <f t="shared" si="19"/>
        <v>1.0806905282430541</v>
      </c>
      <c r="R103" s="248">
        <v>0.6</v>
      </c>
      <c r="S103" s="248">
        <f t="shared" si="28"/>
        <v>0.29020556227327687</v>
      </c>
      <c r="T103" s="248">
        <f t="shared" si="29"/>
        <v>0.31291504852106161</v>
      </c>
      <c r="U103" s="248">
        <f t="shared" si="30"/>
        <v>0.42677288569599536</v>
      </c>
      <c r="V103" s="248">
        <f t="shared" si="20"/>
        <v>0.6484143169458324</v>
      </c>
      <c r="W103" s="248" t="s">
        <v>871</v>
      </c>
      <c r="X103" s="340" t="s">
        <v>857</v>
      </c>
      <c r="Y103" s="177">
        <f t="shared" si="27"/>
        <v>4.2677288569599534E-4</v>
      </c>
      <c r="Z103" s="250" t="s">
        <v>644</v>
      </c>
      <c r="AB103" s="387">
        <v>1</v>
      </c>
      <c r="AC103" s="250">
        <v>0.82700000000000007</v>
      </c>
    </row>
    <row r="104" spans="1:29" ht="31.5" customHeight="1" x14ac:dyDescent="0.25">
      <c r="A104" s="382">
        <v>87</v>
      </c>
      <c r="B104" s="248" t="s">
        <v>748</v>
      </c>
      <c r="C104" s="248" t="s">
        <v>781</v>
      </c>
      <c r="D104" s="383" t="s">
        <v>704</v>
      </c>
      <c r="E104" s="384" t="s">
        <v>786</v>
      </c>
      <c r="F104" s="248">
        <v>380</v>
      </c>
      <c r="G104" s="248">
        <v>3</v>
      </c>
      <c r="H104" s="384">
        <v>3</v>
      </c>
      <c r="I104" s="249">
        <f t="shared" si="21"/>
        <v>4.96</v>
      </c>
      <c r="J104" s="249">
        <v>3.7</v>
      </c>
      <c r="K104" s="249">
        <v>3.7</v>
      </c>
      <c r="L104" s="248">
        <f t="shared" si="18"/>
        <v>4.2285714285714286</v>
      </c>
      <c r="M104" s="385">
        <f t="shared" si="22"/>
        <v>3.3925043243662691</v>
      </c>
      <c r="N104" s="385">
        <f t="shared" si="23"/>
        <v>5.4212454212454215</v>
      </c>
      <c r="O104" s="248">
        <v>87.5</v>
      </c>
      <c r="P104" s="248">
        <v>0.78</v>
      </c>
      <c r="Q104" s="386">
        <f t="shared" si="19"/>
        <v>8.2367302718396598</v>
      </c>
      <c r="R104" s="248">
        <v>0.6</v>
      </c>
      <c r="S104" s="248">
        <f t="shared" si="28"/>
        <v>2.5371428571428569</v>
      </c>
      <c r="T104" s="248">
        <f t="shared" si="29"/>
        <v>2.0355025946197616</v>
      </c>
      <c r="U104" s="248">
        <f t="shared" si="30"/>
        <v>3.2527472527472527</v>
      </c>
      <c r="V104" s="248">
        <f t="shared" si="20"/>
        <v>4.9420381631037955</v>
      </c>
      <c r="W104" s="248" t="s">
        <v>874</v>
      </c>
      <c r="X104" s="340" t="s">
        <v>857</v>
      </c>
      <c r="Y104" s="177">
        <f t="shared" si="27"/>
        <v>3.2527472527472527E-3</v>
      </c>
      <c r="Z104" s="250" t="s">
        <v>644</v>
      </c>
      <c r="AB104" s="387">
        <v>1</v>
      </c>
      <c r="AC104" s="250">
        <v>0.875</v>
      </c>
    </row>
    <row r="105" spans="1:29" ht="31.5" customHeight="1" x14ac:dyDescent="0.25">
      <c r="A105" s="382">
        <v>88</v>
      </c>
      <c r="B105" s="248" t="s">
        <v>748</v>
      </c>
      <c r="C105" s="248" t="s">
        <v>781</v>
      </c>
      <c r="D105" s="383" t="s">
        <v>702</v>
      </c>
      <c r="E105" s="384" t="s">
        <v>787</v>
      </c>
      <c r="F105" s="248">
        <v>380</v>
      </c>
      <c r="G105" s="248">
        <v>3</v>
      </c>
      <c r="H105" s="384">
        <v>3</v>
      </c>
      <c r="I105" s="249">
        <f t="shared" si="21"/>
        <v>0.53</v>
      </c>
      <c r="J105" s="249">
        <v>0.4</v>
      </c>
      <c r="K105" s="249">
        <v>0.4</v>
      </c>
      <c r="L105" s="248">
        <f t="shared" si="18"/>
        <v>0.48367593712212814</v>
      </c>
      <c r="M105" s="385">
        <f t="shared" si="22"/>
        <v>0.52152508086843608</v>
      </c>
      <c r="N105" s="385">
        <f t="shared" si="23"/>
        <v>0.71128814282665898</v>
      </c>
      <c r="O105" s="248">
        <v>82.7</v>
      </c>
      <c r="P105" s="248">
        <v>0.68</v>
      </c>
      <c r="Q105" s="386">
        <f t="shared" si="19"/>
        <v>1.0806905282430541</v>
      </c>
      <c r="R105" s="248">
        <v>0.6</v>
      </c>
      <c r="S105" s="248">
        <f t="shared" si="28"/>
        <v>0.29020556227327687</v>
      </c>
      <c r="T105" s="248">
        <f t="shared" si="29"/>
        <v>0.31291504852106161</v>
      </c>
      <c r="U105" s="248">
        <f t="shared" si="30"/>
        <v>0.42677288569599536</v>
      </c>
      <c r="V105" s="248">
        <f t="shared" si="20"/>
        <v>0.6484143169458324</v>
      </c>
      <c r="W105" s="248" t="s">
        <v>871</v>
      </c>
      <c r="X105" s="340" t="s">
        <v>857</v>
      </c>
      <c r="Y105" s="177">
        <f t="shared" si="27"/>
        <v>4.2677288569599534E-4</v>
      </c>
      <c r="Z105" s="250" t="s">
        <v>644</v>
      </c>
      <c r="AB105" s="387">
        <v>1</v>
      </c>
      <c r="AC105" s="250">
        <v>0.82700000000000007</v>
      </c>
    </row>
    <row r="106" spans="1:29" ht="31.5" customHeight="1" x14ac:dyDescent="0.25">
      <c r="A106" s="382">
        <v>89</v>
      </c>
      <c r="B106" s="248" t="s">
        <v>748</v>
      </c>
      <c r="C106" s="248" t="s">
        <v>781</v>
      </c>
      <c r="D106" s="383" t="s">
        <v>704</v>
      </c>
      <c r="E106" s="384" t="s">
        <v>788</v>
      </c>
      <c r="F106" s="248">
        <v>380</v>
      </c>
      <c r="G106" s="248">
        <v>3</v>
      </c>
      <c r="H106" s="384">
        <v>3</v>
      </c>
      <c r="I106" s="249">
        <f t="shared" si="21"/>
        <v>4.96</v>
      </c>
      <c r="J106" s="249">
        <v>3.7</v>
      </c>
      <c r="K106" s="249">
        <v>3.7</v>
      </c>
      <c r="L106" s="248">
        <f t="shared" si="18"/>
        <v>4.2285714285714286</v>
      </c>
      <c r="M106" s="385">
        <f t="shared" si="22"/>
        <v>3.3925043243662691</v>
      </c>
      <c r="N106" s="385">
        <f t="shared" si="23"/>
        <v>5.4212454212454215</v>
      </c>
      <c r="O106" s="248">
        <v>87.5</v>
      </c>
      <c r="P106" s="248">
        <v>0.78</v>
      </c>
      <c r="Q106" s="386">
        <f t="shared" si="19"/>
        <v>8.2367302718396598</v>
      </c>
      <c r="R106" s="248">
        <v>0.6</v>
      </c>
      <c r="S106" s="248">
        <f t="shared" si="28"/>
        <v>2.5371428571428569</v>
      </c>
      <c r="T106" s="248">
        <f t="shared" si="29"/>
        <v>2.0355025946197616</v>
      </c>
      <c r="U106" s="248">
        <f t="shared" si="30"/>
        <v>3.2527472527472527</v>
      </c>
      <c r="V106" s="248">
        <f t="shared" si="20"/>
        <v>4.9420381631037955</v>
      </c>
      <c r="W106" s="248" t="s">
        <v>874</v>
      </c>
      <c r="X106" s="340" t="s">
        <v>857</v>
      </c>
      <c r="Y106" s="177">
        <f t="shared" si="27"/>
        <v>3.2527472527472527E-3</v>
      </c>
      <c r="Z106" s="250" t="s">
        <v>644</v>
      </c>
      <c r="AB106" s="387">
        <v>1</v>
      </c>
      <c r="AC106" s="250">
        <v>0.875</v>
      </c>
    </row>
    <row r="107" spans="1:29" ht="31.5" customHeight="1" x14ac:dyDescent="0.25">
      <c r="A107" s="382">
        <v>90</v>
      </c>
      <c r="B107" s="248" t="s">
        <v>748</v>
      </c>
      <c r="C107" s="248" t="s">
        <v>781</v>
      </c>
      <c r="D107" s="383" t="s">
        <v>702</v>
      </c>
      <c r="E107" s="384" t="s">
        <v>789</v>
      </c>
      <c r="F107" s="248">
        <v>380</v>
      </c>
      <c r="G107" s="248">
        <v>3</v>
      </c>
      <c r="H107" s="384">
        <v>3</v>
      </c>
      <c r="I107" s="249">
        <f t="shared" si="21"/>
        <v>0.53</v>
      </c>
      <c r="J107" s="249">
        <v>0.4</v>
      </c>
      <c r="K107" s="249">
        <v>0.4</v>
      </c>
      <c r="L107" s="248">
        <f t="shared" si="18"/>
        <v>0.48367593712212814</v>
      </c>
      <c r="M107" s="385">
        <f t="shared" si="22"/>
        <v>0.52152508086843608</v>
      </c>
      <c r="N107" s="385">
        <f t="shared" si="23"/>
        <v>0.71128814282665898</v>
      </c>
      <c r="O107" s="248">
        <v>82.7</v>
      </c>
      <c r="P107" s="248">
        <v>0.68</v>
      </c>
      <c r="Q107" s="386">
        <f t="shared" si="19"/>
        <v>1.0806905282430541</v>
      </c>
      <c r="R107" s="248">
        <v>0.6</v>
      </c>
      <c r="S107" s="248">
        <f t="shared" si="28"/>
        <v>0.29020556227327687</v>
      </c>
      <c r="T107" s="248">
        <f t="shared" si="29"/>
        <v>0.31291504852106161</v>
      </c>
      <c r="U107" s="248">
        <f t="shared" si="30"/>
        <v>0.42677288569599536</v>
      </c>
      <c r="V107" s="248">
        <f t="shared" si="20"/>
        <v>0.6484143169458324</v>
      </c>
      <c r="W107" s="248" t="s">
        <v>871</v>
      </c>
      <c r="X107" s="340" t="s">
        <v>857</v>
      </c>
      <c r="Y107" s="177">
        <f t="shared" si="27"/>
        <v>4.2677288569599534E-4</v>
      </c>
      <c r="Z107" s="250" t="s">
        <v>644</v>
      </c>
      <c r="AB107" s="387">
        <v>1</v>
      </c>
      <c r="AC107" s="250">
        <v>0.82700000000000007</v>
      </c>
    </row>
    <row r="108" spans="1:29" ht="31.5" customHeight="1" x14ac:dyDescent="0.25">
      <c r="A108" s="382">
        <v>91</v>
      </c>
      <c r="B108" s="248" t="s">
        <v>748</v>
      </c>
      <c r="C108" s="248" t="s">
        <v>781</v>
      </c>
      <c r="D108" s="383" t="s">
        <v>702</v>
      </c>
      <c r="E108" s="384" t="s">
        <v>790</v>
      </c>
      <c r="F108" s="248">
        <v>380</v>
      </c>
      <c r="G108" s="248">
        <v>3</v>
      </c>
      <c r="H108" s="384">
        <v>3</v>
      </c>
      <c r="I108" s="249">
        <f t="shared" si="21"/>
        <v>0.49</v>
      </c>
      <c r="J108" s="249">
        <v>0.37</v>
      </c>
      <c r="K108" s="249">
        <v>0.37</v>
      </c>
      <c r="L108" s="248">
        <f t="shared" si="18"/>
        <v>0.4474002418379685</v>
      </c>
      <c r="M108" s="385">
        <f t="shared" si="22"/>
        <v>0.48241069980330337</v>
      </c>
      <c r="N108" s="385">
        <f t="shared" si="23"/>
        <v>0.65794153211465956</v>
      </c>
      <c r="O108" s="248">
        <v>82.7</v>
      </c>
      <c r="P108" s="248">
        <v>0.68</v>
      </c>
      <c r="Q108" s="386">
        <f t="shared" si="19"/>
        <v>0.99963873862482511</v>
      </c>
      <c r="R108" s="248">
        <v>0.6</v>
      </c>
      <c r="S108" s="248">
        <f t="shared" si="28"/>
        <v>0.26844014510278108</v>
      </c>
      <c r="T108" s="248">
        <f t="shared" si="29"/>
        <v>0.289446419881982</v>
      </c>
      <c r="U108" s="248">
        <f t="shared" si="30"/>
        <v>0.3947649192687957</v>
      </c>
      <c r="V108" s="248">
        <f t="shared" si="20"/>
        <v>0.59978324317489506</v>
      </c>
      <c r="W108" s="248" t="s">
        <v>871</v>
      </c>
      <c r="X108" s="340" t="s">
        <v>857</v>
      </c>
      <c r="Y108" s="177">
        <f t="shared" si="27"/>
        <v>3.9476491926879572E-4</v>
      </c>
      <c r="Z108" s="250" t="s">
        <v>644</v>
      </c>
      <c r="AB108" s="387">
        <v>1</v>
      </c>
      <c r="AC108" s="250">
        <v>0.82700000000000007</v>
      </c>
    </row>
    <row r="109" spans="1:29" ht="31.5" customHeight="1" x14ac:dyDescent="0.25">
      <c r="A109" s="382">
        <v>92</v>
      </c>
      <c r="B109" s="248" t="s">
        <v>748</v>
      </c>
      <c r="C109" s="248" t="s">
        <v>781</v>
      </c>
      <c r="D109" s="383" t="s">
        <v>704</v>
      </c>
      <c r="E109" s="384" t="s">
        <v>791</v>
      </c>
      <c r="F109" s="248">
        <v>380</v>
      </c>
      <c r="G109" s="248">
        <v>3</v>
      </c>
      <c r="H109" s="384">
        <v>3</v>
      </c>
      <c r="I109" s="249">
        <f t="shared" si="21"/>
        <v>4.96</v>
      </c>
      <c r="J109" s="249">
        <v>3.7</v>
      </c>
      <c r="K109" s="249">
        <v>3.7</v>
      </c>
      <c r="L109" s="248">
        <f t="shared" si="18"/>
        <v>4.2285714285714286</v>
      </c>
      <c r="M109" s="385">
        <f t="shared" si="22"/>
        <v>3.3925043243662691</v>
      </c>
      <c r="N109" s="385">
        <f t="shared" si="23"/>
        <v>5.4212454212454215</v>
      </c>
      <c r="O109" s="248">
        <v>87.5</v>
      </c>
      <c r="P109" s="248">
        <v>0.78</v>
      </c>
      <c r="Q109" s="386">
        <f t="shared" si="19"/>
        <v>8.2367302718396598</v>
      </c>
      <c r="R109" s="248">
        <v>0.6</v>
      </c>
      <c r="S109" s="248">
        <f t="shared" si="28"/>
        <v>2.5371428571428569</v>
      </c>
      <c r="T109" s="248">
        <f t="shared" si="29"/>
        <v>2.0355025946197616</v>
      </c>
      <c r="U109" s="248">
        <f t="shared" si="30"/>
        <v>3.2527472527472527</v>
      </c>
      <c r="V109" s="248">
        <f t="shared" si="20"/>
        <v>4.9420381631037955</v>
      </c>
      <c r="W109" s="248" t="s">
        <v>874</v>
      </c>
      <c r="X109" s="340" t="s">
        <v>857</v>
      </c>
      <c r="Y109" s="177">
        <f t="shared" si="27"/>
        <v>3.2527472527472527E-3</v>
      </c>
      <c r="Z109" s="250" t="s">
        <v>644</v>
      </c>
      <c r="AB109" s="387">
        <v>1</v>
      </c>
      <c r="AC109" s="250">
        <v>0.875</v>
      </c>
    </row>
    <row r="110" spans="1:29" ht="31.5" customHeight="1" x14ac:dyDescent="0.25">
      <c r="A110" s="382">
        <v>93</v>
      </c>
      <c r="B110" s="248" t="s">
        <v>748</v>
      </c>
      <c r="C110" s="248" t="s">
        <v>781</v>
      </c>
      <c r="D110" s="383" t="s">
        <v>702</v>
      </c>
      <c r="E110" s="384" t="s">
        <v>792</v>
      </c>
      <c r="F110" s="248">
        <v>380</v>
      </c>
      <c r="G110" s="248">
        <v>3</v>
      </c>
      <c r="H110" s="384">
        <v>3</v>
      </c>
      <c r="I110" s="249">
        <f t="shared" si="21"/>
        <v>0.49</v>
      </c>
      <c r="J110" s="249">
        <v>0.37</v>
      </c>
      <c r="K110" s="249">
        <v>0.37</v>
      </c>
      <c r="L110" s="248">
        <f t="shared" ref="L110:L129" si="31">(J110/AC110)*AB110</f>
        <v>0.4474002418379685</v>
      </c>
      <c r="M110" s="385">
        <f t="shared" si="22"/>
        <v>0.48241069980330337</v>
      </c>
      <c r="N110" s="385">
        <f t="shared" si="23"/>
        <v>0.65794153211465956</v>
      </c>
      <c r="O110" s="248">
        <v>82.7</v>
      </c>
      <c r="P110" s="248">
        <v>0.68</v>
      </c>
      <c r="Q110" s="386">
        <f t="shared" ref="Q110:Q129" si="32">IF((((G110=3))),(N110*1000)/((SQRT(3)*F110)),(IF(((G110=1)),(N110*1000)/((F110)),(IF(((G110=2)),(N110*1000)/((F110)),0)))))</f>
        <v>0.99963873862482511</v>
      </c>
      <c r="R110" s="248">
        <v>0.6</v>
      </c>
      <c r="S110" s="248">
        <f t="shared" si="28"/>
        <v>0.26844014510278108</v>
      </c>
      <c r="T110" s="248">
        <f t="shared" si="29"/>
        <v>0.289446419881982</v>
      </c>
      <c r="U110" s="248">
        <f t="shared" si="30"/>
        <v>0.3947649192687957</v>
      </c>
      <c r="V110" s="248">
        <f t="shared" si="20"/>
        <v>0.59978324317489506</v>
      </c>
      <c r="W110" s="248" t="s">
        <v>871</v>
      </c>
      <c r="X110" s="340" t="s">
        <v>857</v>
      </c>
      <c r="Y110" s="177">
        <f t="shared" si="27"/>
        <v>3.9476491926879572E-4</v>
      </c>
      <c r="Z110" s="250" t="s">
        <v>644</v>
      </c>
      <c r="AB110" s="387">
        <v>1</v>
      </c>
      <c r="AC110" s="250">
        <v>0.82700000000000007</v>
      </c>
    </row>
    <row r="111" spans="1:29" ht="31.5" customHeight="1" x14ac:dyDescent="0.25">
      <c r="A111" s="382">
        <v>94</v>
      </c>
      <c r="B111" s="248" t="s">
        <v>748</v>
      </c>
      <c r="C111" s="248" t="s">
        <v>781</v>
      </c>
      <c r="D111" s="383" t="s">
        <v>702</v>
      </c>
      <c r="E111" s="384" t="s">
        <v>793</v>
      </c>
      <c r="F111" s="248">
        <v>380</v>
      </c>
      <c r="G111" s="248">
        <v>3</v>
      </c>
      <c r="H111" s="384">
        <v>3</v>
      </c>
      <c r="I111" s="249">
        <f t="shared" si="21"/>
        <v>0.49</v>
      </c>
      <c r="J111" s="249">
        <v>0.37</v>
      </c>
      <c r="K111" s="249">
        <v>0.37</v>
      </c>
      <c r="L111" s="248">
        <f t="shared" si="31"/>
        <v>0.4474002418379685</v>
      </c>
      <c r="M111" s="385">
        <f t="shared" si="22"/>
        <v>0.48241069980330337</v>
      </c>
      <c r="N111" s="385">
        <f t="shared" si="23"/>
        <v>0.65794153211465956</v>
      </c>
      <c r="O111" s="248">
        <v>82.7</v>
      </c>
      <c r="P111" s="248">
        <v>0.68</v>
      </c>
      <c r="Q111" s="386">
        <f t="shared" si="32"/>
        <v>0.99963873862482511</v>
      </c>
      <c r="R111" s="248">
        <v>0.6</v>
      </c>
      <c r="S111" s="248">
        <f t="shared" si="28"/>
        <v>0.26844014510278108</v>
      </c>
      <c r="T111" s="248">
        <f t="shared" si="29"/>
        <v>0.289446419881982</v>
      </c>
      <c r="U111" s="248">
        <f t="shared" si="30"/>
        <v>0.3947649192687957</v>
      </c>
      <c r="V111" s="248">
        <f t="shared" si="20"/>
        <v>0.59978324317489506</v>
      </c>
      <c r="W111" s="248" t="s">
        <v>871</v>
      </c>
      <c r="X111" s="340" t="s">
        <v>857</v>
      </c>
      <c r="Y111" s="177">
        <f t="shared" si="27"/>
        <v>3.9476491926879572E-4</v>
      </c>
      <c r="Z111" s="250" t="s">
        <v>644</v>
      </c>
      <c r="AB111" s="387">
        <v>1</v>
      </c>
      <c r="AC111" s="250">
        <v>0.82700000000000007</v>
      </c>
    </row>
    <row r="112" spans="1:29" ht="31.5" customHeight="1" x14ac:dyDescent="0.25">
      <c r="A112" s="382">
        <v>95</v>
      </c>
      <c r="B112" s="248" t="s">
        <v>748</v>
      </c>
      <c r="C112" s="248" t="s">
        <v>781</v>
      </c>
      <c r="D112" s="383" t="s">
        <v>704</v>
      </c>
      <c r="E112" s="384" t="s">
        <v>794</v>
      </c>
      <c r="F112" s="248">
        <v>380</v>
      </c>
      <c r="G112" s="248">
        <v>3</v>
      </c>
      <c r="H112" s="384">
        <v>3</v>
      </c>
      <c r="I112" s="249">
        <f t="shared" si="21"/>
        <v>4.96</v>
      </c>
      <c r="J112" s="249">
        <v>3.7</v>
      </c>
      <c r="K112" s="249">
        <v>3.7</v>
      </c>
      <c r="L112" s="248">
        <f t="shared" si="31"/>
        <v>4.2285714285714286</v>
      </c>
      <c r="M112" s="385">
        <f t="shared" si="22"/>
        <v>3.3925043243662691</v>
      </c>
      <c r="N112" s="385">
        <f t="shared" si="23"/>
        <v>5.4212454212454215</v>
      </c>
      <c r="O112" s="248">
        <v>87.5</v>
      </c>
      <c r="P112" s="248">
        <v>0.78</v>
      </c>
      <c r="Q112" s="386">
        <f t="shared" si="32"/>
        <v>8.2367302718396598</v>
      </c>
      <c r="R112" s="248">
        <v>0.6</v>
      </c>
      <c r="S112" s="248">
        <f t="shared" si="28"/>
        <v>2.5371428571428569</v>
      </c>
      <c r="T112" s="248">
        <f t="shared" si="29"/>
        <v>2.0355025946197616</v>
      </c>
      <c r="U112" s="248">
        <f t="shared" si="30"/>
        <v>3.2527472527472527</v>
      </c>
      <c r="V112" s="248">
        <f t="shared" si="20"/>
        <v>4.9420381631037955</v>
      </c>
      <c r="W112" s="248" t="s">
        <v>874</v>
      </c>
      <c r="X112" s="340" t="s">
        <v>857</v>
      </c>
      <c r="Y112" s="177">
        <f t="shared" si="27"/>
        <v>3.2527472527472527E-3</v>
      </c>
      <c r="Z112" s="250" t="s">
        <v>644</v>
      </c>
      <c r="AB112" s="387">
        <v>1</v>
      </c>
      <c r="AC112" s="250">
        <v>0.875</v>
      </c>
    </row>
    <row r="113" spans="1:29" ht="31.5" customHeight="1" x14ac:dyDescent="0.25">
      <c r="A113" s="382">
        <v>96</v>
      </c>
      <c r="B113" s="248" t="s">
        <v>748</v>
      </c>
      <c r="C113" s="248" t="s">
        <v>781</v>
      </c>
      <c r="D113" s="383" t="s">
        <v>702</v>
      </c>
      <c r="E113" s="384" t="s">
        <v>795</v>
      </c>
      <c r="F113" s="248">
        <v>380</v>
      </c>
      <c r="G113" s="248">
        <v>3</v>
      </c>
      <c r="H113" s="384">
        <v>3</v>
      </c>
      <c r="I113" s="249">
        <f t="shared" si="21"/>
        <v>0.49</v>
      </c>
      <c r="J113" s="249">
        <v>0.37</v>
      </c>
      <c r="K113" s="249">
        <v>0.37</v>
      </c>
      <c r="L113" s="248">
        <f t="shared" si="31"/>
        <v>0.4474002418379685</v>
      </c>
      <c r="M113" s="385">
        <f t="shared" si="22"/>
        <v>0.48241069980330337</v>
      </c>
      <c r="N113" s="385">
        <f t="shared" si="23"/>
        <v>0.65794153211465956</v>
      </c>
      <c r="O113" s="248">
        <v>82.7</v>
      </c>
      <c r="P113" s="248">
        <v>0.68</v>
      </c>
      <c r="Q113" s="386">
        <f t="shared" si="32"/>
        <v>0.99963873862482511</v>
      </c>
      <c r="R113" s="248">
        <v>0.6</v>
      </c>
      <c r="S113" s="248">
        <f t="shared" si="28"/>
        <v>0.26844014510278108</v>
      </c>
      <c r="T113" s="248">
        <f t="shared" si="29"/>
        <v>0.289446419881982</v>
      </c>
      <c r="U113" s="248">
        <f t="shared" si="30"/>
        <v>0.3947649192687957</v>
      </c>
      <c r="V113" s="248">
        <f t="shared" si="20"/>
        <v>0.59978324317489506</v>
      </c>
      <c r="W113" s="248" t="s">
        <v>871</v>
      </c>
      <c r="X113" s="340" t="s">
        <v>857</v>
      </c>
      <c r="Y113" s="177">
        <f t="shared" si="27"/>
        <v>3.9476491926879572E-4</v>
      </c>
      <c r="Z113" s="250" t="s">
        <v>644</v>
      </c>
      <c r="AB113" s="387">
        <v>1</v>
      </c>
      <c r="AC113" s="250">
        <v>0.82700000000000007</v>
      </c>
    </row>
    <row r="114" spans="1:29" ht="31.5" customHeight="1" x14ac:dyDescent="0.25">
      <c r="A114" s="382">
        <v>97</v>
      </c>
      <c r="B114" s="248" t="s">
        <v>748</v>
      </c>
      <c r="C114" s="248" t="s">
        <v>781</v>
      </c>
      <c r="D114" s="383" t="s">
        <v>704</v>
      </c>
      <c r="E114" s="384" t="s">
        <v>796</v>
      </c>
      <c r="F114" s="248">
        <v>380</v>
      </c>
      <c r="G114" s="248">
        <v>3</v>
      </c>
      <c r="H114" s="384">
        <v>3</v>
      </c>
      <c r="I114" s="249">
        <f t="shared" si="21"/>
        <v>4.96</v>
      </c>
      <c r="J114" s="249">
        <v>3.7</v>
      </c>
      <c r="K114" s="249">
        <v>3.7</v>
      </c>
      <c r="L114" s="248">
        <f t="shared" si="31"/>
        <v>4.2285714285714286</v>
      </c>
      <c r="M114" s="385">
        <f t="shared" si="22"/>
        <v>3.3925043243662691</v>
      </c>
      <c r="N114" s="385">
        <f t="shared" si="23"/>
        <v>5.4212454212454215</v>
      </c>
      <c r="O114" s="248">
        <v>87.5</v>
      </c>
      <c r="P114" s="248">
        <v>0.78</v>
      </c>
      <c r="Q114" s="386">
        <f t="shared" si="32"/>
        <v>8.2367302718396598</v>
      </c>
      <c r="R114" s="248">
        <v>0.6</v>
      </c>
      <c r="S114" s="248">
        <f t="shared" si="28"/>
        <v>2.5371428571428569</v>
      </c>
      <c r="T114" s="248">
        <f t="shared" si="29"/>
        <v>2.0355025946197616</v>
      </c>
      <c r="U114" s="248">
        <f t="shared" si="30"/>
        <v>3.2527472527472527</v>
      </c>
      <c r="V114" s="248">
        <f t="shared" si="20"/>
        <v>4.9420381631037955</v>
      </c>
      <c r="W114" s="248" t="s">
        <v>874</v>
      </c>
      <c r="X114" s="340" t="s">
        <v>857</v>
      </c>
      <c r="Y114" s="177">
        <f t="shared" si="27"/>
        <v>3.2527472527472527E-3</v>
      </c>
      <c r="Z114" s="250" t="s">
        <v>644</v>
      </c>
      <c r="AB114" s="387">
        <v>1</v>
      </c>
      <c r="AC114" s="250">
        <v>0.875</v>
      </c>
    </row>
    <row r="115" spans="1:29" ht="31.5" customHeight="1" x14ac:dyDescent="0.25">
      <c r="A115" s="382">
        <v>98</v>
      </c>
      <c r="B115" s="248" t="s">
        <v>748</v>
      </c>
      <c r="C115" s="248" t="s">
        <v>781</v>
      </c>
      <c r="D115" s="383" t="s">
        <v>702</v>
      </c>
      <c r="E115" s="384" t="s">
        <v>797</v>
      </c>
      <c r="F115" s="248">
        <v>380</v>
      </c>
      <c r="G115" s="248">
        <v>3</v>
      </c>
      <c r="H115" s="384">
        <v>3</v>
      </c>
      <c r="I115" s="249">
        <f t="shared" si="21"/>
        <v>1.2</v>
      </c>
      <c r="J115" s="249">
        <v>0.9</v>
      </c>
      <c r="K115" s="249">
        <v>0.9</v>
      </c>
      <c r="L115" s="248">
        <f t="shared" si="31"/>
        <v>1.1042944785276074</v>
      </c>
      <c r="M115" s="385">
        <f t="shared" si="22"/>
        <v>1.1907089499704815</v>
      </c>
      <c r="N115" s="385">
        <f t="shared" si="23"/>
        <v>1.6239624684229519</v>
      </c>
      <c r="O115" s="248">
        <v>81.5</v>
      </c>
      <c r="P115" s="248">
        <v>0.68</v>
      </c>
      <c r="Q115" s="386">
        <f t="shared" si="32"/>
        <v>2.4673557060469484</v>
      </c>
      <c r="R115" s="248">
        <v>0.6</v>
      </c>
      <c r="S115" s="248">
        <f t="shared" si="28"/>
        <v>0.66257668711656448</v>
      </c>
      <c r="T115" s="248">
        <f t="shared" si="29"/>
        <v>0.71442536998228889</v>
      </c>
      <c r="U115" s="248">
        <f t="shared" si="30"/>
        <v>0.97437748105377109</v>
      </c>
      <c r="V115" s="248">
        <f t="shared" si="20"/>
        <v>1.4804134236281692</v>
      </c>
      <c r="W115" s="248" t="s">
        <v>871</v>
      </c>
      <c r="X115" s="340" t="s">
        <v>857</v>
      </c>
      <c r="Y115" s="177">
        <f t="shared" si="27"/>
        <v>9.7437748105377105E-4</v>
      </c>
      <c r="Z115" s="250" t="s">
        <v>644</v>
      </c>
      <c r="AB115" s="387">
        <v>1</v>
      </c>
      <c r="AC115" s="250">
        <v>0.81499999999999995</v>
      </c>
    </row>
    <row r="116" spans="1:29" ht="31.5" customHeight="1" x14ac:dyDescent="0.25">
      <c r="A116" s="382">
        <v>99</v>
      </c>
      <c r="B116" s="248" t="s">
        <v>748</v>
      </c>
      <c r="C116" s="248" t="s">
        <v>781</v>
      </c>
      <c r="D116" s="383" t="s">
        <v>704</v>
      </c>
      <c r="E116" s="384" t="s">
        <v>798</v>
      </c>
      <c r="F116" s="248">
        <v>380</v>
      </c>
      <c r="G116" s="248">
        <v>3</v>
      </c>
      <c r="H116" s="384">
        <v>3</v>
      </c>
      <c r="I116" s="249">
        <f t="shared" si="21"/>
        <v>4.96</v>
      </c>
      <c r="J116" s="249">
        <v>3.7</v>
      </c>
      <c r="K116" s="249">
        <v>3.7</v>
      </c>
      <c r="L116" s="248">
        <f t="shared" si="31"/>
        <v>4.2285714285714286</v>
      </c>
      <c r="M116" s="385">
        <f t="shared" si="22"/>
        <v>3.3925043243662691</v>
      </c>
      <c r="N116" s="385">
        <f t="shared" si="23"/>
        <v>5.4212454212454215</v>
      </c>
      <c r="O116" s="248">
        <v>87.5</v>
      </c>
      <c r="P116" s="248">
        <v>0.78</v>
      </c>
      <c r="Q116" s="386">
        <f t="shared" si="32"/>
        <v>8.2367302718396598</v>
      </c>
      <c r="R116" s="248">
        <v>0.6</v>
      </c>
      <c r="S116" s="248">
        <f t="shared" si="28"/>
        <v>2.5371428571428569</v>
      </c>
      <c r="T116" s="248">
        <f t="shared" si="29"/>
        <v>2.0355025946197616</v>
      </c>
      <c r="U116" s="248">
        <f t="shared" si="30"/>
        <v>3.2527472527472527</v>
      </c>
      <c r="V116" s="248">
        <f t="shared" si="20"/>
        <v>4.9420381631037955</v>
      </c>
      <c r="W116" s="248" t="s">
        <v>874</v>
      </c>
      <c r="X116" s="340" t="s">
        <v>857</v>
      </c>
      <c r="Y116" s="177">
        <f t="shared" si="27"/>
        <v>3.2527472527472527E-3</v>
      </c>
      <c r="Z116" s="250" t="s">
        <v>644</v>
      </c>
      <c r="AB116" s="387">
        <v>1</v>
      </c>
      <c r="AC116" s="250">
        <v>0.875</v>
      </c>
    </row>
    <row r="117" spans="1:29" ht="31.5" customHeight="1" x14ac:dyDescent="0.25">
      <c r="A117" s="382">
        <v>100</v>
      </c>
      <c r="B117" s="248" t="s">
        <v>748</v>
      </c>
      <c r="C117" s="248" t="s">
        <v>781</v>
      </c>
      <c r="D117" s="383" t="s">
        <v>702</v>
      </c>
      <c r="E117" s="384" t="s">
        <v>799</v>
      </c>
      <c r="F117" s="248">
        <v>380</v>
      </c>
      <c r="G117" s="248">
        <v>3</v>
      </c>
      <c r="H117" s="384">
        <v>3</v>
      </c>
      <c r="I117" s="249">
        <f t="shared" si="21"/>
        <v>0.49</v>
      </c>
      <c r="J117" s="249">
        <v>0.37</v>
      </c>
      <c r="K117" s="249">
        <v>0.37</v>
      </c>
      <c r="L117" s="248">
        <f t="shared" si="31"/>
        <v>0.4474002418379685</v>
      </c>
      <c r="M117" s="385">
        <f t="shared" si="22"/>
        <v>0.48241069980330337</v>
      </c>
      <c r="N117" s="385">
        <f t="shared" si="23"/>
        <v>0.65794153211465956</v>
      </c>
      <c r="O117" s="248">
        <v>82.7</v>
      </c>
      <c r="P117" s="248">
        <v>0.68</v>
      </c>
      <c r="Q117" s="386">
        <f t="shared" si="32"/>
        <v>0.99963873862482511</v>
      </c>
      <c r="R117" s="248">
        <v>0.6</v>
      </c>
      <c r="S117" s="248">
        <f t="shared" si="28"/>
        <v>0.26844014510278108</v>
      </c>
      <c r="T117" s="248">
        <f t="shared" si="29"/>
        <v>0.289446419881982</v>
      </c>
      <c r="U117" s="248">
        <f t="shared" si="30"/>
        <v>0.3947649192687957</v>
      </c>
      <c r="V117" s="248">
        <f t="shared" si="20"/>
        <v>0.59978324317489506</v>
      </c>
      <c r="W117" s="248" t="s">
        <v>871</v>
      </c>
      <c r="X117" s="340" t="s">
        <v>857</v>
      </c>
      <c r="Y117" s="177">
        <f t="shared" si="27"/>
        <v>3.9476491926879572E-4</v>
      </c>
      <c r="Z117" s="250" t="s">
        <v>644</v>
      </c>
      <c r="AB117" s="387">
        <v>1</v>
      </c>
      <c r="AC117" s="250">
        <v>0.82700000000000007</v>
      </c>
    </row>
    <row r="118" spans="1:29" ht="31.5" customHeight="1" x14ac:dyDescent="0.25">
      <c r="A118" s="382">
        <v>101</v>
      </c>
      <c r="B118" s="248" t="s">
        <v>748</v>
      </c>
      <c r="C118" s="248" t="s">
        <v>781</v>
      </c>
      <c r="D118" s="383" t="s">
        <v>704</v>
      </c>
      <c r="E118" s="384" t="s">
        <v>800</v>
      </c>
      <c r="F118" s="248">
        <v>380</v>
      </c>
      <c r="G118" s="248">
        <v>3</v>
      </c>
      <c r="H118" s="384">
        <v>3</v>
      </c>
      <c r="I118" s="249">
        <f t="shared" si="21"/>
        <v>4.96</v>
      </c>
      <c r="J118" s="249">
        <v>3.7</v>
      </c>
      <c r="K118" s="249">
        <v>3.7</v>
      </c>
      <c r="L118" s="248">
        <f t="shared" si="31"/>
        <v>4.2285714285714286</v>
      </c>
      <c r="M118" s="385">
        <f t="shared" si="22"/>
        <v>3.3925043243662691</v>
      </c>
      <c r="N118" s="385">
        <f t="shared" si="23"/>
        <v>5.4212454212454215</v>
      </c>
      <c r="O118" s="248">
        <v>87.5</v>
      </c>
      <c r="P118" s="248">
        <v>0.78</v>
      </c>
      <c r="Q118" s="386">
        <f t="shared" si="32"/>
        <v>8.2367302718396598</v>
      </c>
      <c r="R118" s="248">
        <v>0.6</v>
      </c>
      <c r="S118" s="248">
        <f t="shared" si="28"/>
        <v>2.5371428571428569</v>
      </c>
      <c r="T118" s="248">
        <f t="shared" si="29"/>
        <v>2.0355025946197616</v>
      </c>
      <c r="U118" s="248">
        <f t="shared" si="30"/>
        <v>3.2527472527472527</v>
      </c>
      <c r="V118" s="248">
        <f t="shared" si="20"/>
        <v>4.9420381631037955</v>
      </c>
      <c r="W118" s="248" t="s">
        <v>874</v>
      </c>
      <c r="X118" s="340" t="s">
        <v>857</v>
      </c>
      <c r="Y118" s="177">
        <f t="shared" si="27"/>
        <v>3.2527472527472527E-3</v>
      </c>
      <c r="Z118" s="250" t="s">
        <v>644</v>
      </c>
      <c r="AB118" s="387">
        <v>1</v>
      </c>
      <c r="AC118" s="250">
        <v>0.875</v>
      </c>
    </row>
    <row r="119" spans="1:29" ht="31.5" customHeight="1" x14ac:dyDescent="0.25">
      <c r="A119" s="382">
        <v>102</v>
      </c>
      <c r="B119" s="248" t="s">
        <v>748</v>
      </c>
      <c r="C119" s="248" t="s">
        <v>781</v>
      </c>
      <c r="D119" s="383" t="s">
        <v>702</v>
      </c>
      <c r="E119" s="384" t="s">
        <v>801</v>
      </c>
      <c r="F119" s="248">
        <v>380</v>
      </c>
      <c r="G119" s="248">
        <v>3</v>
      </c>
      <c r="H119" s="384">
        <v>3</v>
      </c>
      <c r="I119" s="249">
        <f t="shared" si="21"/>
        <v>1.2</v>
      </c>
      <c r="J119" s="249">
        <v>0.9</v>
      </c>
      <c r="K119" s="249">
        <v>0.9</v>
      </c>
      <c r="L119" s="248">
        <f t="shared" si="31"/>
        <v>1.1042944785276074</v>
      </c>
      <c r="M119" s="385">
        <f t="shared" si="22"/>
        <v>1.1907089499704815</v>
      </c>
      <c r="N119" s="385">
        <f t="shared" si="23"/>
        <v>1.6239624684229519</v>
      </c>
      <c r="O119" s="248">
        <v>81.5</v>
      </c>
      <c r="P119" s="248">
        <v>0.68</v>
      </c>
      <c r="Q119" s="386">
        <f t="shared" si="32"/>
        <v>2.4673557060469484</v>
      </c>
      <c r="R119" s="248">
        <v>0.6</v>
      </c>
      <c r="S119" s="248">
        <f t="shared" ref="S119:S128" si="33">L119*R119</f>
        <v>0.66257668711656448</v>
      </c>
      <c r="T119" s="248">
        <f t="shared" ref="T119:T128" si="34">M119*R119</f>
        <v>0.71442536998228889</v>
      </c>
      <c r="U119" s="248">
        <f t="shared" ref="U119:U128" si="35">N119*R119</f>
        <v>0.97437748105377109</v>
      </c>
      <c r="V119" s="248">
        <f t="shared" si="20"/>
        <v>1.4804134236281692</v>
      </c>
      <c r="W119" s="248" t="s">
        <v>871</v>
      </c>
      <c r="X119" s="340" t="s">
        <v>857</v>
      </c>
      <c r="Y119" s="177">
        <f t="shared" si="27"/>
        <v>9.7437748105377105E-4</v>
      </c>
      <c r="Z119" s="250" t="s">
        <v>644</v>
      </c>
      <c r="AB119" s="387">
        <v>1</v>
      </c>
      <c r="AC119" s="250">
        <v>0.81499999999999995</v>
      </c>
    </row>
    <row r="120" spans="1:29" ht="31.5" customHeight="1" x14ac:dyDescent="0.25">
      <c r="A120" s="382">
        <v>103</v>
      </c>
      <c r="B120" s="248" t="s">
        <v>748</v>
      </c>
      <c r="C120" s="248" t="s">
        <v>781</v>
      </c>
      <c r="D120" s="383" t="s">
        <v>802</v>
      </c>
      <c r="E120" s="384" t="s">
        <v>803</v>
      </c>
      <c r="F120" s="248">
        <v>380</v>
      </c>
      <c r="G120" s="248">
        <v>3</v>
      </c>
      <c r="H120" s="384">
        <v>3</v>
      </c>
      <c r="I120" s="249">
        <f t="shared" si="21"/>
        <v>73.75</v>
      </c>
      <c r="J120" s="249">
        <v>55</v>
      </c>
      <c r="K120" s="249">
        <v>55</v>
      </c>
      <c r="L120" s="248">
        <f t="shared" si="31"/>
        <v>58.448459086078643</v>
      </c>
      <c r="M120" s="385">
        <f t="shared" si="22"/>
        <v>28.307880729098699</v>
      </c>
      <c r="N120" s="385">
        <f t="shared" si="23"/>
        <v>64.942732317865151</v>
      </c>
      <c r="O120" s="248">
        <v>94.1</v>
      </c>
      <c r="P120" s="248">
        <v>0.9</v>
      </c>
      <c r="Q120" s="386">
        <f t="shared" si="32"/>
        <v>98.670273646392786</v>
      </c>
      <c r="R120" s="248">
        <v>0.6</v>
      </c>
      <c r="S120" s="248">
        <f t="shared" si="33"/>
        <v>35.069075451647187</v>
      </c>
      <c r="T120" s="248">
        <f t="shared" si="34"/>
        <v>16.984728437459218</v>
      </c>
      <c r="U120" s="248">
        <f t="shared" si="35"/>
        <v>38.96563939071909</v>
      </c>
      <c r="V120" s="248">
        <f t="shared" si="20"/>
        <v>59.202164187835663</v>
      </c>
      <c r="W120" s="248" t="s">
        <v>869</v>
      </c>
      <c r="X120" s="340" t="s">
        <v>859</v>
      </c>
      <c r="Y120" s="177">
        <f t="shared" si="27"/>
        <v>3.8965639390719092E-2</v>
      </c>
      <c r="Z120" s="250" t="s">
        <v>644</v>
      </c>
      <c r="AB120" s="387">
        <v>1</v>
      </c>
      <c r="AC120" s="250">
        <v>0.94099999999999995</v>
      </c>
    </row>
    <row r="121" spans="1:29" ht="31.5" customHeight="1" x14ac:dyDescent="0.25">
      <c r="A121" s="382">
        <v>104</v>
      </c>
      <c r="B121" s="248" t="s">
        <v>748</v>
      </c>
      <c r="C121" s="248" t="s">
        <v>781</v>
      </c>
      <c r="D121" s="383" t="s">
        <v>702</v>
      </c>
      <c r="E121" s="384" t="s">
        <v>804</v>
      </c>
      <c r="F121" s="248">
        <v>380</v>
      </c>
      <c r="G121" s="248">
        <v>3</v>
      </c>
      <c r="H121" s="384">
        <v>3</v>
      </c>
      <c r="I121" s="249">
        <f t="shared" si="21"/>
        <v>0.49</v>
      </c>
      <c r="J121" s="249">
        <v>0.37</v>
      </c>
      <c r="K121" s="249">
        <v>0.37</v>
      </c>
      <c r="L121" s="248">
        <f t="shared" si="31"/>
        <v>0.4474002418379685</v>
      </c>
      <c r="M121" s="385">
        <f t="shared" si="22"/>
        <v>0.48241069980330337</v>
      </c>
      <c r="N121" s="385">
        <f t="shared" si="23"/>
        <v>0.65794153211465956</v>
      </c>
      <c r="O121" s="248">
        <v>82.7</v>
      </c>
      <c r="P121" s="248">
        <v>0.68</v>
      </c>
      <c r="Q121" s="386">
        <f t="shared" si="32"/>
        <v>0.99963873862482511</v>
      </c>
      <c r="R121" s="248">
        <v>0.6</v>
      </c>
      <c r="S121" s="248">
        <f t="shared" si="33"/>
        <v>0.26844014510278108</v>
      </c>
      <c r="T121" s="248">
        <f t="shared" si="34"/>
        <v>0.289446419881982</v>
      </c>
      <c r="U121" s="248">
        <f t="shared" si="35"/>
        <v>0.3947649192687957</v>
      </c>
      <c r="V121" s="248">
        <f t="shared" si="20"/>
        <v>0.59978324317489506</v>
      </c>
      <c r="W121" s="248" t="s">
        <v>871</v>
      </c>
      <c r="X121" s="340" t="s">
        <v>857</v>
      </c>
      <c r="Y121" s="177">
        <f t="shared" si="27"/>
        <v>3.9476491926879572E-4</v>
      </c>
      <c r="Z121" s="250" t="s">
        <v>644</v>
      </c>
      <c r="AB121" s="387">
        <v>1</v>
      </c>
      <c r="AC121" s="250">
        <v>0.82700000000000007</v>
      </c>
    </row>
    <row r="122" spans="1:29" ht="31.5" customHeight="1" x14ac:dyDescent="0.25">
      <c r="A122" s="382">
        <v>105</v>
      </c>
      <c r="B122" s="248" t="s">
        <v>748</v>
      </c>
      <c r="C122" s="248" t="s">
        <v>781</v>
      </c>
      <c r="D122" s="383" t="s">
        <v>704</v>
      </c>
      <c r="E122" s="384" t="s">
        <v>805</v>
      </c>
      <c r="F122" s="248">
        <v>380</v>
      </c>
      <c r="G122" s="248">
        <v>3</v>
      </c>
      <c r="H122" s="384">
        <v>3</v>
      </c>
      <c r="I122" s="249">
        <f t="shared" si="21"/>
        <v>4.96</v>
      </c>
      <c r="J122" s="249">
        <v>3.7</v>
      </c>
      <c r="K122" s="249">
        <v>3.7</v>
      </c>
      <c r="L122" s="248">
        <f t="shared" si="31"/>
        <v>4.2285714285714286</v>
      </c>
      <c r="M122" s="385">
        <f t="shared" si="22"/>
        <v>3.3925043243662691</v>
      </c>
      <c r="N122" s="385">
        <f t="shared" si="23"/>
        <v>5.4212454212454215</v>
      </c>
      <c r="O122" s="248">
        <v>87.5</v>
      </c>
      <c r="P122" s="248">
        <v>0.78</v>
      </c>
      <c r="Q122" s="386">
        <f t="shared" si="32"/>
        <v>8.2367302718396598</v>
      </c>
      <c r="R122" s="248">
        <v>0.6</v>
      </c>
      <c r="S122" s="248">
        <f t="shared" si="33"/>
        <v>2.5371428571428569</v>
      </c>
      <c r="T122" s="248">
        <f t="shared" si="34"/>
        <v>2.0355025946197616</v>
      </c>
      <c r="U122" s="248">
        <f t="shared" si="35"/>
        <v>3.2527472527472527</v>
      </c>
      <c r="V122" s="248">
        <f t="shared" si="20"/>
        <v>4.9420381631037955</v>
      </c>
      <c r="W122" s="248" t="s">
        <v>874</v>
      </c>
      <c r="X122" s="340" t="s">
        <v>857</v>
      </c>
      <c r="Y122" s="177">
        <f t="shared" si="27"/>
        <v>3.2527472527472527E-3</v>
      </c>
      <c r="Z122" s="250" t="s">
        <v>644</v>
      </c>
      <c r="AB122" s="387">
        <v>1</v>
      </c>
      <c r="AC122" s="250">
        <v>0.875</v>
      </c>
    </row>
    <row r="123" spans="1:29" ht="31.5" customHeight="1" x14ac:dyDescent="0.25">
      <c r="A123" s="382">
        <v>106</v>
      </c>
      <c r="B123" s="248" t="s">
        <v>748</v>
      </c>
      <c r="C123" s="248" t="s">
        <v>781</v>
      </c>
      <c r="D123" s="383" t="s">
        <v>704</v>
      </c>
      <c r="E123" s="384" t="s">
        <v>806</v>
      </c>
      <c r="F123" s="248">
        <v>380</v>
      </c>
      <c r="G123" s="248">
        <v>3</v>
      </c>
      <c r="H123" s="384">
        <v>3</v>
      </c>
      <c r="I123" s="249">
        <f t="shared" si="21"/>
        <v>4.96</v>
      </c>
      <c r="J123" s="249">
        <v>3.7</v>
      </c>
      <c r="K123" s="249">
        <v>3.7</v>
      </c>
      <c r="L123" s="248">
        <f t="shared" si="31"/>
        <v>4.2285714285714286</v>
      </c>
      <c r="M123" s="385">
        <f t="shared" si="22"/>
        <v>3.3925043243662691</v>
      </c>
      <c r="N123" s="385">
        <f t="shared" si="23"/>
        <v>5.4212454212454215</v>
      </c>
      <c r="O123" s="248">
        <v>87.5</v>
      </c>
      <c r="P123" s="248">
        <v>0.78</v>
      </c>
      <c r="Q123" s="386">
        <f t="shared" si="32"/>
        <v>8.2367302718396598</v>
      </c>
      <c r="R123" s="248">
        <v>0.6</v>
      </c>
      <c r="S123" s="248">
        <f t="shared" si="33"/>
        <v>2.5371428571428569</v>
      </c>
      <c r="T123" s="248">
        <f t="shared" si="34"/>
        <v>2.0355025946197616</v>
      </c>
      <c r="U123" s="248">
        <f t="shared" si="35"/>
        <v>3.2527472527472527</v>
      </c>
      <c r="V123" s="248">
        <f t="shared" si="20"/>
        <v>4.9420381631037955</v>
      </c>
      <c r="W123" s="248" t="s">
        <v>874</v>
      </c>
      <c r="X123" s="340" t="s">
        <v>857</v>
      </c>
      <c r="Y123" s="177">
        <f t="shared" si="27"/>
        <v>3.2527472527472527E-3</v>
      </c>
      <c r="Z123" s="250" t="s">
        <v>644</v>
      </c>
      <c r="AB123" s="387">
        <v>1</v>
      </c>
      <c r="AC123" s="250">
        <v>0.875</v>
      </c>
    </row>
    <row r="124" spans="1:29" ht="31.5" customHeight="1" x14ac:dyDescent="0.25">
      <c r="A124" s="382">
        <v>107</v>
      </c>
      <c r="B124" s="248" t="s">
        <v>748</v>
      </c>
      <c r="C124" s="248" t="s">
        <v>781</v>
      </c>
      <c r="D124" s="383" t="s">
        <v>761</v>
      </c>
      <c r="E124" s="384" t="s">
        <v>807</v>
      </c>
      <c r="F124" s="248">
        <v>380</v>
      </c>
      <c r="G124" s="248">
        <v>3</v>
      </c>
      <c r="H124" s="384">
        <v>3</v>
      </c>
      <c r="I124" s="249">
        <f>ROUNDDOWN(J124/0.7457,2)</f>
        <v>1.2</v>
      </c>
      <c r="J124" s="249">
        <v>0.9</v>
      </c>
      <c r="K124" s="249">
        <v>0.9</v>
      </c>
      <c r="L124" s="248">
        <f t="shared" si="31"/>
        <v>1.1042944785276074</v>
      </c>
      <c r="M124" s="385">
        <f t="shared" si="22"/>
        <v>1.1907089499704815</v>
      </c>
      <c r="N124" s="385">
        <f t="shared" si="23"/>
        <v>1.6239624684229519</v>
      </c>
      <c r="O124" s="248">
        <v>81.5</v>
      </c>
      <c r="P124" s="248">
        <v>0.68</v>
      </c>
      <c r="Q124" s="386">
        <f t="shared" si="32"/>
        <v>2.4673557060469484</v>
      </c>
      <c r="R124" s="248">
        <v>0.6</v>
      </c>
      <c r="S124" s="248">
        <f t="shared" si="33"/>
        <v>0.66257668711656448</v>
      </c>
      <c r="T124" s="248">
        <f t="shared" si="34"/>
        <v>0.71442536998228889</v>
      </c>
      <c r="U124" s="248">
        <f t="shared" si="35"/>
        <v>0.97437748105377109</v>
      </c>
      <c r="V124" s="248">
        <f t="shared" si="20"/>
        <v>1.4804134236281692</v>
      </c>
      <c r="W124" s="248" t="s">
        <v>871</v>
      </c>
      <c r="X124" s="340" t="s">
        <v>857</v>
      </c>
      <c r="Y124" s="177">
        <f t="shared" si="27"/>
        <v>9.7437748105377105E-4</v>
      </c>
      <c r="Z124" s="250" t="s">
        <v>644</v>
      </c>
      <c r="AB124" s="387">
        <v>1</v>
      </c>
      <c r="AC124" s="250">
        <v>0.81499999999999995</v>
      </c>
    </row>
    <row r="125" spans="1:29" ht="31.5" customHeight="1" x14ac:dyDescent="0.25">
      <c r="A125" s="382">
        <v>108</v>
      </c>
      <c r="B125" s="248" t="s">
        <v>748</v>
      </c>
      <c r="C125" s="248" t="s">
        <v>781</v>
      </c>
      <c r="D125" s="383" t="s">
        <v>704</v>
      </c>
      <c r="E125" s="384" t="s">
        <v>808</v>
      </c>
      <c r="F125" s="248">
        <v>380</v>
      </c>
      <c r="G125" s="248">
        <v>3</v>
      </c>
      <c r="H125" s="384">
        <v>3</v>
      </c>
      <c r="I125" s="249">
        <f t="shared" si="21"/>
        <v>4.96</v>
      </c>
      <c r="J125" s="249">
        <v>3.7</v>
      </c>
      <c r="K125" s="249">
        <v>3.7</v>
      </c>
      <c r="L125" s="248">
        <f t="shared" si="31"/>
        <v>4.2285714285714286</v>
      </c>
      <c r="M125" s="385">
        <f t="shared" si="22"/>
        <v>3.3925043243662691</v>
      </c>
      <c r="N125" s="385">
        <f t="shared" si="23"/>
        <v>5.4212454212454215</v>
      </c>
      <c r="O125" s="248">
        <v>87.5</v>
      </c>
      <c r="P125" s="248">
        <v>0.78</v>
      </c>
      <c r="Q125" s="386">
        <f t="shared" si="32"/>
        <v>8.2367302718396598</v>
      </c>
      <c r="R125" s="248">
        <v>0.6</v>
      </c>
      <c r="S125" s="248">
        <f t="shared" si="33"/>
        <v>2.5371428571428569</v>
      </c>
      <c r="T125" s="248">
        <f t="shared" si="34"/>
        <v>2.0355025946197616</v>
      </c>
      <c r="U125" s="248">
        <f t="shared" si="35"/>
        <v>3.2527472527472527</v>
      </c>
      <c r="V125" s="248">
        <f t="shared" si="20"/>
        <v>4.9420381631037955</v>
      </c>
      <c r="W125" s="248" t="s">
        <v>874</v>
      </c>
      <c r="X125" s="340" t="s">
        <v>857</v>
      </c>
      <c r="Y125" s="177">
        <f t="shared" si="27"/>
        <v>3.2527472527472527E-3</v>
      </c>
      <c r="Z125" s="250" t="s">
        <v>644</v>
      </c>
      <c r="AB125" s="387">
        <v>1</v>
      </c>
      <c r="AC125" s="250">
        <v>0.875</v>
      </c>
    </row>
    <row r="126" spans="1:29" ht="31.5" customHeight="1" x14ac:dyDescent="0.25">
      <c r="A126" s="382">
        <v>109</v>
      </c>
      <c r="B126" s="248" t="s">
        <v>748</v>
      </c>
      <c r="C126" s="248" t="s">
        <v>781</v>
      </c>
      <c r="D126" s="383" t="s">
        <v>704</v>
      </c>
      <c r="E126" s="384" t="s">
        <v>809</v>
      </c>
      <c r="F126" s="248">
        <v>380</v>
      </c>
      <c r="G126" s="248">
        <v>3</v>
      </c>
      <c r="H126" s="384">
        <v>3</v>
      </c>
      <c r="I126" s="249">
        <f t="shared" si="21"/>
        <v>4.96</v>
      </c>
      <c r="J126" s="249">
        <v>3.7</v>
      </c>
      <c r="K126" s="249">
        <v>3.7</v>
      </c>
      <c r="L126" s="248">
        <f t="shared" si="31"/>
        <v>4.2285714285714286</v>
      </c>
      <c r="M126" s="385">
        <f t="shared" si="22"/>
        <v>3.3925043243662691</v>
      </c>
      <c r="N126" s="385">
        <f t="shared" si="23"/>
        <v>5.4212454212454215</v>
      </c>
      <c r="O126" s="248">
        <v>87.5</v>
      </c>
      <c r="P126" s="248">
        <v>0.78</v>
      </c>
      <c r="Q126" s="386">
        <f t="shared" si="32"/>
        <v>8.2367302718396598</v>
      </c>
      <c r="R126" s="248">
        <v>0.6</v>
      </c>
      <c r="S126" s="248">
        <f t="shared" si="33"/>
        <v>2.5371428571428569</v>
      </c>
      <c r="T126" s="248">
        <f t="shared" si="34"/>
        <v>2.0355025946197616</v>
      </c>
      <c r="U126" s="248">
        <f t="shared" si="35"/>
        <v>3.2527472527472527</v>
      </c>
      <c r="V126" s="248">
        <f t="shared" si="20"/>
        <v>4.9420381631037955</v>
      </c>
      <c r="W126" s="248" t="s">
        <v>874</v>
      </c>
      <c r="X126" s="340" t="s">
        <v>857</v>
      </c>
      <c r="Y126" s="177">
        <f t="shared" si="27"/>
        <v>3.2527472527472527E-3</v>
      </c>
      <c r="Z126" s="250" t="s">
        <v>644</v>
      </c>
      <c r="AB126" s="387">
        <v>1</v>
      </c>
      <c r="AC126" s="250">
        <v>0.875</v>
      </c>
    </row>
    <row r="127" spans="1:29" ht="31.5" customHeight="1" x14ac:dyDescent="0.25">
      <c r="A127" s="382">
        <v>110</v>
      </c>
      <c r="B127" s="248" t="s">
        <v>748</v>
      </c>
      <c r="C127" s="248" t="s">
        <v>781</v>
      </c>
      <c r="D127" s="383" t="s">
        <v>702</v>
      </c>
      <c r="E127" s="384" t="s">
        <v>810</v>
      </c>
      <c r="F127" s="248">
        <v>380</v>
      </c>
      <c r="G127" s="248">
        <v>3</v>
      </c>
      <c r="H127" s="384">
        <v>3</v>
      </c>
      <c r="I127" s="249">
        <f t="shared" si="21"/>
        <v>0.49</v>
      </c>
      <c r="J127" s="249">
        <v>0.37</v>
      </c>
      <c r="K127" s="249">
        <v>0.37</v>
      </c>
      <c r="L127" s="248">
        <f t="shared" si="31"/>
        <v>0.4474002418379685</v>
      </c>
      <c r="M127" s="385">
        <f t="shared" si="22"/>
        <v>0.48241069980330337</v>
      </c>
      <c r="N127" s="385">
        <f t="shared" si="23"/>
        <v>0.65794153211465956</v>
      </c>
      <c r="O127" s="248">
        <v>82.7</v>
      </c>
      <c r="P127" s="248">
        <v>0.68</v>
      </c>
      <c r="Q127" s="386">
        <f t="shared" si="32"/>
        <v>0.99963873862482511</v>
      </c>
      <c r="R127" s="248">
        <v>0.6</v>
      </c>
      <c r="S127" s="248">
        <f t="shared" si="33"/>
        <v>0.26844014510278108</v>
      </c>
      <c r="T127" s="248">
        <f t="shared" si="34"/>
        <v>0.289446419881982</v>
      </c>
      <c r="U127" s="248">
        <f t="shared" si="35"/>
        <v>0.3947649192687957</v>
      </c>
      <c r="V127" s="248">
        <f t="shared" si="20"/>
        <v>0.59978324317489506</v>
      </c>
      <c r="W127" s="248" t="s">
        <v>871</v>
      </c>
      <c r="X127" s="340" t="s">
        <v>857</v>
      </c>
      <c r="Y127" s="177">
        <f t="shared" si="27"/>
        <v>3.9476491926879572E-4</v>
      </c>
      <c r="Z127" s="250" t="s">
        <v>644</v>
      </c>
      <c r="AB127" s="387">
        <v>1</v>
      </c>
      <c r="AC127" s="250">
        <v>0.82700000000000007</v>
      </c>
    </row>
    <row r="128" spans="1:29" ht="31.5" customHeight="1" x14ac:dyDescent="0.25">
      <c r="A128" s="382">
        <v>111</v>
      </c>
      <c r="B128" s="248" t="s">
        <v>748</v>
      </c>
      <c r="C128" s="248" t="s">
        <v>781</v>
      </c>
      <c r="D128" s="383" t="s">
        <v>776</v>
      </c>
      <c r="E128" s="384" t="s">
        <v>811</v>
      </c>
      <c r="F128" s="248">
        <v>380</v>
      </c>
      <c r="G128" s="248">
        <v>3</v>
      </c>
      <c r="H128" s="384">
        <v>2</v>
      </c>
      <c r="I128" s="249">
        <f t="shared" si="21"/>
        <v>2.0099999999999998</v>
      </c>
      <c r="J128" s="249">
        <v>1.5</v>
      </c>
      <c r="K128" s="249">
        <v>1.5</v>
      </c>
      <c r="L128" s="248">
        <f t="shared" si="31"/>
        <v>1.7814726840855104</v>
      </c>
      <c r="M128" s="385">
        <f t="shared" si="22"/>
        <v>1.5234476318232202</v>
      </c>
      <c r="N128" s="385">
        <f t="shared" si="23"/>
        <v>2.3440430053756716</v>
      </c>
      <c r="O128" s="248">
        <v>84.2</v>
      </c>
      <c r="P128" s="248">
        <v>0.76</v>
      </c>
      <c r="Q128" s="386">
        <f t="shared" si="32"/>
        <v>3.5614048951202726</v>
      </c>
      <c r="R128" s="248">
        <v>0.6</v>
      </c>
      <c r="S128" s="248">
        <f t="shared" si="33"/>
        <v>1.0688836104513062</v>
      </c>
      <c r="T128" s="248">
        <f t="shared" si="34"/>
        <v>0.91406857909393202</v>
      </c>
      <c r="U128" s="248">
        <f t="shared" si="35"/>
        <v>1.4064258032254029</v>
      </c>
      <c r="V128" s="248">
        <f t="shared" si="20"/>
        <v>2.1368429370721631</v>
      </c>
      <c r="W128" s="248" t="s">
        <v>880</v>
      </c>
      <c r="X128" s="340" t="s">
        <v>857</v>
      </c>
      <c r="Y128" s="177">
        <f t="shared" si="27"/>
        <v>1.4064258032254028E-3</v>
      </c>
      <c r="Z128" s="250" t="s">
        <v>644</v>
      </c>
      <c r="AB128" s="387">
        <v>1</v>
      </c>
      <c r="AC128" s="250">
        <v>0.84200000000000008</v>
      </c>
    </row>
    <row r="129" spans="1:29" ht="31.5" customHeight="1" thickBot="1" x14ac:dyDescent="0.3">
      <c r="A129" s="404">
        <v>112</v>
      </c>
      <c r="B129" s="405" t="s">
        <v>748</v>
      </c>
      <c r="C129" s="405" t="s">
        <v>781</v>
      </c>
      <c r="D129" s="406" t="s">
        <v>812</v>
      </c>
      <c r="E129" s="407" t="s">
        <v>813</v>
      </c>
      <c r="F129" s="405">
        <v>380</v>
      </c>
      <c r="G129" s="405">
        <v>3</v>
      </c>
      <c r="H129" s="407">
        <v>3</v>
      </c>
      <c r="I129" s="408">
        <f t="shared" si="21"/>
        <v>0.24</v>
      </c>
      <c r="J129" s="408">
        <v>0.18</v>
      </c>
      <c r="K129" s="408">
        <v>0.18</v>
      </c>
      <c r="L129" s="405">
        <f t="shared" si="31"/>
        <v>0.21765417170495766</v>
      </c>
      <c r="M129" s="409">
        <f t="shared" si="22"/>
        <v>0.23468628639079622</v>
      </c>
      <c r="N129" s="409">
        <f t="shared" si="23"/>
        <v>0.32007966427199652</v>
      </c>
      <c r="O129" s="405">
        <v>82.7</v>
      </c>
      <c r="P129" s="405">
        <v>0.68</v>
      </c>
      <c r="Q129" s="410">
        <f t="shared" si="32"/>
        <v>0.48631073770937433</v>
      </c>
      <c r="R129" s="405">
        <v>0.6</v>
      </c>
      <c r="S129" s="405">
        <f t="shared" ref="S129" si="36">L129*R129</f>
        <v>0.13059250302297459</v>
      </c>
      <c r="T129" s="405">
        <f t="shared" ref="T129" si="37">M129*R129</f>
        <v>0.14081177183447774</v>
      </c>
      <c r="U129" s="405">
        <f t="shared" ref="U129" si="38">N129*R129</f>
        <v>0.1920477985631979</v>
      </c>
      <c r="V129" s="405">
        <f t="shared" si="20"/>
        <v>0.29178644262562459</v>
      </c>
      <c r="W129" s="405" t="s">
        <v>871</v>
      </c>
      <c r="X129" s="411" t="s">
        <v>857</v>
      </c>
      <c r="Y129" s="412">
        <f t="shared" si="27"/>
        <v>1.9204779856319789E-4</v>
      </c>
      <c r="Z129" s="413" t="s">
        <v>644</v>
      </c>
      <c r="AB129" s="387">
        <v>1</v>
      </c>
      <c r="AC129" s="250">
        <v>0.82700000000000007</v>
      </c>
    </row>
    <row r="130" spans="1:29" ht="27.75" customHeight="1" x14ac:dyDescent="0.25">
      <c r="E130" s="468" t="s">
        <v>645</v>
      </c>
      <c r="F130" s="469"/>
      <c r="G130" s="397"/>
      <c r="H130" s="398"/>
      <c r="I130" s="399">
        <f>ROUNDUP(J130/0.7457,1)</f>
        <v>1776.3999999999999</v>
      </c>
      <c r="J130" s="400">
        <f>SUM(J17:J129)</f>
        <v>1324.6500000000012</v>
      </c>
      <c r="K130" s="400">
        <f>SUM(K17:K129)</f>
        <v>1324.6000000000013</v>
      </c>
      <c r="L130" s="401">
        <f>SUM(L17:L129)</f>
        <v>1421.3707047552052</v>
      </c>
      <c r="M130" s="401">
        <f>SUM(M17:M129)</f>
        <v>824.31168189970833</v>
      </c>
      <c r="N130" s="402">
        <f>(SQRT((L130^2)+(M130^2)))</f>
        <v>1643.1020751166479</v>
      </c>
      <c r="O130" s="401" t="s">
        <v>2</v>
      </c>
      <c r="P130" s="401">
        <f>S130/U130</f>
        <v>0.86505319802136982</v>
      </c>
      <c r="Q130" s="401">
        <f>SUM(Q17:Q129)</f>
        <v>2504.1754661991627</v>
      </c>
      <c r="R130" s="401" t="s">
        <v>2</v>
      </c>
      <c r="S130" s="403">
        <f>SUM(S17:S129)</f>
        <v>852.82242285312213</v>
      </c>
      <c r="T130" s="403">
        <f>SUM(T17:T129)</f>
        <v>494.58700913982426</v>
      </c>
      <c r="U130" s="403">
        <f>(SQRT((S130^2)+(T130^2)))</f>
        <v>985.86124506998749</v>
      </c>
      <c r="V130" s="403">
        <f>U130*1000/(380*SQRT(3))</f>
        <v>1497.8611979599393</v>
      </c>
      <c r="W130" s="502">
        <v>1600</v>
      </c>
      <c r="X130" s="504" t="s">
        <v>899</v>
      </c>
      <c r="Y130" s="498">
        <f>SUM(Y17:Y129)</f>
        <v>0.98874214321984866</v>
      </c>
      <c r="Z130" s="500">
        <v>1000</v>
      </c>
    </row>
    <row r="131" spans="1:29" ht="27.75" customHeight="1" thickBot="1" x14ac:dyDescent="0.3">
      <c r="E131" s="470" t="s">
        <v>815</v>
      </c>
      <c r="F131" s="471"/>
      <c r="G131" s="390"/>
      <c r="H131" s="391">
        <v>0.1</v>
      </c>
      <c r="I131" s="334">
        <f t="shared" ref="I131:N131" si="39">I130*$H$131</f>
        <v>177.64</v>
      </c>
      <c r="J131" s="335">
        <f t="shared" si="39"/>
        <v>132.46500000000012</v>
      </c>
      <c r="K131" s="334">
        <f t="shared" si="39"/>
        <v>132.46000000000012</v>
      </c>
      <c r="L131" s="334">
        <f t="shared" si="39"/>
        <v>142.13707047552052</v>
      </c>
      <c r="M131" s="334">
        <f t="shared" si="39"/>
        <v>82.431168189970833</v>
      </c>
      <c r="N131" s="334">
        <f t="shared" si="39"/>
        <v>164.3102075116648</v>
      </c>
      <c r="O131" s="392" t="s">
        <v>2</v>
      </c>
      <c r="P131" s="392">
        <f>S131/U131</f>
        <v>0.86505319802136993</v>
      </c>
      <c r="Q131" s="334">
        <f>Q130*$H$131</f>
        <v>250.41754661991627</v>
      </c>
      <c r="R131" s="392" t="s">
        <v>2</v>
      </c>
      <c r="S131" s="334">
        <f>S130*$H$131</f>
        <v>85.282242285312222</v>
      </c>
      <c r="T131" s="334">
        <f>T130*$H$131</f>
        <v>49.458700913982426</v>
      </c>
      <c r="U131" s="335">
        <f>U130*$H$131</f>
        <v>98.586124506998758</v>
      </c>
      <c r="V131" s="335">
        <f>V130*$H$131</f>
        <v>149.78611979599393</v>
      </c>
      <c r="W131" s="503"/>
      <c r="X131" s="505"/>
      <c r="Y131" s="499"/>
      <c r="Z131" s="501"/>
    </row>
    <row r="132" spans="1:29" ht="66.599999999999994" thickBot="1" x14ac:dyDescent="0.3">
      <c r="I132" s="252" t="s">
        <v>816</v>
      </c>
      <c r="J132" s="253" t="s">
        <v>629</v>
      </c>
      <c r="K132" s="253" t="s">
        <v>630</v>
      </c>
      <c r="L132" s="393" t="s">
        <v>627</v>
      </c>
      <c r="M132" s="393" t="s">
        <v>628</v>
      </c>
      <c r="N132" s="393" t="s">
        <v>407</v>
      </c>
      <c r="O132" s="393" t="s">
        <v>21</v>
      </c>
      <c r="P132" s="393" t="s">
        <v>22</v>
      </c>
      <c r="Q132" s="393" t="s">
        <v>819</v>
      </c>
      <c r="R132" s="393" t="s">
        <v>408</v>
      </c>
      <c r="S132" s="393" t="s">
        <v>631</v>
      </c>
      <c r="T132" s="393" t="s">
        <v>817</v>
      </c>
      <c r="U132" s="393" t="s">
        <v>409</v>
      </c>
      <c r="V132" s="393" t="s">
        <v>818</v>
      </c>
      <c r="W132" s="393" t="s">
        <v>897</v>
      </c>
      <c r="X132" s="335" t="s">
        <v>898</v>
      </c>
      <c r="Y132" s="394" t="s">
        <v>410</v>
      </c>
      <c r="Z132" s="395" t="s">
        <v>814</v>
      </c>
    </row>
    <row r="133" spans="1:29" ht="27.75" customHeight="1" x14ac:dyDescent="0.25"/>
    <row r="134" spans="1:29" ht="27.75" customHeight="1" x14ac:dyDescent="0.25"/>
    <row r="135" spans="1:29" ht="27.75" customHeight="1" x14ac:dyDescent="0.25"/>
    <row r="136" spans="1:29" ht="27.75" customHeight="1" x14ac:dyDescent="0.25"/>
    <row r="137" spans="1:29" ht="27.75" customHeight="1" x14ac:dyDescent="0.25"/>
    <row r="138" spans="1:29" ht="27.75" customHeight="1" x14ac:dyDescent="0.25"/>
    <row r="139" spans="1:29" ht="27.75" customHeight="1" x14ac:dyDescent="0.25"/>
    <row r="140" spans="1:29" ht="27.75" customHeight="1" x14ac:dyDescent="0.25"/>
    <row r="141" spans="1:29" ht="27.75" customHeight="1" x14ac:dyDescent="0.25"/>
    <row r="142" spans="1:29" ht="27.75" customHeight="1" x14ac:dyDescent="0.25"/>
    <row r="143" spans="1:29" ht="27.75" customHeight="1" x14ac:dyDescent="0.25"/>
    <row r="144" spans="1:29" ht="27.75" customHeight="1" x14ac:dyDescent="0.25"/>
    <row r="145" ht="27.75" customHeight="1" x14ac:dyDescent="0.25"/>
    <row r="146" ht="27.75" customHeight="1" x14ac:dyDescent="0.25"/>
    <row r="147" ht="27.75" customHeight="1" x14ac:dyDescent="0.25"/>
    <row r="148" ht="27.75" customHeight="1" x14ac:dyDescent="0.25"/>
    <row r="149" ht="27.75" customHeight="1" x14ac:dyDescent="0.25"/>
    <row r="150" ht="27.75" customHeight="1" x14ac:dyDescent="0.25"/>
    <row r="151" ht="27.75" customHeight="1" x14ac:dyDescent="0.25"/>
    <row r="152" ht="27.75" customHeight="1" x14ac:dyDescent="0.25"/>
    <row r="153" ht="27.75" customHeight="1" x14ac:dyDescent="0.25"/>
    <row r="154" ht="27.75" customHeight="1" x14ac:dyDescent="0.25"/>
    <row r="155" ht="27.75" customHeight="1" x14ac:dyDescent="0.25"/>
    <row r="156" ht="27.75" customHeight="1" x14ac:dyDescent="0.25"/>
    <row r="157" ht="27.75" customHeight="1" x14ac:dyDescent="0.25"/>
    <row r="158" ht="27.75" customHeight="1" x14ac:dyDescent="0.25"/>
    <row r="159" ht="27.75" customHeight="1" x14ac:dyDescent="0.25"/>
    <row r="160" ht="27.75" customHeight="1" x14ac:dyDescent="0.25"/>
    <row r="161" ht="27.75" customHeight="1" x14ac:dyDescent="0.25"/>
    <row r="162" ht="27.75" customHeight="1" x14ac:dyDescent="0.25"/>
    <row r="163" ht="27.75" customHeight="1" x14ac:dyDescent="0.25"/>
    <row r="164" ht="27.75" customHeight="1" x14ac:dyDescent="0.25"/>
    <row r="165" ht="27.75" customHeight="1" x14ac:dyDescent="0.25"/>
    <row r="166" ht="27.75" customHeight="1" x14ac:dyDescent="0.25"/>
    <row r="167" ht="27.75" customHeight="1" x14ac:dyDescent="0.25"/>
    <row r="168" ht="27.75" customHeight="1" x14ac:dyDescent="0.25"/>
    <row r="169" ht="27.75" customHeight="1" x14ac:dyDescent="0.25"/>
    <row r="170" ht="27.75" customHeight="1" x14ac:dyDescent="0.25"/>
    <row r="171" ht="27.75" customHeight="1" x14ac:dyDescent="0.25"/>
    <row r="172" ht="27.75" customHeight="1" x14ac:dyDescent="0.25"/>
    <row r="173" ht="27.75" customHeight="1" x14ac:dyDescent="0.25"/>
    <row r="174" ht="27.75" customHeight="1" x14ac:dyDescent="0.25"/>
    <row r="175" ht="27.75" customHeight="1" x14ac:dyDescent="0.25"/>
    <row r="176" ht="27.75" customHeight="1" x14ac:dyDescent="0.25"/>
    <row r="177" ht="27.75" customHeight="1" x14ac:dyDescent="0.25"/>
    <row r="178" ht="27.75" customHeight="1" x14ac:dyDescent="0.25"/>
    <row r="179" ht="27.75" customHeight="1" x14ac:dyDescent="0.25"/>
    <row r="180" ht="27.75" customHeight="1" x14ac:dyDescent="0.25"/>
    <row r="181" ht="27.75" customHeight="1" x14ac:dyDescent="0.25"/>
    <row r="182" ht="27.75" customHeight="1" x14ac:dyDescent="0.25"/>
    <row r="183" ht="27.75" customHeight="1" x14ac:dyDescent="0.25"/>
    <row r="184" ht="27.75" customHeight="1" x14ac:dyDescent="0.25"/>
    <row r="185" ht="27.75" customHeight="1" x14ac:dyDescent="0.25"/>
    <row r="186" ht="27.75" customHeight="1" x14ac:dyDescent="0.25"/>
  </sheetData>
  <autoFilter ref="A16:Z132" xr:uid="{A163C351-D6A6-4B39-B477-7A1249D25090}"/>
  <mergeCells count="15">
    <mergeCell ref="E130:F130"/>
    <mergeCell ref="E131:F131"/>
    <mergeCell ref="A15:Z15"/>
    <mergeCell ref="A1:Z1"/>
    <mergeCell ref="U3:Z3"/>
    <mergeCell ref="U4:Z4"/>
    <mergeCell ref="A3:T3"/>
    <mergeCell ref="A4:T4"/>
    <mergeCell ref="A6:Z6"/>
    <mergeCell ref="A7:I7"/>
    <mergeCell ref="J7:Z7"/>
    <mergeCell ref="Y130:Y131"/>
    <mergeCell ref="Z130:Z131"/>
    <mergeCell ref="W130:W131"/>
    <mergeCell ref="X130:X131"/>
  </mergeCells>
  <phoneticPr fontId="19" type="noConversion"/>
  <conditionalFormatting sqref="B17:D17 E17:H18 M17:O129 Q17:W129 Y17:Y129 C18:C27 B18:B29 D19:H27 C28:H29 B30:H39 C40:H57 B58:H129 A130:E131 A132:G132 A133:XFD365">
    <cfRule type="expression" dxfId="19" priority="14">
      <formula>#REF!="HOLD"</formula>
    </cfRule>
  </conditionalFormatting>
  <conditionalFormatting sqref="B17:D17 M17:O17 E17:H18 P17:P128 Q17:W129 Y17:Y129 C18:C27 B18:B29 O18:O128 M18:N129 D19:H27 C28:H29 B30:H39 C40:H57 B58:H129 O129:P129 A130:E131 AA130:XFD131 A132:G132 AA132 AC132:XFD132 A133:XFD365">
    <cfRule type="expression" dxfId="18" priority="1982">
      <formula>$J17="HOLD"</formula>
    </cfRule>
  </conditionalFormatting>
  <conditionalFormatting sqref="D18">
    <cfRule type="expression" dxfId="17" priority="10">
      <formula>$E18="HOLD"</formula>
    </cfRule>
    <cfRule type="expression" dxfId="16" priority="11">
      <formula>$R18="HOLD"</formula>
    </cfRule>
  </conditionalFormatting>
  <conditionalFormatting sqref="P17:P129">
    <cfRule type="expression" dxfId="15" priority="1989">
      <formula>#REF!="HOLD"</formula>
    </cfRule>
  </conditionalFormatting>
  <conditionalFormatting sqref="AB17:AB18 AB23:AB29 AB32:AB34 AB37:AB41 AB67:AB71 AB49:AB57 AB59:AB63 AB76:AB77 AB80:AB82 AB84:AB129">
    <cfRule type="expression" dxfId="14" priority="5">
      <formula>$D17="HOLD"</formula>
    </cfRule>
  </conditionalFormatting>
  <conditionalFormatting sqref="AB17:AB39 AB48 AB64:AB75 AB78:AB79">
    <cfRule type="expression" dxfId="13" priority="4">
      <formula>$D17="HOLD"</formula>
    </cfRule>
  </conditionalFormatting>
  <conditionalFormatting sqref="AB17:AB39 AB58 AB64:AB75 AB78:AB79">
    <cfRule type="expression" dxfId="12" priority="3">
      <formula>$O17="HOLD"</formula>
    </cfRule>
  </conditionalFormatting>
  <conditionalFormatting sqref="AB42:AB47">
    <cfRule type="expression" dxfId="11" priority="1">
      <formula>$D42="HOLD"</formula>
    </cfRule>
  </conditionalFormatting>
  <conditionalFormatting sqref="AB48">
    <cfRule type="expression" dxfId="10" priority="2">
      <formula>$O48="HOLD"</formula>
    </cfRule>
  </conditionalFormatting>
  <conditionalFormatting sqref="AB58">
    <cfRule type="expression" dxfId="9" priority="6">
      <formula>$D58="HOLD"</formula>
    </cfRule>
  </conditionalFormatting>
  <conditionalFormatting sqref="AB80:AB129 AB17:AB18 AB23:AB29 AB32:AB34 AB37:AB47 AB67:AB71 AB49:AB57 AB59:AB63 AB76:AB77">
    <cfRule type="expression" dxfId="8" priority="8">
      <formula>$O17="HOLD"</formula>
    </cfRule>
  </conditionalFormatting>
  <conditionalFormatting sqref="AB83">
    <cfRule type="expression" dxfId="7" priority="7">
      <formula>$D83="HOLD"</formula>
    </cfRule>
  </conditionalFormatting>
  <conditionalFormatting sqref="AB133">
    <cfRule type="expression" dxfId="6" priority="1991">
      <formula>$J132="HOLD"</formula>
    </cfRule>
  </conditionalFormatting>
  <printOptions horizontalCentered="1"/>
  <pageMargins left="0.25" right="0.25" top="0.25" bottom="0.4" header="0.3" footer="0.3"/>
  <pageSetup paperSize="9" scale="36" fitToHeight="0" orientation="landscape" r:id="rId1"/>
  <headerFooter>
    <oddFooter>&amp;LRevisão - 01&amp;RPBC-LC-25E-0001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84900-FDFB-4B77-9A52-69B342E0BAC1}">
  <sheetPr>
    <pageSetUpPr fitToPage="1"/>
  </sheetPr>
  <dimension ref="A1:M134"/>
  <sheetViews>
    <sheetView zoomScale="85" zoomScaleNormal="85" zoomScaleSheetLayoutView="70" zoomScalePageLayoutView="70" workbookViewId="0">
      <selection activeCell="P36" sqref="P36:U36"/>
    </sheetView>
  </sheetViews>
  <sheetFormatPr defaultRowHeight="13.2" x14ac:dyDescent="0.25"/>
  <cols>
    <col min="1" max="10" width="20.6640625" customWidth="1"/>
    <col min="11" max="11" width="29.5546875" bestFit="1" customWidth="1"/>
    <col min="12" max="12" width="20.6640625" style="292" customWidth="1"/>
    <col min="13" max="13" width="20.6640625" customWidth="1"/>
  </cols>
  <sheetData>
    <row r="1" spans="1:13" s="228" customFormat="1" ht="72" customHeight="1" thickBot="1" x14ac:dyDescent="0.3">
      <c r="A1" s="514" t="s">
        <v>895</v>
      </c>
      <c r="B1" s="515"/>
      <c r="C1" s="515"/>
      <c r="D1" s="515"/>
      <c r="E1" s="515"/>
      <c r="F1" s="515"/>
      <c r="G1" s="515"/>
      <c r="H1" s="515"/>
      <c r="I1" s="515"/>
      <c r="J1" s="515"/>
      <c r="K1" s="515"/>
      <c r="L1" s="515"/>
      <c r="M1" s="516"/>
    </row>
    <row r="2" spans="1:13" s="228" customFormat="1" ht="5.0999999999999996" customHeight="1" thickBot="1" x14ac:dyDescent="0.3">
      <c r="A2" s="254"/>
      <c r="B2" s="255"/>
      <c r="C2" s="255"/>
      <c r="D2" s="255"/>
      <c r="E2" s="256"/>
      <c r="F2" s="257"/>
      <c r="G2" s="257"/>
      <c r="H2" s="257"/>
      <c r="I2" s="257"/>
      <c r="J2" s="257"/>
      <c r="K2" s="257"/>
      <c r="L2" s="285"/>
      <c r="M2" s="265"/>
    </row>
    <row r="3" spans="1:13" s="228" customFormat="1" ht="21" customHeight="1" x14ac:dyDescent="0.25">
      <c r="A3" s="517" t="s">
        <v>635</v>
      </c>
      <c r="B3" s="518"/>
      <c r="C3" s="518"/>
      <c r="D3" s="518"/>
      <c r="E3" s="518"/>
      <c r="F3" s="518"/>
      <c r="G3" s="518"/>
      <c r="H3" s="518"/>
      <c r="I3" s="518"/>
      <c r="J3" s="338"/>
      <c r="K3" s="338"/>
      <c r="L3" s="519" t="s">
        <v>846</v>
      </c>
      <c r="M3" s="520"/>
    </row>
    <row r="4" spans="1:13" s="228" customFormat="1" ht="21" customHeight="1" thickBot="1" x14ac:dyDescent="0.3">
      <c r="A4" s="521" t="s">
        <v>842</v>
      </c>
      <c r="B4" s="522"/>
      <c r="C4" s="522"/>
      <c r="D4" s="522"/>
      <c r="E4" s="522"/>
      <c r="F4" s="522"/>
      <c r="G4" s="522"/>
      <c r="H4" s="522"/>
      <c r="I4" s="522"/>
      <c r="J4" s="339"/>
      <c r="K4" s="339"/>
      <c r="L4" s="523" t="s">
        <v>845</v>
      </c>
      <c r="M4" s="524"/>
    </row>
    <row r="5" spans="1:13" s="228" customFormat="1" ht="5.0999999999999996" customHeight="1" thickBot="1" x14ac:dyDescent="0.3">
      <c r="A5" s="258"/>
      <c r="B5" s="259"/>
      <c r="C5" s="259"/>
      <c r="D5" s="259"/>
      <c r="E5" s="260"/>
      <c r="F5" s="261"/>
      <c r="G5" s="261"/>
      <c r="H5" s="261"/>
      <c r="I5" s="261"/>
      <c r="J5" s="261"/>
      <c r="K5" s="261"/>
      <c r="L5" s="286"/>
      <c r="M5" s="266"/>
    </row>
    <row r="6" spans="1:13" s="228" customFormat="1" ht="9.9" customHeight="1" thickBot="1" x14ac:dyDescent="0.3">
      <c r="A6" s="525"/>
      <c r="B6" s="526"/>
      <c r="C6" s="526"/>
      <c r="D6" s="526"/>
      <c r="E6" s="526"/>
      <c r="F6" s="526"/>
      <c r="G6" s="526"/>
      <c r="H6" s="526"/>
      <c r="I6" s="526"/>
      <c r="J6" s="526"/>
      <c r="K6" s="526"/>
      <c r="L6" s="526"/>
      <c r="M6" s="527"/>
    </row>
    <row r="7" spans="1:13" s="228" customFormat="1" ht="21" customHeight="1" thickBot="1" x14ac:dyDescent="0.3">
      <c r="A7" s="506" t="s">
        <v>636</v>
      </c>
      <c r="B7" s="507"/>
      <c r="C7" s="507"/>
      <c r="D7" s="507"/>
      <c r="E7" s="508" t="s">
        <v>637</v>
      </c>
      <c r="F7" s="509"/>
      <c r="G7" s="509"/>
      <c r="H7" s="509"/>
      <c r="I7" s="509"/>
      <c r="J7" s="509"/>
      <c r="K7" s="509"/>
      <c r="L7" s="509"/>
      <c r="M7" s="510"/>
    </row>
    <row r="8" spans="1:13" s="228" customFormat="1" ht="14.25" customHeight="1" x14ac:dyDescent="0.25">
      <c r="A8" s="231" t="s">
        <v>843</v>
      </c>
      <c r="B8" s="232"/>
      <c r="C8" s="232"/>
      <c r="D8" s="232"/>
      <c r="E8" s="273" t="s">
        <v>847</v>
      </c>
      <c r="F8" s="262"/>
      <c r="G8" s="262"/>
      <c r="H8" s="262"/>
      <c r="I8" s="262"/>
      <c r="J8" s="262"/>
      <c r="K8" s="262"/>
      <c r="L8" s="287"/>
      <c r="M8" s="267"/>
    </row>
    <row r="9" spans="1:13" s="228" customFormat="1" ht="14.25" customHeight="1" x14ac:dyDescent="0.25">
      <c r="A9" s="235" t="s">
        <v>844</v>
      </c>
      <c r="B9" s="268"/>
      <c r="C9" s="268"/>
      <c r="D9" s="268"/>
      <c r="E9" s="274" t="s">
        <v>638</v>
      </c>
      <c r="F9" s="269"/>
      <c r="G9" s="269"/>
      <c r="H9" s="270"/>
      <c r="I9" s="269"/>
      <c r="J9" s="269"/>
      <c r="K9" s="269"/>
      <c r="L9" s="288"/>
      <c r="M9" s="271"/>
    </row>
    <row r="10" spans="1:13" s="228" customFormat="1" ht="14.25" customHeight="1" x14ac:dyDescent="0.25">
      <c r="A10" s="235" t="s">
        <v>639</v>
      </c>
      <c r="B10" s="268"/>
      <c r="C10" s="268"/>
      <c r="D10" s="268"/>
      <c r="E10" s="274" t="s">
        <v>402</v>
      </c>
      <c r="F10" s="269"/>
      <c r="G10" s="269"/>
      <c r="H10" s="270"/>
      <c r="I10" s="269"/>
      <c r="J10" s="269"/>
      <c r="K10" s="269"/>
      <c r="L10" s="288"/>
      <c r="M10" s="271"/>
    </row>
    <row r="11" spans="1:13" s="228" customFormat="1" ht="14.25" customHeight="1" x14ac:dyDescent="0.25">
      <c r="A11" s="235" t="s">
        <v>900</v>
      </c>
      <c r="B11" s="268"/>
      <c r="C11" s="268"/>
      <c r="D11" s="268"/>
      <c r="E11" s="275" t="s">
        <v>403</v>
      </c>
      <c r="F11" s="269"/>
      <c r="G11" s="269"/>
      <c r="H11" s="270"/>
      <c r="I11" s="269"/>
      <c r="J11" s="269"/>
      <c r="K11" s="269"/>
      <c r="L11" s="288"/>
      <c r="M11" s="271"/>
    </row>
    <row r="12" spans="1:13" s="228" customFormat="1" ht="14.25" customHeight="1" x14ac:dyDescent="0.25">
      <c r="A12" s="414" t="s">
        <v>901</v>
      </c>
      <c r="B12" s="415"/>
      <c r="C12" s="415"/>
      <c r="D12" s="415"/>
      <c r="E12" s="275" t="s">
        <v>404</v>
      </c>
      <c r="F12" s="269"/>
      <c r="G12" s="269"/>
      <c r="H12" s="270"/>
      <c r="I12" s="269"/>
      <c r="J12" s="269"/>
      <c r="K12" s="269"/>
      <c r="L12" s="288"/>
      <c r="M12" s="271"/>
    </row>
    <row r="13" spans="1:13" s="228" customFormat="1" ht="14.25" customHeight="1" thickBot="1" x14ac:dyDescent="0.3">
      <c r="A13" s="418"/>
      <c r="B13" s="415"/>
      <c r="C13" s="415"/>
      <c r="D13" s="415"/>
      <c r="E13" s="275" t="s">
        <v>434</v>
      </c>
      <c r="F13" s="269"/>
      <c r="G13" s="269"/>
      <c r="H13" s="270"/>
      <c r="I13" s="269"/>
      <c r="J13" s="269"/>
      <c r="K13" s="269"/>
      <c r="L13" s="288"/>
      <c r="M13" s="271"/>
    </row>
    <row r="14" spans="1:13" s="228" customFormat="1" ht="14.25" customHeight="1" thickBot="1" x14ac:dyDescent="0.3">
      <c r="A14" s="240"/>
      <c r="B14" s="241"/>
      <c r="C14" s="241"/>
      <c r="D14" s="241"/>
      <c r="E14" s="276" t="s">
        <v>435</v>
      </c>
      <c r="F14" s="263"/>
      <c r="G14" s="263"/>
      <c r="H14" s="263"/>
      <c r="I14" s="263"/>
      <c r="J14" s="263"/>
      <c r="K14" s="263"/>
      <c r="L14" s="289"/>
      <c r="M14" s="272"/>
    </row>
    <row r="15" spans="1:13" s="228" customFormat="1" ht="9.9" customHeight="1" thickBot="1" x14ac:dyDescent="0.3">
      <c r="A15" s="511"/>
      <c r="B15" s="512"/>
      <c r="C15" s="512"/>
      <c r="D15" s="512"/>
      <c r="E15" s="512"/>
      <c r="F15" s="512"/>
      <c r="G15" s="512"/>
      <c r="H15" s="512"/>
      <c r="I15" s="512"/>
      <c r="J15" s="512"/>
      <c r="K15" s="512"/>
      <c r="L15" s="512"/>
      <c r="M15" s="513"/>
    </row>
    <row r="16" spans="1:13" s="264" customFormat="1" ht="65.25" customHeight="1" thickBot="1" x14ac:dyDescent="0.3">
      <c r="A16" s="278" t="s">
        <v>647</v>
      </c>
      <c r="B16" s="279" t="s">
        <v>633</v>
      </c>
      <c r="C16" s="245" t="s">
        <v>820</v>
      </c>
      <c r="D16" s="245" t="s">
        <v>22</v>
      </c>
      <c r="E16" s="245" t="s">
        <v>408</v>
      </c>
      <c r="F16" s="245" t="s">
        <v>631</v>
      </c>
      <c r="G16" s="245" t="s">
        <v>817</v>
      </c>
      <c r="H16" s="245" t="s">
        <v>409</v>
      </c>
      <c r="I16" s="245" t="s">
        <v>821</v>
      </c>
      <c r="J16" s="245" t="s">
        <v>866</v>
      </c>
      <c r="K16" s="245" t="s">
        <v>850</v>
      </c>
      <c r="L16" s="290" t="s">
        <v>410</v>
      </c>
      <c r="M16" s="278" t="s">
        <v>411</v>
      </c>
    </row>
    <row r="17" spans="1:13" ht="26.4" x14ac:dyDescent="0.25">
      <c r="A17" s="280" t="s">
        <v>648</v>
      </c>
      <c r="B17" s="246">
        <f>SUM('Lista de Carga'!$I$17:$I$29)</f>
        <v>208.33999999999997</v>
      </c>
      <c r="C17" s="246">
        <f>AVERAGE('Lista de Carga'!$O$17:$O$29)</f>
        <v>88.292307692307702</v>
      </c>
      <c r="D17" s="246">
        <f>F17/H17</f>
        <v>0.87254361347171605</v>
      </c>
      <c r="E17" s="246">
        <f>AVERAGE('Lista de Carga'!$R$17:$R$29)</f>
        <v>0.59999999999999987</v>
      </c>
      <c r="F17" s="246">
        <f>SUM('Lista de Carga'!$S$17:$S$29)</f>
        <v>100.54061453381044</v>
      </c>
      <c r="G17" s="246">
        <f>SUM('Lista de Carga'!$T$17:$T$29)</f>
        <v>55.545199958653697</v>
      </c>
      <c r="H17" s="246">
        <f>SUM('Lista de Carga'!U17:U29)</f>
        <v>115.2270361979671</v>
      </c>
      <c r="I17" s="246">
        <f>SUM('Lista de Carga'!V17:V29)</f>
        <v>175.06936938636599</v>
      </c>
      <c r="J17" s="246" t="s">
        <v>860</v>
      </c>
      <c r="K17" s="246" t="s">
        <v>851</v>
      </c>
      <c r="L17" s="283">
        <f>SUM('Lista de Carga'!Y17:Y29)</f>
        <v>0.11522703619796716</v>
      </c>
      <c r="M17" s="247" t="s">
        <v>644</v>
      </c>
    </row>
    <row r="18" spans="1:13" ht="26.4" x14ac:dyDescent="0.25">
      <c r="A18" s="281" t="s">
        <v>673</v>
      </c>
      <c r="B18" s="248">
        <f>SUM('Lista de Carga'!$I$30:$I$39)</f>
        <v>858.62</v>
      </c>
      <c r="C18" s="284">
        <f>AVERAGE('Lista de Carga'!$O$30:$O$39)</f>
        <v>89.3</v>
      </c>
      <c r="D18" s="284">
        <f>F18/H18</f>
        <v>0.86768749091278807</v>
      </c>
      <c r="E18" s="284">
        <f>AVERAGE('Lista de Carga'!$R$30:$R$39)</f>
        <v>0.59999999999999987</v>
      </c>
      <c r="F18" s="284">
        <f>SUM('Lista de Carga'!$S$30:$S$39)</f>
        <v>406.24124834206901</v>
      </c>
      <c r="G18" s="284">
        <f>SUM('Lista de Carga'!$T$30:$T$39)</f>
        <v>232.25348843547766</v>
      </c>
      <c r="H18" s="284">
        <f>SUM('Lista de Carga'!$U$30:$U$39)</f>
        <v>468.18843488767158</v>
      </c>
      <c r="I18" s="284">
        <f>SUM('Lista de Carga'!$V$30:$V$39)</f>
        <v>711.33873398386004</v>
      </c>
      <c r="J18" s="284" t="s">
        <v>861</v>
      </c>
      <c r="K18" s="284" t="s">
        <v>852</v>
      </c>
      <c r="L18" s="291">
        <f>SUM('Lista de Carga'!$Y$30:$Y$39)</f>
        <v>0.46818843488767165</v>
      </c>
      <c r="M18" s="250" t="s">
        <v>644</v>
      </c>
    </row>
    <row r="19" spans="1:13" ht="26.4" x14ac:dyDescent="0.25">
      <c r="A19" s="281" t="s">
        <v>690</v>
      </c>
      <c r="B19" s="248">
        <f>SUM('Lista de Carga'!$I$40:$I$57)</f>
        <v>57.260000000000012</v>
      </c>
      <c r="C19" s="284">
        <f>AVERAGE('Lista de Carga'!$O$40:$O$57)</f>
        <v>84.40555555555558</v>
      </c>
      <c r="D19" s="284">
        <f t="shared" ref="D19:D22" si="0">F19/H19</f>
        <v>0.82492683805993572</v>
      </c>
      <c r="E19" s="284">
        <f>AVERAGE('Lista de Carga'!$R$40:$R$57)</f>
        <v>0.59999999999999987</v>
      </c>
      <c r="F19" s="284">
        <f>SUM('Lista de Carga'!$S$40:$S$57)</f>
        <v>28.125605239930962</v>
      </c>
      <c r="G19" s="284">
        <f>SUM('Lista de Carga'!$T$40:$T$57)</f>
        <v>18.893821363652034</v>
      </c>
      <c r="H19" s="284">
        <f>SUM('Lista de Carga'!$U$40:$U$57)</f>
        <v>34.094666268922474</v>
      </c>
      <c r="I19" s="284">
        <f>SUM('Lista de Carga'!$V$40:$V$57)</f>
        <v>51.801486179718047</v>
      </c>
      <c r="J19" s="284" t="s">
        <v>862</v>
      </c>
      <c r="K19" s="284" t="s">
        <v>853</v>
      </c>
      <c r="L19" s="291">
        <f>SUM('Lista de Carga'!$Y$40:$Y$57)</f>
        <v>3.4094666268922491E-2</v>
      </c>
      <c r="M19" s="250" t="s">
        <v>644</v>
      </c>
    </row>
    <row r="20" spans="1:13" ht="26.4" x14ac:dyDescent="0.25">
      <c r="A20" s="281" t="s">
        <v>722</v>
      </c>
      <c r="B20" s="248">
        <f>SUM('Lista de Carga'!$I$58:$I$75)</f>
        <v>236.95</v>
      </c>
      <c r="C20" s="284">
        <f>AVERAGE('Lista de Carga'!$O$58:$O$75)</f>
        <v>88.50555555555556</v>
      </c>
      <c r="D20" s="284">
        <f t="shared" si="0"/>
        <v>0.87066387281928859</v>
      </c>
      <c r="E20" s="284">
        <f>AVERAGE('Lista de Carga'!$R$58:$R$75)</f>
        <v>0.59999999999999987</v>
      </c>
      <c r="F20" s="284">
        <f>SUM('Lista de Carga'!$S$58:$S$75)</f>
        <v>115.74901872736218</v>
      </c>
      <c r="G20" s="284">
        <f>SUM('Lista de Carga'!$T$58:$T$75)</f>
        <v>64.966756394692979</v>
      </c>
      <c r="H20" s="284">
        <f>SUM('Lista de Carga'!$U$58:$U$75)</f>
        <v>132.94340369556895</v>
      </c>
      <c r="I20" s="284">
        <f>SUM('Lista de Carga'!$V$58:$V$75)</f>
        <v>201.98660502795209</v>
      </c>
      <c r="J20" s="284" t="s">
        <v>863</v>
      </c>
      <c r="K20" s="284" t="s">
        <v>854</v>
      </c>
      <c r="L20" s="291">
        <f>SUM('Lista de Carga'!$Y$58:$Y$75)</f>
        <v>0.13294340369556895</v>
      </c>
      <c r="M20" s="250" t="s">
        <v>644</v>
      </c>
    </row>
    <row r="21" spans="1:13" ht="26.4" x14ac:dyDescent="0.25">
      <c r="A21" s="281" t="s">
        <v>747</v>
      </c>
      <c r="B21" s="248">
        <f>SUM('Lista de Carga'!$I$76:$I$79)</f>
        <v>123.88</v>
      </c>
      <c r="C21" s="284">
        <f>AVERAGE('Lista de Carga'!$O$76:$O$79)</f>
        <v>92</v>
      </c>
      <c r="D21" s="284">
        <f t="shared" si="0"/>
        <v>0.88255351205614296</v>
      </c>
      <c r="E21" s="284">
        <f>AVERAGE('Lista de Carga'!$R$76:$R$79)</f>
        <v>0.6</v>
      </c>
      <c r="F21" s="284">
        <f>SUM('Lista de Carga'!$S$76:$S$79)</f>
        <v>59.873803615739092</v>
      </c>
      <c r="G21" s="284">
        <f>SUM('Lista de Carga'!$T$76:$T$79)</f>
        <v>31.590570729466691</v>
      </c>
      <c r="H21" s="284">
        <f>SUM('Lista de Carga'!$U$76:$U$79)</f>
        <v>67.841556118503405</v>
      </c>
      <c r="I21" s="284">
        <f>SUM('Lista de Carga'!$V$76:$V$79)</f>
        <v>103.07458075595011</v>
      </c>
      <c r="J21" s="284" t="s">
        <v>864</v>
      </c>
      <c r="K21" s="284" t="s">
        <v>855</v>
      </c>
      <c r="L21" s="291">
        <f>SUM('Lista de Carga'!$Y$76:$Y$79)</f>
        <v>6.7841556118503399E-2</v>
      </c>
      <c r="M21" s="250" t="s">
        <v>644</v>
      </c>
    </row>
    <row r="22" spans="1:13" ht="27" thickBot="1" x14ac:dyDescent="0.3">
      <c r="A22" s="281" t="s">
        <v>748</v>
      </c>
      <c r="B22" s="248">
        <f>SUM('Lista de Carga'!$I$80:$I$129)</f>
        <v>290.86</v>
      </c>
      <c r="C22" s="284">
        <f>AVERAGE('Lista de Carga'!$O$80:$O$129)</f>
        <v>85.133999999999972</v>
      </c>
      <c r="D22" s="284">
        <f t="shared" si="0"/>
        <v>0.83481723908231154</v>
      </c>
      <c r="E22" s="284">
        <f>AVERAGE('Lista de Carga'!$R$80:$R$129)</f>
        <v>0.60000000000000053</v>
      </c>
      <c r="F22" s="284">
        <f>SUM('Lista de Carga'!$S$80:$S$129)</f>
        <v>142.29213239421054</v>
      </c>
      <c r="G22" s="284">
        <f>SUM('Lista de Carga'!$T$80:$T$129)</f>
        <v>91.337172257881505</v>
      </c>
      <c r="H22" s="284">
        <f>SUM('Lista de Carga'!$U$80:$U$129)</f>
        <v>170.44704605121456</v>
      </c>
      <c r="I22" s="284">
        <f>SUM('Lista de Carga'!$V$80:$V$129)</f>
        <v>258.96749452696127</v>
      </c>
      <c r="J22" s="284" t="s">
        <v>865</v>
      </c>
      <c r="K22" s="284" t="s">
        <v>856</v>
      </c>
      <c r="L22" s="291">
        <f>SUM('Lista de Carga'!$Y$80:$Y$129)</f>
        <v>0.17044704605121444</v>
      </c>
      <c r="M22" s="250" t="s">
        <v>644</v>
      </c>
    </row>
    <row r="23" spans="1:13" s="282" customFormat="1" ht="30.75" customHeight="1" thickBot="1" x14ac:dyDescent="0.3">
      <c r="A23" s="293" t="s">
        <v>848</v>
      </c>
      <c r="B23" s="294">
        <f>SUM(B17:B22)</f>
        <v>1775.9100000000003</v>
      </c>
      <c r="C23" s="296" t="s">
        <v>2</v>
      </c>
      <c r="D23" s="296">
        <f>F23/H23</f>
        <v>0.86505319802136971</v>
      </c>
      <c r="E23" s="296" t="s">
        <v>2</v>
      </c>
      <c r="F23" s="294">
        <f>SUM(F17:F22)</f>
        <v>852.82242285312225</v>
      </c>
      <c r="G23" s="294">
        <f>SUM(G17:G22)</f>
        <v>494.5870091398246</v>
      </c>
      <c r="H23" s="294">
        <f>(SQRT((F23^2)+(G23^2)))</f>
        <v>985.86124506998783</v>
      </c>
      <c r="I23" s="294">
        <f>H23*1000/(380*SQRT(3))</f>
        <v>1497.8611979599398</v>
      </c>
      <c r="J23" s="341">
        <v>1600</v>
      </c>
      <c r="K23" s="296" t="s">
        <v>899</v>
      </c>
      <c r="L23" s="295">
        <f>SUM(L17:L22)</f>
        <v>0.9887421432198481</v>
      </c>
      <c r="M23" s="336" t="s">
        <v>2</v>
      </c>
    </row>
    <row r="25" spans="1:13" x14ac:dyDescent="0.25">
      <c r="F25" s="277"/>
    </row>
    <row r="26" spans="1:13" x14ac:dyDescent="0.25">
      <c r="H26" s="298"/>
    </row>
    <row r="27" spans="1:13" x14ac:dyDescent="0.25">
      <c r="H27" s="297"/>
    </row>
    <row r="28" spans="1:13" x14ac:dyDescent="0.25">
      <c r="F28" s="277"/>
      <c r="H28" s="298"/>
    </row>
    <row r="31" spans="1:13" x14ac:dyDescent="0.25">
      <c r="H31" s="277"/>
    </row>
    <row r="34" spans="7:8" x14ac:dyDescent="0.25">
      <c r="H34" s="277"/>
    </row>
    <row r="40" spans="7:8" x14ac:dyDescent="0.25">
      <c r="G40" s="277"/>
    </row>
    <row r="42" spans="7:8" x14ac:dyDescent="0.25">
      <c r="H42" s="299"/>
    </row>
    <row r="134" ht="57.75" customHeight="1" x14ac:dyDescent="0.25"/>
  </sheetData>
  <mergeCells count="9">
    <mergeCell ref="A7:D7"/>
    <mergeCell ref="E7:M7"/>
    <mergeCell ref="A15:M15"/>
    <mergeCell ref="A1:M1"/>
    <mergeCell ref="A3:I3"/>
    <mergeCell ref="L3:M3"/>
    <mergeCell ref="A4:I4"/>
    <mergeCell ref="L4:M4"/>
    <mergeCell ref="A6:M6"/>
  </mergeCells>
  <phoneticPr fontId="53" type="noConversion"/>
  <conditionalFormatting sqref="A18:B23">
    <cfRule type="expression" dxfId="5" priority="15">
      <formula>#REF!="HOLD"</formula>
    </cfRule>
    <cfRule type="expression" dxfId="4" priority="16">
      <formula>$M18="HOLD"</formula>
    </cfRule>
  </conditionalFormatting>
  <conditionalFormatting sqref="A17:L17">
    <cfRule type="expression" dxfId="3" priority="23">
      <formula>#REF!="HOLD"</formula>
    </cfRule>
    <cfRule type="expression" dxfId="2" priority="24">
      <formula>$M17="HOLD"</formula>
    </cfRule>
  </conditionalFormatting>
  <conditionalFormatting sqref="C23:L23">
    <cfRule type="expression" dxfId="1" priority="1">
      <formula>#REF!="HOLD"</formula>
    </cfRule>
    <cfRule type="expression" dxfId="0" priority="2">
      <formula>$M23="HOLD"</formula>
    </cfRule>
  </conditionalFormatting>
  <printOptions horizontalCentered="1"/>
  <pageMargins left="0.25" right="0.25" top="0.25" bottom="0.4" header="0.3" footer="0.3"/>
  <pageSetup paperSize="9" scale="52" fitToHeight="0" orientation="landscape" r:id="rId1"/>
  <headerFooter>
    <oddFooter>&amp;LRevisão - 01&amp;RPBC-LC-25E-0001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4C0E1-F63A-48A5-9F97-823677BF1154}">
  <sheetPr codeName="Sheet5">
    <pageSetUpPr fitToPage="1"/>
  </sheetPr>
  <dimension ref="A1:AOK87"/>
  <sheetViews>
    <sheetView view="pageBreakPreview" topLeftCell="A2" zoomScaleNormal="100" zoomScaleSheetLayoutView="100" zoomScalePageLayoutView="64" workbookViewId="0">
      <selection activeCell="K2" sqref="K2"/>
    </sheetView>
  </sheetViews>
  <sheetFormatPr defaultColWidth="10.33203125" defaultRowHeight="11.4" x14ac:dyDescent="0.2"/>
  <cols>
    <col min="1" max="1" width="5" style="3" customWidth="1"/>
    <col min="2" max="3" width="7.33203125" style="3" customWidth="1"/>
    <col min="4" max="4" width="6" style="3" customWidth="1"/>
    <col min="5" max="5" width="5.5546875" style="3" bestFit="1" customWidth="1"/>
    <col min="6" max="6" width="10.88671875" style="3" bestFit="1" customWidth="1"/>
    <col min="7" max="7" width="7.88671875" style="3" bestFit="1" customWidth="1"/>
    <col min="8" max="8" width="8.5546875" style="3" customWidth="1"/>
    <col min="9" max="9" width="5.5546875" style="3" bestFit="1" customWidth="1"/>
    <col min="10" max="10" width="7.5546875" style="3" customWidth="1"/>
    <col min="11" max="11" width="5.5546875" style="3" bestFit="1" customWidth="1"/>
    <col min="12" max="13" width="6.44140625" style="3" customWidth="1"/>
    <col min="14" max="14" width="22.5546875" style="3" customWidth="1"/>
    <col min="15" max="15" width="27" style="3" bestFit="1" customWidth="1"/>
    <col min="16" max="16" width="38.109375" style="3" bestFit="1" customWidth="1"/>
    <col min="17" max="17" width="12.109375" style="3" hidden="1" customWidth="1"/>
    <col min="18" max="18" width="10.5546875" style="3" hidden="1" customWidth="1"/>
    <col min="19" max="19" width="12.109375" style="3" hidden="1" customWidth="1"/>
    <col min="20" max="20" width="6.5546875" style="3" hidden="1" customWidth="1"/>
    <col min="21" max="21" width="12.109375" style="3" hidden="1" customWidth="1"/>
    <col min="22" max="22" width="6.5546875" style="3" hidden="1" customWidth="1"/>
    <col min="23" max="24" width="12.109375" style="3" hidden="1" customWidth="1"/>
    <col min="25" max="25" width="6.5546875" style="3" hidden="1" customWidth="1"/>
    <col min="26" max="26" width="10.33203125" style="3" hidden="1" customWidth="1"/>
    <col min="27" max="27" width="10.33203125" style="3" customWidth="1"/>
    <col min="28" max="28" width="15.109375" style="3" customWidth="1"/>
    <col min="29" max="29" width="23.6640625" style="3" customWidth="1"/>
    <col min="30" max="30" width="12.5546875" style="3" bestFit="1" customWidth="1"/>
    <col min="31" max="36" width="7.5546875" style="3" customWidth="1"/>
    <col min="37" max="38" width="10.109375" style="3" customWidth="1"/>
    <col min="39" max="39" width="23.109375" style="3" customWidth="1"/>
    <col min="40" max="40" width="20" style="16" customWidth="1"/>
    <col min="41" max="41" width="33.6640625" style="3" customWidth="1"/>
    <col min="42" max="42" width="23.6640625" style="3" hidden="1" customWidth="1"/>
    <col min="43" max="259" width="10.109375" style="3" hidden="1" customWidth="1"/>
    <col min="260" max="16384" width="10.33203125" style="3"/>
  </cols>
  <sheetData>
    <row r="1" spans="1:1077" ht="12.75" customHeight="1" x14ac:dyDescent="0.2">
      <c r="A1" s="530" t="s">
        <v>57</v>
      </c>
      <c r="B1" s="178"/>
      <c r="C1" s="178"/>
      <c r="D1" s="532" t="s">
        <v>317</v>
      </c>
      <c r="E1" s="533"/>
      <c r="F1" s="533"/>
      <c r="G1" s="533"/>
      <c r="H1" s="533"/>
      <c r="I1" s="533"/>
      <c r="J1" s="533"/>
      <c r="K1" s="533"/>
      <c r="L1" s="534"/>
      <c r="M1" s="217"/>
      <c r="N1" s="179"/>
      <c r="O1" s="179"/>
      <c r="P1" s="180"/>
      <c r="Q1" s="535" t="s">
        <v>440</v>
      </c>
      <c r="R1" s="537" t="s">
        <v>441</v>
      </c>
      <c r="S1" s="535" t="s">
        <v>442</v>
      </c>
      <c r="T1" s="537" t="s">
        <v>443</v>
      </c>
      <c r="U1" s="535" t="s">
        <v>444</v>
      </c>
      <c r="V1" s="537" t="s">
        <v>445</v>
      </c>
      <c r="W1" s="181"/>
      <c r="X1" s="539" t="s">
        <v>446</v>
      </c>
      <c r="Y1" s="539" t="s">
        <v>447</v>
      </c>
      <c r="Z1" s="528" t="s">
        <v>448</v>
      </c>
      <c r="AA1" s="528" t="s">
        <v>5</v>
      </c>
      <c r="AB1" s="180"/>
      <c r="AC1" s="180"/>
      <c r="AD1" s="544" t="s">
        <v>449</v>
      </c>
      <c r="AE1" s="544"/>
      <c r="AF1" s="544"/>
      <c r="AG1" s="544"/>
      <c r="AH1" s="544"/>
      <c r="AI1" s="544"/>
      <c r="AJ1" s="544"/>
      <c r="AK1" s="544" t="s">
        <v>450</v>
      </c>
      <c r="AL1" s="544"/>
      <c r="AM1" s="544" t="s">
        <v>451</v>
      </c>
      <c r="AN1" s="544"/>
      <c r="AO1" s="182"/>
      <c r="AP1" s="541" t="s">
        <v>452</v>
      </c>
      <c r="AQ1" s="542"/>
      <c r="AR1" s="542"/>
      <c r="AS1" s="543"/>
      <c r="AT1" s="541" t="s">
        <v>453</v>
      </c>
      <c r="AU1" s="542"/>
      <c r="AV1" s="542"/>
      <c r="AW1" s="543"/>
      <c r="AX1" s="541" t="s">
        <v>454</v>
      </c>
      <c r="AY1" s="542"/>
      <c r="AZ1" s="542"/>
      <c r="BA1" s="543"/>
      <c r="BB1" s="545" t="s">
        <v>455</v>
      </c>
      <c r="BC1" s="545"/>
      <c r="BD1" s="545"/>
      <c r="BE1" s="545" t="s">
        <v>456</v>
      </c>
      <c r="BF1" s="545"/>
      <c r="BG1" s="545"/>
      <c r="BH1" s="545" t="s">
        <v>457</v>
      </c>
      <c r="BI1" s="545"/>
      <c r="BJ1" s="545"/>
      <c r="BK1" s="545" t="s">
        <v>431</v>
      </c>
      <c r="BL1" s="545"/>
      <c r="BM1" s="545"/>
      <c r="BN1" s="541" t="s">
        <v>458</v>
      </c>
      <c r="BO1" s="542"/>
      <c r="BP1" s="542"/>
      <c r="BQ1" s="543"/>
      <c r="BR1" s="541" t="s">
        <v>459</v>
      </c>
      <c r="BS1" s="542"/>
      <c r="BT1" s="542"/>
      <c r="BU1" s="543"/>
      <c r="BV1" s="541" t="s">
        <v>460</v>
      </c>
      <c r="BW1" s="542"/>
      <c r="BX1" s="542"/>
      <c r="BY1" s="543"/>
      <c r="BZ1" s="541" t="s">
        <v>461</v>
      </c>
      <c r="CA1" s="542"/>
      <c r="CB1" s="542"/>
      <c r="CC1" s="543"/>
      <c r="CD1" s="541" t="s">
        <v>462</v>
      </c>
      <c r="CE1" s="542"/>
      <c r="CF1" s="542"/>
      <c r="CG1" s="543"/>
      <c r="CH1" s="545" t="s">
        <v>463</v>
      </c>
      <c r="CI1" s="545"/>
      <c r="CJ1" s="545"/>
      <c r="CK1" s="545" t="s">
        <v>464</v>
      </c>
      <c r="CL1" s="545"/>
      <c r="CM1" s="545"/>
      <c r="CN1" s="546" t="s">
        <v>465</v>
      </c>
      <c r="CO1" s="546"/>
      <c r="CP1" s="546"/>
      <c r="CQ1" s="546"/>
      <c r="CR1" s="546"/>
      <c r="CS1" s="546"/>
      <c r="CT1" s="546"/>
      <c r="CU1" s="546"/>
      <c r="CV1" s="546"/>
      <c r="CW1" s="546"/>
      <c r="CX1" s="546"/>
      <c r="CY1" s="546"/>
      <c r="CZ1" s="546"/>
      <c r="DA1" s="546"/>
      <c r="DB1" s="546"/>
      <c r="DC1" s="546"/>
      <c r="DD1" s="546"/>
      <c r="DE1" s="546"/>
      <c r="DF1" s="546"/>
      <c r="DG1" s="546"/>
      <c r="DH1" s="546"/>
      <c r="DI1" s="546"/>
      <c r="DJ1" s="546"/>
      <c r="DK1" s="546"/>
      <c r="DL1" s="546" t="s">
        <v>466</v>
      </c>
      <c r="DM1" s="546"/>
      <c r="DN1" s="546"/>
      <c r="DO1" s="546"/>
      <c r="DP1" s="546"/>
      <c r="DQ1" s="546"/>
      <c r="DR1" s="546"/>
      <c r="DS1" s="546"/>
      <c r="DT1" s="546"/>
      <c r="DU1" s="546"/>
      <c r="DV1" s="546"/>
      <c r="DW1" s="546"/>
      <c r="DX1" s="546"/>
      <c r="DY1" s="546"/>
      <c r="DZ1" s="546"/>
      <c r="EA1" s="546"/>
      <c r="EB1" s="546"/>
      <c r="EC1" s="546"/>
      <c r="ED1" s="546"/>
      <c r="EE1" s="546"/>
      <c r="EF1" s="546"/>
      <c r="EG1" s="546"/>
      <c r="EH1" s="546"/>
      <c r="EI1" s="546"/>
      <c r="EJ1" s="546" t="s">
        <v>467</v>
      </c>
      <c r="EK1" s="546"/>
      <c r="EL1" s="546"/>
      <c r="EM1" s="546"/>
      <c r="EN1" s="546"/>
      <c r="EO1" s="546"/>
      <c r="EP1" s="546"/>
      <c r="EQ1" s="546"/>
      <c r="ER1" s="546"/>
      <c r="ES1" s="546"/>
      <c r="ET1" s="546"/>
      <c r="EU1" s="546"/>
      <c r="EV1" s="546"/>
      <c r="EW1" s="546"/>
      <c r="EX1" s="546"/>
      <c r="EY1" s="546"/>
      <c r="EZ1" s="546"/>
      <c r="FA1" s="546"/>
      <c r="FB1" s="546"/>
      <c r="FC1" s="546"/>
      <c r="FD1" s="546"/>
      <c r="FE1" s="546"/>
      <c r="FF1" s="546"/>
      <c r="FG1" s="546"/>
      <c r="FH1" s="546" t="s">
        <v>468</v>
      </c>
      <c r="FI1" s="546"/>
      <c r="FJ1" s="546"/>
      <c r="FK1" s="546"/>
      <c r="FL1" s="546"/>
      <c r="FM1" s="546"/>
      <c r="FN1" s="546"/>
      <c r="FO1" s="546"/>
      <c r="FP1" s="546"/>
      <c r="FQ1" s="546"/>
      <c r="FR1" s="546"/>
      <c r="FS1" s="546"/>
      <c r="FT1" s="546"/>
      <c r="FU1" s="546"/>
      <c r="FV1" s="546"/>
      <c r="FW1" s="546"/>
      <c r="FX1" s="546"/>
      <c r="FY1" s="546"/>
      <c r="FZ1" s="546"/>
      <c r="GA1" s="546"/>
      <c r="GB1" s="546"/>
      <c r="GC1" s="546"/>
      <c r="GD1" s="546"/>
      <c r="GE1" s="546"/>
      <c r="GF1" s="546" t="s">
        <v>469</v>
      </c>
      <c r="GG1" s="546"/>
      <c r="GH1" s="546"/>
      <c r="GI1" s="546"/>
      <c r="GJ1" s="546"/>
      <c r="GK1" s="546"/>
      <c r="GL1" s="546"/>
      <c r="GM1" s="546"/>
      <c r="GN1" s="546"/>
      <c r="GO1" s="546"/>
      <c r="GP1" s="546"/>
      <c r="GQ1" s="546"/>
      <c r="GR1" s="546"/>
      <c r="GS1" s="546"/>
      <c r="GT1" s="546"/>
      <c r="GU1" s="546"/>
      <c r="GV1" s="546"/>
      <c r="GW1" s="546"/>
      <c r="GX1" s="546"/>
      <c r="GY1" s="546"/>
      <c r="GZ1" s="546"/>
      <c r="HA1" s="546"/>
      <c r="HB1" s="546"/>
      <c r="HC1" s="546"/>
      <c r="HD1" s="546" t="s">
        <v>470</v>
      </c>
      <c r="HE1" s="546"/>
      <c r="HF1" s="546"/>
      <c r="HG1" s="546"/>
      <c r="HH1" s="546"/>
      <c r="HI1" s="546"/>
      <c r="HJ1" s="546"/>
      <c r="HK1" s="546"/>
      <c r="HL1" s="546"/>
      <c r="HM1" s="546"/>
      <c r="HN1" s="546"/>
      <c r="HO1" s="546"/>
      <c r="HP1" s="546"/>
      <c r="HQ1" s="546"/>
      <c r="HR1" s="546"/>
      <c r="HS1" s="546"/>
      <c r="HT1" s="546"/>
      <c r="HU1" s="546"/>
      <c r="HV1" s="546"/>
      <c r="HW1" s="546"/>
      <c r="HX1" s="546"/>
      <c r="HY1" s="546"/>
      <c r="HZ1" s="546"/>
      <c r="IA1" s="547"/>
      <c r="IB1" s="546" t="s">
        <v>471</v>
      </c>
      <c r="IC1" s="546"/>
      <c r="ID1" s="546"/>
      <c r="IE1" s="546"/>
      <c r="IF1" s="546"/>
      <c r="IG1" s="546"/>
      <c r="IH1" s="546"/>
      <c r="II1" s="546"/>
      <c r="IJ1" s="546"/>
      <c r="IK1" s="546"/>
      <c r="IL1" s="546"/>
      <c r="IM1" s="546"/>
      <c r="IN1" s="546"/>
      <c r="IO1" s="546"/>
      <c r="IP1" s="546"/>
      <c r="IQ1" s="546"/>
      <c r="IR1" s="546"/>
      <c r="IS1" s="546"/>
      <c r="IT1" s="546"/>
      <c r="IU1" s="546"/>
      <c r="IV1" s="546"/>
      <c r="IW1" s="546"/>
      <c r="IX1" s="546"/>
      <c r="IY1" s="546"/>
    </row>
    <row r="2" spans="1:1077" ht="78.599999999999994" customHeight="1" x14ac:dyDescent="0.2">
      <c r="A2" s="531"/>
      <c r="B2" s="185" t="s">
        <v>472</v>
      </c>
      <c r="C2" s="185"/>
      <c r="D2" s="186" t="s">
        <v>418</v>
      </c>
      <c r="E2" s="187" t="s">
        <v>419</v>
      </c>
      <c r="F2" s="188" t="s">
        <v>420</v>
      </c>
      <c r="G2" s="188" t="s">
        <v>421</v>
      </c>
      <c r="H2" s="188" t="s">
        <v>422</v>
      </c>
      <c r="I2" s="188" t="s">
        <v>423</v>
      </c>
      <c r="J2" s="189" t="s">
        <v>424</v>
      </c>
      <c r="K2" s="188" t="s">
        <v>473</v>
      </c>
      <c r="L2" s="188" t="s">
        <v>320</v>
      </c>
      <c r="M2" s="218"/>
      <c r="N2" s="190" t="s">
        <v>474</v>
      </c>
      <c r="O2" s="190" t="s">
        <v>58</v>
      </c>
      <c r="P2" s="190" t="s">
        <v>412</v>
      </c>
      <c r="Q2" s="536"/>
      <c r="R2" s="538"/>
      <c r="S2" s="536"/>
      <c r="T2" s="538"/>
      <c r="U2" s="536"/>
      <c r="V2" s="538"/>
      <c r="W2" s="191" t="s">
        <v>475</v>
      </c>
      <c r="X2" s="540"/>
      <c r="Y2" s="540"/>
      <c r="Z2" s="529"/>
      <c r="AA2" s="529"/>
      <c r="AB2" s="190" t="s">
        <v>476</v>
      </c>
      <c r="AC2" s="190" t="s">
        <v>405</v>
      </c>
      <c r="AD2" s="187" t="s">
        <v>477</v>
      </c>
      <c r="AE2" s="187" t="s">
        <v>59</v>
      </c>
      <c r="AF2" s="187" t="s">
        <v>478</v>
      </c>
      <c r="AG2" s="187" t="s">
        <v>479</v>
      </c>
      <c r="AH2" s="187" t="s">
        <v>480</v>
      </c>
      <c r="AI2" s="187" t="s">
        <v>0</v>
      </c>
      <c r="AJ2" s="187" t="s">
        <v>6</v>
      </c>
      <c r="AK2" s="187" t="s">
        <v>481</v>
      </c>
      <c r="AL2" s="187" t="s">
        <v>482</v>
      </c>
      <c r="AM2" s="192" t="s">
        <v>483</v>
      </c>
      <c r="AN2" s="192" t="s">
        <v>484</v>
      </c>
      <c r="AO2" s="193" t="s">
        <v>485</v>
      </c>
      <c r="AP2" s="194" t="s">
        <v>432</v>
      </c>
      <c r="AQ2" s="194" t="s">
        <v>486</v>
      </c>
      <c r="AR2" s="194" t="s">
        <v>487</v>
      </c>
      <c r="AS2" s="194" t="s">
        <v>488</v>
      </c>
      <c r="AT2" s="194" t="s">
        <v>489</v>
      </c>
      <c r="AU2" s="194" t="s">
        <v>490</v>
      </c>
      <c r="AV2" s="194" t="s">
        <v>491</v>
      </c>
      <c r="AW2" s="194" t="s">
        <v>492</v>
      </c>
      <c r="AX2" s="194" t="s">
        <v>493</v>
      </c>
      <c r="AY2" s="194" t="s">
        <v>494</v>
      </c>
      <c r="AZ2" s="194" t="s">
        <v>495</v>
      </c>
      <c r="BA2" s="194" t="s">
        <v>496</v>
      </c>
      <c r="BB2" s="194" t="s">
        <v>497</v>
      </c>
      <c r="BC2" s="194" t="s">
        <v>498</v>
      </c>
      <c r="BD2" s="194" t="s">
        <v>499</v>
      </c>
      <c r="BE2" s="194" t="s">
        <v>500</v>
      </c>
      <c r="BF2" s="194" t="s">
        <v>501</v>
      </c>
      <c r="BG2" s="194" t="s">
        <v>502</v>
      </c>
      <c r="BH2" s="194" t="s">
        <v>503</v>
      </c>
      <c r="BI2" s="194" t="s">
        <v>504</v>
      </c>
      <c r="BJ2" s="194" t="s">
        <v>505</v>
      </c>
      <c r="BK2" s="194" t="s">
        <v>506</v>
      </c>
      <c r="BL2" s="194" t="s">
        <v>507</v>
      </c>
      <c r="BM2" s="194" t="s">
        <v>508</v>
      </c>
      <c r="BN2" s="194" t="s">
        <v>509</v>
      </c>
      <c r="BO2" s="194" t="s">
        <v>510</v>
      </c>
      <c r="BP2" s="194" t="s">
        <v>511</v>
      </c>
      <c r="BQ2" s="194" t="s">
        <v>512</v>
      </c>
      <c r="BR2" s="194" t="s">
        <v>513</v>
      </c>
      <c r="BS2" s="194" t="s">
        <v>514</v>
      </c>
      <c r="BT2" s="194" t="s">
        <v>515</v>
      </c>
      <c r="BU2" s="194" t="s">
        <v>516</v>
      </c>
      <c r="BV2" s="194" t="s">
        <v>517</v>
      </c>
      <c r="BW2" s="194" t="s">
        <v>518</v>
      </c>
      <c r="BX2" s="194" t="s">
        <v>519</v>
      </c>
      <c r="BY2" s="194" t="s">
        <v>520</v>
      </c>
      <c r="BZ2" s="194" t="s">
        <v>521</v>
      </c>
      <c r="CA2" s="194" t="s">
        <v>522</v>
      </c>
      <c r="CB2" s="194" t="s">
        <v>523</v>
      </c>
      <c r="CC2" s="194" t="s">
        <v>524</v>
      </c>
      <c r="CD2" s="194" t="s">
        <v>525</v>
      </c>
      <c r="CE2" s="194" t="s">
        <v>526</v>
      </c>
      <c r="CF2" s="194" t="s">
        <v>527</v>
      </c>
      <c r="CG2" s="194" t="s">
        <v>528</v>
      </c>
      <c r="CH2" s="194" t="s">
        <v>529</v>
      </c>
      <c r="CI2" s="194" t="s">
        <v>530</v>
      </c>
      <c r="CJ2" s="194" t="s">
        <v>531</v>
      </c>
      <c r="CK2" s="194" t="s">
        <v>532</v>
      </c>
      <c r="CL2" s="194" t="s">
        <v>533</v>
      </c>
      <c r="CM2" s="194" t="s">
        <v>534</v>
      </c>
      <c r="CN2" s="183">
        <v>0</v>
      </c>
      <c r="CO2" s="183">
        <v>1</v>
      </c>
      <c r="CP2" s="183">
        <v>2</v>
      </c>
      <c r="CQ2" s="183">
        <v>3</v>
      </c>
      <c r="CR2" s="183">
        <v>4</v>
      </c>
      <c r="CS2" s="183">
        <v>5</v>
      </c>
      <c r="CT2" s="183">
        <v>6</v>
      </c>
      <c r="CU2" s="183">
        <v>7</v>
      </c>
      <c r="CV2" s="183">
        <v>8</v>
      </c>
      <c r="CW2" s="183">
        <v>9</v>
      </c>
      <c r="CX2" s="183">
        <v>10</v>
      </c>
      <c r="CY2" s="183">
        <v>11</v>
      </c>
      <c r="CZ2" s="183">
        <v>12</v>
      </c>
      <c r="DA2" s="183">
        <v>13</v>
      </c>
      <c r="DB2" s="183">
        <v>14</v>
      </c>
      <c r="DC2" s="183">
        <v>15</v>
      </c>
      <c r="DD2" s="183">
        <v>16</v>
      </c>
      <c r="DE2" s="183">
        <v>17</v>
      </c>
      <c r="DF2" s="183">
        <v>18</v>
      </c>
      <c r="DG2" s="183">
        <v>19</v>
      </c>
      <c r="DH2" s="183">
        <v>20</v>
      </c>
      <c r="DI2" s="183">
        <v>21</v>
      </c>
      <c r="DJ2" s="183">
        <v>22</v>
      </c>
      <c r="DK2" s="183">
        <v>23</v>
      </c>
      <c r="DL2" s="183">
        <v>0</v>
      </c>
      <c r="DM2" s="183">
        <v>1</v>
      </c>
      <c r="DN2" s="183">
        <v>2</v>
      </c>
      <c r="DO2" s="183">
        <v>3</v>
      </c>
      <c r="DP2" s="183">
        <v>4</v>
      </c>
      <c r="DQ2" s="183">
        <v>5</v>
      </c>
      <c r="DR2" s="183">
        <v>6</v>
      </c>
      <c r="DS2" s="183">
        <v>7</v>
      </c>
      <c r="DT2" s="183">
        <v>8</v>
      </c>
      <c r="DU2" s="183">
        <v>9</v>
      </c>
      <c r="DV2" s="183">
        <v>10</v>
      </c>
      <c r="DW2" s="183">
        <v>11</v>
      </c>
      <c r="DX2" s="183">
        <v>12</v>
      </c>
      <c r="DY2" s="183">
        <v>13</v>
      </c>
      <c r="DZ2" s="183">
        <v>14</v>
      </c>
      <c r="EA2" s="183">
        <v>15</v>
      </c>
      <c r="EB2" s="183">
        <v>16</v>
      </c>
      <c r="EC2" s="183">
        <v>17</v>
      </c>
      <c r="ED2" s="183">
        <v>18</v>
      </c>
      <c r="EE2" s="183">
        <v>19</v>
      </c>
      <c r="EF2" s="183">
        <v>20</v>
      </c>
      <c r="EG2" s="183">
        <v>21</v>
      </c>
      <c r="EH2" s="183">
        <v>22</v>
      </c>
      <c r="EI2" s="183">
        <v>23</v>
      </c>
      <c r="EJ2" s="183">
        <v>0</v>
      </c>
      <c r="EK2" s="183">
        <v>1</v>
      </c>
      <c r="EL2" s="183">
        <v>2</v>
      </c>
      <c r="EM2" s="183">
        <v>3</v>
      </c>
      <c r="EN2" s="183">
        <v>4</v>
      </c>
      <c r="EO2" s="183">
        <v>5</v>
      </c>
      <c r="EP2" s="183">
        <v>6</v>
      </c>
      <c r="EQ2" s="183">
        <v>7</v>
      </c>
      <c r="ER2" s="183">
        <v>8</v>
      </c>
      <c r="ES2" s="183">
        <v>9</v>
      </c>
      <c r="ET2" s="183">
        <v>10</v>
      </c>
      <c r="EU2" s="183">
        <v>11</v>
      </c>
      <c r="EV2" s="183">
        <v>12</v>
      </c>
      <c r="EW2" s="183">
        <v>13</v>
      </c>
      <c r="EX2" s="183">
        <v>14</v>
      </c>
      <c r="EY2" s="183">
        <v>15</v>
      </c>
      <c r="EZ2" s="183">
        <v>16</v>
      </c>
      <c r="FA2" s="183">
        <v>17</v>
      </c>
      <c r="FB2" s="183">
        <v>18</v>
      </c>
      <c r="FC2" s="183">
        <v>19</v>
      </c>
      <c r="FD2" s="183">
        <v>20</v>
      </c>
      <c r="FE2" s="183">
        <v>21</v>
      </c>
      <c r="FF2" s="183">
        <v>22</v>
      </c>
      <c r="FG2" s="183">
        <v>23</v>
      </c>
      <c r="FH2" s="183">
        <v>0</v>
      </c>
      <c r="FI2" s="183">
        <v>1</v>
      </c>
      <c r="FJ2" s="183">
        <v>2</v>
      </c>
      <c r="FK2" s="183">
        <v>3</v>
      </c>
      <c r="FL2" s="183">
        <v>4</v>
      </c>
      <c r="FM2" s="183">
        <v>5</v>
      </c>
      <c r="FN2" s="183">
        <v>6</v>
      </c>
      <c r="FO2" s="183">
        <v>7</v>
      </c>
      <c r="FP2" s="183">
        <v>8</v>
      </c>
      <c r="FQ2" s="183">
        <v>9</v>
      </c>
      <c r="FR2" s="183">
        <v>10</v>
      </c>
      <c r="FS2" s="183">
        <v>11</v>
      </c>
      <c r="FT2" s="183">
        <v>12</v>
      </c>
      <c r="FU2" s="183">
        <v>13</v>
      </c>
      <c r="FV2" s="183">
        <v>14</v>
      </c>
      <c r="FW2" s="183">
        <v>15</v>
      </c>
      <c r="FX2" s="183">
        <v>16</v>
      </c>
      <c r="FY2" s="183">
        <v>17</v>
      </c>
      <c r="FZ2" s="183">
        <v>18</v>
      </c>
      <c r="GA2" s="183">
        <v>19</v>
      </c>
      <c r="GB2" s="183">
        <v>20</v>
      </c>
      <c r="GC2" s="183">
        <v>21</v>
      </c>
      <c r="GD2" s="183">
        <v>22</v>
      </c>
      <c r="GE2" s="183">
        <v>23</v>
      </c>
      <c r="GF2" s="183">
        <v>0</v>
      </c>
      <c r="GG2" s="183">
        <v>1</v>
      </c>
      <c r="GH2" s="183">
        <v>2</v>
      </c>
      <c r="GI2" s="183">
        <v>3</v>
      </c>
      <c r="GJ2" s="183">
        <v>4</v>
      </c>
      <c r="GK2" s="183">
        <v>5</v>
      </c>
      <c r="GL2" s="183">
        <v>6</v>
      </c>
      <c r="GM2" s="183">
        <v>7</v>
      </c>
      <c r="GN2" s="183">
        <v>8</v>
      </c>
      <c r="GO2" s="183">
        <v>9</v>
      </c>
      <c r="GP2" s="183">
        <v>10</v>
      </c>
      <c r="GQ2" s="183">
        <v>11</v>
      </c>
      <c r="GR2" s="183">
        <v>12</v>
      </c>
      <c r="GS2" s="183">
        <v>13</v>
      </c>
      <c r="GT2" s="183">
        <v>14</v>
      </c>
      <c r="GU2" s="183">
        <v>15</v>
      </c>
      <c r="GV2" s="183">
        <v>16</v>
      </c>
      <c r="GW2" s="183">
        <v>17</v>
      </c>
      <c r="GX2" s="183">
        <v>18</v>
      </c>
      <c r="GY2" s="183">
        <v>19</v>
      </c>
      <c r="GZ2" s="183">
        <v>20</v>
      </c>
      <c r="HA2" s="183">
        <v>21</v>
      </c>
      <c r="HB2" s="183">
        <v>22</v>
      </c>
      <c r="HC2" s="183">
        <v>23</v>
      </c>
      <c r="HD2" s="183">
        <v>0</v>
      </c>
      <c r="HE2" s="183">
        <v>1</v>
      </c>
      <c r="HF2" s="183">
        <v>2</v>
      </c>
      <c r="HG2" s="183">
        <v>3</v>
      </c>
      <c r="HH2" s="183">
        <v>4</v>
      </c>
      <c r="HI2" s="183">
        <v>5</v>
      </c>
      <c r="HJ2" s="183">
        <v>6</v>
      </c>
      <c r="HK2" s="183">
        <v>7</v>
      </c>
      <c r="HL2" s="183">
        <v>8</v>
      </c>
      <c r="HM2" s="183">
        <v>9</v>
      </c>
      <c r="HN2" s="183">
        <v>10</v>
      </c>
      <c r="HO2" s="183">
        <v>11</v>
      </c>
      <c r="HP2" s="183">
        <v>12</v>
      </c>
      <c r="HQ2" s="183">
        <v>13</v>
      </c>
      <c r="HR2" s="183">
        <v>14</v>
      </c>
      <c r="HS2" s="183">
        <v>15</v>
      </c>
      <c r="HT2" s="183">
        <v>16</v>
      </c>
      <c r="HU2" s="183">
        <v>17</v>
      </c>
      <c r="HV2" s="183">
        <v>18</v>
      </c>
      <c r="HW2" s="183">
        <v>19</v>
      </c>
      <c r="HX2" s="183">
        <v>20</v>
      </c>
      <c r="HY2" s="183">
        <v>21</v>
      </c>
      <c r="HZ2" s="183">
        <v>22</v>
      </c>
      <c r="IA2" s="184">
        <v>23</v>
      </c>
      <c r="IB2" s="183">
        <v>0</v>
      </c>
      <c r="IC2" s="183">
        <v>1</v>
      </c>
      <c r="ID2" s="183">
        <v>2</v>
      </c>
      <c r="IE2" s="183">
        <v>3</v>
      </c>
      <c r="IF2" s="183">
        <v>4</v>
      </c>
      <c r="IG2" s="183">
        <v>5</v>
      </c>
      <c r="IH2" s="183">
        <v>6</v>
      </c>
      <c r="II2" s="183">
        <v>7</v>
      </c>
      <c r="IJ2" s="183">
        <v>8</v>
      </c>
      <c r="IK2" s="183">
        <v>9</v>
      </c>
      <c r="IL2" s="183">
        <v>10</v>
      </c>
      <c r="IM2" s="183">
        <v>11</v>
      </c>
      <c r="IN2" s="183">
        <v>12</v>
      </c>
      <c r="IO2" s="183">
        <v>13</v>
      </c>
      <c r="IP2" s="183">
        <v>14</v>
      </c>
      <c r="IQ2" s="183">
        <v>15</v>
      </c>
      <c r="IR2" s="183">
        <v>16</v>
      </c>
      <c r="IS2" s="183">
        <v>17</v>
      </c>
      <c r="IT2" s="183">
        <v>18</v>
      </c>
      <c r="IU2" s="183">
        <v>19</v>
      </c>
      <c r="IV2" s="183">
        <v>20</v>
      </c>
      <c r="IW2" s="183">
        <v>21</v>
      </c>
      <c r="IX2" s="183">
        <v>22</v>
      </c>
      <c r="IY2" s="183">
        <v>23</v>
      </c>
    </row>
    <row r="3" spans="1:1077" s="206" customFormat="1" ht="15" customHeight="1" x14ac:dyDescent="0.2">
      <c r="A3" s="195">
        <v>0</v>
      </c>
      <c r="B3" s="196"/>
      <c r="C3" s="196"/>
      <c r="D3" s="197" t="s">
        <v>425</v>
      </c>
      <c r="E3" s="198">
        <v>1</v>
      </c>
      <c r="F3" s="197" t="s">
        <v>535</v>
      </c>
      <c r="G3" s="198">
        <v>1</v>
      </c>
      <c r="H3" s="199" t="s">
        <v>426</v>
      </c>
      <c r="I3" s="197">
        <v>2</v>
      </c>
      <c r="J3" s="197">
        <v>1</v>
      </c>
      <c r="K3" s="197">
        <v>1</v>
      </c>
      <c r="L3" s="198" t="s">
        <v>349</v>
      </c>
      <c r="M3" s="198"/>
      <c r="N3" s="200"/>
      <c r="O3" s="200" t="s">
        <v>536</v>
      </c>
      <c r="P3" s="201" t="s">
        <v>537</v>
      </c>
      <c r="Q3" s="197">
        <v>90</v>
      </c>
      <c r="R3" s="197" t="s">
        <v>538</v>
      </c>
      <c r="S3" s="197">
        <v>600</v>
      </c>
      <c r="T3" s="197" t="s">
        <v>539</v>
      </c>
      <c r="U3" s="197"/>
      <c r="V3" s="197"/>
      <c r="W3" s="197"/>
      <c r="X3" s="197"/>
      <c r="Y3" s="197"/>
      <c r="Z3" s="197"/>
      <c r="AA3" s="197" t="s">
        <v>1</v>
      </c>
      <c r="AB3" s="198" t="s">
        <v>2</v>
      </c>
      <c r="AC3" s="198" t="s">
        <v>540</v>
      </c>
      <c r="AD3" s="197" t="s">
        <v>428</v>
      </c>
      <c r="AE3" s="197" t="s">
        <v>428</v>
      </c>
      <c r="AF3" s="197" t="s">
        <v>428</v>
      </c>
      <c r="AG3" s="197" t="s">
        <v>428</v>
      </c>
      <c r="AH3" s="197" t="s">
        <v>428</v>
      </c>
      <c r="AI3" s="197" t="s">
        <v>428</v>
      </c>
      <c r="AJ3" s="197" t="s">
        <v>428</v>
      </c>
      <c r="AK3" s="197" t="s">
        <v>428</v>
      </c>
      <c r="AL3" s="197" t="s">
        <v>428</v>
      </c>
      <c r="AM3" s="197" t="s">
        <v>428</v>
      </c>
      <c r="AN3" s="197" t="s">
        <v>428</v>
      </c>
      <c r="AO3" s="202"/>
      <c r="AP3" s="203"/>
      <c r="AQ3" s="204"/>
      <c r="AR3" s="204"/>
      <c r="AS3" s="204"/>
      <c r="AT3" s="204"/>
      <c r="AU3" s="204"/>
      <c r="AV3" s="204"/>
      <c r="AW3" s="204"/>
      <c r="AX3" s="204"/>
      <c r="AY3" s="204"/>
      <c r="AZ3" s="204"/>
      <c r="BA3" s="204"/>
      <c r="BB3" s="204"/>
      <c r="BC3" s="204"/>
      <c r="BD3" s="204"/>
      <c r="BE3" s="204"/>
      <c r="BF3" s="204"/>
      <c r="BG3" s="204"/>
      <c r="BH3" s="204"/>
      <c r="BI3" s="204"/>
      <c r="BJ3" s="204"/>
      <c r="BK3" s="204"/>
      <c r="BL3" s="204"/>
      <c r="BM3" s="204"/>
      <c r="BN3" s="205"/>
      <c r="BO3" s="205"/>
      <c r="BP3" s="205"/>
      <c r="BQ3" s="205"/>
      <c r="BR3" s="205"/>
      <c r="BS3" s="205"/>
      <c r="BT3" s="205"/>
      <c r="BU3" s="205"/>
      <c r="BV3" s="205"/>
      <c r="BW3" s="205"/>
      <c r="BX3" s="205"/>
      <c r="BY3" s="205"/>
      <c r="BZ3" s="205"/>
      <c r="CA3" s="205"/>
      <c r="CB3" s="205"/>
      <c r="CC3" s="205"/>
      <c r="CD3" s="205"/>
      <c r="CE3" s="205"/>
      <c r="CF3" s="205"/>
      <c r="CG3" s="205"/>
      <c r="CH3" s="205"/>
      <c r="CI3" s="205"/>
      <c r="CJ3" s="205"/>
      <c r="CK3" s="205"/>
      <c r="CL3" s="205"/>
      <c r="CM3" s="205"/>
      <c r="CN3" s="205"/>
      <c r="CO3" s="205"/>
      <c r="CP3" s="205"/>
      <c r="CQ3" s="205"/>
      <c r="CR3" s="205"/>
      <c r="CS3" s="205"/>
      <c r="CT3" s="205"/>
      <c r="CU3" s="205"/>
      <c r="CV3" s="205"/>
      <c r="CW3" s="205"/>
      <c r="CX3" s="205"/>
      <c r="CY3" s="205"/>
      <c r="CZ3" s="205"/>
      <c r="DA3" s="205"/>
      <c r="DB3" s="205"/>
      <c r="DC3" s="205"/>
      <c r="DD3" s="205"/>
      <c r="DE3" s="205"/>
      <c r="DF3" s="205"/>
      <c r="DG3" s="205"/>
      <c r="DH3" s="205"/>
      <c r="DI3" s="205"/>
      <c r="DJ3" s="205"/>
      <c r="DK3" s="205"/>
      <c r="DL3" s="205"/>
      <c r="DM3" s="205"/>
      <c r="DN3" s="205"/>
      <c r="DO3" s="205"/>
      <c r="DP3" s="205"/>
      <c r="DQ3" s="205"/>
      <c r="DR3" s="205"/>
      <c r="DS3" s="205"/>
      <c r="DT3" s="205"/>
      <c r="DU3" s="205"/>
      <c r="DV3" s="205"/>
      <c r="DW3" s="205"/>
      <c r="DX3" s="205"/>
      <c r="DY3" s="205"/>
      <c r="DZ3" s="205"/>
      <c r="EA3" s="205"/>
      <c r="EB3" s="205"/>
      <c r="EC3" s="205"/>
      <c r="ED3" s="205"/>
      <c r="EE3" s="205"/>
      <c r="EF3" s="205"/>
      <c r="EG3" s="205"/>
      <c r="EH3" s="205"/>
      <c r="EI3" s="205"/>
      <c r="EJ3" s="205"/>
      <c r="EK3" s="205"/>
      <c r="EL3" s="205"/>
      <c r="EM3" s="205"/>
      <c r="EN3" s="205"/>
      <c r="EO3" s="205"/>
      <c r="EP3" s="205"/>
      <c r="EQ3" s="205"/>
      <c r="ER3" s="205"/>
      <c r="ES3" s="205"/>
      <c r="ET3" s="205"/>
      <c r="EU3" s="205"/>
      <c r="EV3" s="205"/>
      <c r="EW3" s="205"/>
      <c r="EX3" s="205"/>
      <c r="EY3" s="205"/>
      <c r="EZ3" s="205"/>
      <c r="FA3" s="205"/>
      <c r="FB3" s="205"/>
      <c r="FC3" s="205"/>
      <c r="FD3" s="205"/>
      <c r="FE3" s="205"/>
      <c r="FF3" s="205"/>
      <c r="FG3" s="205"/>
      <c r="FH3" s="205"/>
      <c r="FI3" s="205"/>
      <c r="FJ3" s="205"/>
      <c r="FK3" s="205"/>
      <c r="FL3" s="205"/>
      <c r="FM3" s="205"/>
      <c r="FN3" s="205"/>
      <c r="FO3" s="205"/>
      <c r="FP3" s="205"/>
      <c r="FQ3" s="205"/>
      <c r="FR3" s="205"/>
      <c r="FS3" s="205"/>
      <c r="FT3" s="205"/>
      <c r="FU3" s="205"/>
      <c r="FV3" s="205"/>
      <c r="FW3" s="205"/>
      <c r="FX3" s="205"/>
      <c r="FY3" s="205"/>
      <c r="FZ3" s="205"/>
      <c r="GA3" s="205"/>
      <c r="GB3" s="205"/>
      <c r="GC3" s="205"/>
      <c r="GD3" s="205"/>
      <c r="GE3" s="205"/>
      <c r="GF3" s="205"/>
      <c r="GG3" s="205"/>
      <c r="GH3" s="205"/>
      <c r="GI3" s="205"/>
      <c r="GJ3" s="205"/>
      <c r="GK3" s="205"/>
      <c r="GL3" s="205"/>
      <c r="GM3" s="205"/>
      <c r="GN3" s="205"/>
      <c r="GO3" s="205"/>
      <c r="GP3" s="205"/>
      <c r="GQ3" s="205"/>
      <c r="GR3" s="205"/>
      <c r="GS3" s="205"/>
      <c r="GT3" s="205"/>
      <c r="GU3" s="205"/>
      <c r="GV3" s="205"/>
      <c r="GW3" s="205"/>
      <c r="GX3" s="205"/>
      <c r="GY3" s="205"/>
      <c r="GZ3" s="205"/>
      <c r="HA3" s="205"/>
      <c r="HB3" s="205"/>
      <c r="HC3" s="205"/>
      <c r="HD3" s="205"/>
      <c r="HE3" s="205"/>
      <c r="HF3" s="205"/>
      <c r="HG3" s="205"/>
      <c r="HH3" s="205"/>
      <c r="HI3" s="205"/>
      <c r="HJ3" s="205"/>
      <c r="HK3" s="205"/>
      <c r="HL3" s="205"/>
      <c r="HM3" s="205"/>
      <c r="HN3" s="205"/>
      <c r="HO3" s="205"/>
      <c r="HP3" s="205"/>
      <c r="HQ3" s="205"/>
      <c r="HR3" s="205"/>
      <c r="HS3" s="205"/>
      <c r="HT3" s="205"/>
      <c r="HU3" s="205"/>
      <c r="HV3" s="205"/>
      <c r="HW3" s="205"/>
      <c r="HX3" s="205"/>
      <c r="HY3" s="205"/>
      <c r="HZ3" s="205"/>
      <c r="IA3" s="205"/>
      <c r="IB3" s="205"/>
      <c r="IC3" s="205"/>
      <c r="ID3" s="205"/>
      <c r="IE3" s="205"/>
      <c r="IF3" s="205"/>
      <c r="IG3" s="205"/>
      <c r="IH3" s="205"/>
      <c r="II3" s="205"/>
      <c r="IJ3" s="205"/>
      <c r="IK3" s="205"/>
      <c r="IL3" s="205"/>
      <c r="IM3" s="205"/>
      <c r="IN3" s="205"/>
      <c r="IO3" s="205"/>
      <c r="IP3" s="205"/>
      <c r="IQ3" s="205"/>
      <c r="IR3" s="205"/>
      <c r="IS3" s="205"/>
      <c r="IT3" s="205"/>
      <c r="IU3" s="205"/>
      <c r="IV3" s="205"/>
      <c r="IW3" s="205"/>
      <c r="IX3" s="205"/>
      <c r="IY3" s="205"/>
      <c r="IZ3" s="3"/>
      <c r="JA3" s="3"/>
      <c r="JB3" s="3"/>
      <c r="JC3" s="3"/>
      <c r="JD3" s="3"/>
      <c r="JE3" s="3"/>
      <c r="JF3" s="3"/>
      <c r="JG3" s="3"/>
      <c r="JH3" s="3"/>
      <c r="JI3" s="3"/>
      <c r="JJ3" s="3"/>
      <c r="JK3" s="3"/>
      <c r="JL3" s="3"/>
      <c r="JM3" s="3"/>
      <c r="JN3" s="3"/>
      <c r="JO3" s="3"/>
      <c r="JP3" s="3"/>
      <c r="JQ3" s="3"/>
      <c r="JR3" s="3"/>
      <c r="JS3" s="3"/>
      <c r="JT3" s="3"/>
      <c r="JU3" s="3"/>
      <c r="JV3" s="3"/>
      <c r="JW3" s="3"/>
      <c r="JX3" s="3"/>
      <c r="JY3" s="3"/>
      <c r="JZ3" s="3"/>
      <c r="KA3" s="3"/>
      <c r="KB3" s="3"/>
      <c r="KC3" s="3"/>
      <c r="KD3" s="3"/>
      <c r="KE3" s="3"/>
      <c r="KF3" s="3"/>
      <c r="KG3" s="3"/>
      <c r="KH3" s="3"/>
      <c r="KI3" s="3"/>
      <c r="KJ3" s="3"/>
      <c r="KK3" s="3"/>
      <c r="KL3" s="3"/>
      <c r="KM3" s="3"/>
      <c r="KN3" s="3"/>
      <c r="KO3" s="3"/>
      <c r="KP3" s="3"/>
      <c r="KQ3" s="3"/>
      <c r="KR3" s="3"/>
      <c r="KS3" s="3"/>
      <c r="KT3" s="3"/>
      <c r="KU3" s="3"/>
      <c r="KV3" s="3"/>
      <c r="KW3" s="3"/>
      <c r="KX3" s="3"/>
      <c r="KY3" s="3"/>
      <c r="KZ3" s="3"/>
      <c r="LA3" s="3"/>
      <c r="LB3" s="3"/>
      <c r="LC3" s="3"/>
      <c r="LD3" s="3"/>
      <c r="LE3" s="3"/>
      <c r="LF3" s="3"/>
      <c r="LG3" s="3"/>
      <c r="LH3" s="3"/>
      <c r="LI3" s="3"/>
      <c r="LJ3" s="3"/>
      <c r="LK3" s="3"/>
      <c r="LL3" s="3"/>
      <c r="LM3" s="3"/>
      <c r="LN3" s="3"/>
      <c r="LO3" s="3"/>
      <c r="LP3" s="3"/>
      <c r="LQ3" s="3"/>
      <c r="LR3" s="3"/>
      <c r="LS3" s="3"/>
      <c r="LT3" s="3"/>
      <c r="LU3" s="3"/>
      <c r="LV3" s="3"/>
      <c r="LW3" s="3"/>
      <c r="LX3" s="3"/>
      <c r="LY3" s="3"/>
      <c r="LZ3" s="3"/>
      <c r="MA3" s="3"/>
      <c r="MB3" s="3"/>
      <c r="MC3" s="3"/>
      <c r="MD3" s="3"/>
      <c r="ME3" s="3"/>
      <c r="MF3" s="3"/>
      <c r="MG3" s="3"/>
      <c r="MH3" s="3"/>
      <c r="MI3" s="3"/>
      <c r="MJ3" s="3"/>
      <c r="MK3" s="3"/>
      <c r="ML3" s="3"/>
      <c r="MM3" s="3"/>
      <c r="MN3" s="3"/>
      <c r="MO3" s="3"/>
      <c r="MP3" s="3"/>
      <c r="MQ3" s="3"/>
      <c r="MR3" s="3"/>
      <c r="MS3" s="3"/>
      <c r="MT3" s="3"/>
      <c r="MU3" s="3"/>
      <c r="MV3" s="3"/>
      <c r="MW3" s="3"/>
      <c r="MX3" s="3"/>
      <c r="MY3" s="3"/>
      <c r="MZ3" s="3"/>
      <c r="NA3" s="3"/>
      <c r="NB3" s="3"/>
      <c r="NC3" s="3"/>
      <c r="ND3" s="3"/>
      <c r="NE3" s="3"/>
      <c r="NF3" s="3"/>
      <c r="NG3" s="3"/>
      <c r="NH3" s="3"/>
      <c r="NI3" s="3"/>
      <c r="NJ3" s="3"/>
      <c r="NK3" s="3"/>
      <c r="NL3" s="3"/>
      <c r="NM3" s="3"/>
      <c r="NN3" s="3"/>
      <c r="NO3" s="3"/>
      <c r="NP3" s="3"/>
      <c r="NQ3" s="3"/>
      <c r="NR3" s="3"/>
      <c r="NS3" s="3"/>
      <c r="NT3" s="3"/>
      <c r="NU3" s="3"/>
      <c r="NV3" s="3"/>
      <c r="NW3" s="3"/>
      <c r="NX3" s="3"/>
      <c r="NY3" s="3"/>
      <c r="NZ3" s="3"/>
      <c r="OA3" s="3"/>
      <c r="OB3" s="3"/>
      <c r="OC3" s="3"/>
      <c r="OD3" s="3"/>
      <c r="OE3" s="3"/>
      <c r="OF3" s="3"/>
      <c r="OG3" s="3"/>
      <c r="OH3" s="3"/>
      <c r="OI3" s="3"/>
      <c r="OJ3" s="3"/>
      <c r="OK3" s="3"/>
      <c r="OL3" s="3"/>
      <c r="OM3" s="3"/>
      <c r="ON3" s="3"/>
      <c r="OO3" s="3"/>
      <c r="OP3" s="3"/>
      <c r="OQ3" s="3"/>
      <c r="OR3" s="3"/>
      <c r="OS3" s="3"/>
      <c r="OT3" s="3"/>
      <c r="OU3" s="3"/>
      <c r="OV3" s="3"/>
      <c r="OW3" s="3"/>
      <c r="OX3" s="3"/>
      <c r="OY3" s="3"/>
      <c r="OZ3" s="3"/>
      <c r="PA3" s="3"/>
      <c r="PB3" s="3"/>
      <c r="PC3" s="3"/>
      <c r="PD3" s="3"/>
      <c r="PE3" s="3"/>
      <c r="PF3" s="3"/>
      <c r="PG3" s="3"/>
      <c r="PH3" s="3"/>
      <c r="PI3" s="3"/>
      <c r="PJ3" s="3"/>
      <c r="PK3" s="3"/>
      <c r="PL3" s="3"/>
      <c r="PM3" s="3"/>
      <c r="PN3" s="3"/>
      <c r="PO3" s="3"/>
      <c r="PP3" s="3"/>
      <c r="PQ3" s="3"/>
      <c r="PR3" s="3"/>
      <c r="PS3" s="3"/>
      <c r="PT3" s="3"/>
      <c r="PU3" s="3"/>
      <c r="PV3" s="3"/>
      <c r="PW3" s="3"/>
      <c r="PX3" s="3"/>
      <c r="PY3" s="3"/>
      <c r="PZ3" s="3"/>
      <c r="QA3" s="3"/>
      <c r="QB3" s="3"/>
      <c r="QC3" s="3"/>
      <c r="QD3" s="3"/>
      <c r="QE3" s="3"/>
      <c r="QF3" s="3"/>
      <c r="QG3" s="3"/>
      <c r="QH3" s="3"/>
      <c r="QI3" s="3"/>
      <c r="QJ3" s="3"/>
      <c r="QK3" s="3"/>
      <c r="QL3" s="3"/>
      <c r="QM3" s="3"/>
      <c r="QN3" s="3"/>
      <c r="QO3" s="3"/>
      <c r="QP3" s="3"/>
      <c r="QQ3" s="3"/>
      <c r="QR3" s="3"/>
      <c r="QS3" s="3"/>
      <c r="QT3" s="3"/>
      <c r="QU3" s="3"/>
      <c r="QV3" s="3"/>
      <c r="QW3" s="3"/>
      <c r="QX3" s="3"/>
      <c r="QY3" s="3"/>
      <c r="QZ3" s="3"/>
      <c r="RA3" s="3"/>
      <c r="RB3" s="3"/>
      <c r="RC3" s="3"/>
      <c r="RD3" s="3"/>
      <c r="RE3" s="3"/>
      <c r="RF3" s="3"/>
      <c r="RG3" s="3"/>
      <c r="RH3" s="3"/>
      <c r="RI3" s="3"/>
      <c r="RJ3" s="3"/>
      <c r="RK3" s="3"/>
      <c r="RL3" s="3"/>
      <c r="RM3" s="3"/>
      <c r="RN3" s="3"/>
      <c r="RO3" s="3"/>
      <c r="RP3" s="3"/>
      <c r="RQ3" s="3"/>
      <c r="RR3" s="3"/>
      <c r="RS3" s="3"/>
      <c r="RT3" s="3"/>
      <c r="RU3" s="3"/>
      <c r="RV3" s="3"/>
      <c r="RW3" s="3"/>
      <c r="RX3" s="3"/>
      <c r="RY3" s="3"/>
      <c r="RZ3" s="3"/>
      <c r="SA3" s="3"/>
      <c r="SB3" s="3"/>
      <c r="SC3" s="3"/>
      <c r="SD3" s="3"/>
      <c r="SE3" s="3"/>
      <c r="SF3" s="3"/>
      <c r="SG3" s="3"/>
      <c r="SH3" s="3"/>
      <c r="SI3" s="3"/>
      <c r="SJ3" s="3"/>
      <c r="SK3" s="3"/>
      <c r="SL3" s="3"/>
      <c r="SM3" s="3"/>
      <c r="SN3" s="3"/>
      <c r="SO3" s="3"/>
      <c r="SP3" s="3"/>
      <c r="SQ3" s="3"/>
      <c r="SR3" s="3"/>
      <c r="SS3" s="3"/>
      <c r="ST3" s="3"/>
      <c r="SU3" s="3"/>
      <c r="SV3" s="3"/>
      <c r="SW3" s="3"/>
      <c r="SX3" s="3"/>
      <c r="SY3" s="3"/>
      <c r="SZ3" s="3"/>
      <c r="TA3" s="3"/>
      <c r="TB3" s="3"/>
      <c r="TC3" s="3"/>
      <c r="TD3" s="3"/>
      <c r="TE3" s="3"/>
      <c r="TF3" s="3"/>
      <c r="TG3" s="3"/>
      <c r="TH3" s="3"/>
      <c r="TI3" s="3"/>
      <c r="TJ3" s="3"/>
      <c r="TK3" s="3"/>
      <c r="TL3" s="3"/>
      <c r="TM3" s="3"/>
      <c r="TN3" s="3"/>
      <c r="TO3" s="3"/>
      <c r="TP3" s="3"/>
      <c r="TQ3" s="3"/>
      <c r="TR3" s="3"/>
      <c r="TS3" s="3"/>
      <c r="TT3" s="3"/>
      <c r="TU3" s="3"/>
      <c r="TV3" s="3"/>
      <c r="TW3" s="3"/>
      <c r="TX3" s="3"/>
      <c r="TY3" s="3"/>
      <c r="TZ3" s="3"/>
      <c r="UA3" s="3"/>
      <c r="UB3" s="3"/>
      <c r="UC3" s="3"/>
      <c r="UD3" s="3"/>
      <c r="UE3" s="3"/>
      <c r="UF3" s="3"/>
      <c r="UG3" s="3"/>
      <c r="UH3" s="3"/>
      <c r="UI3" s="3"/>
      <c r="UJ3" s="3"/>
      <c r="UK3" s="3"/>
      <c r="UL3" s="3"/>
      <c r="UM3" s="3"/>
      <c r="UN3" s="3"/>
      <c r="UO3" s="3"/>
      <c r="UP3" s="3"/>
      <c r="UQ3" s="3"/>
      <c r="UR3" s="3"/>
      <c r="US3" s="3"/>
      <c r="UT3" s="3"/>
      <c r="UU3" s="3"/>
      <c r="UV3" s="3"/>
      <c r="UW3" s="3"/>
      <c r="UX3" s="3"/>
      <c r="UY3" s="3"/>
      <c r="UZ3" s="3"/>
      <c r="VA3" s="3"/>
      <c r="VB3" s="3"/>
      <c r="VC3" s="3"/>
      <c r="VD3" s="3"/>
      <c r="VE3" s="3"/>
      <c r="VF3" s="3"/>
      <c r="VG3" s="3"/>
      <c r="VH3" s="3"/>
      <c r="VI3" s="3"/>
      <c r="VJ3" s="3"/>
      <c r="VK3" s="3"/>
      <c r="VL3" s="3"/>
      <c r="VM3" s="3"/>
      <c r="VN3" s="3"/>
      <c r="VO3" s="3"/>
      <c r="VP3" s="3"/>
      <c r="VQ3" s="3"/>
      <c r="VR3" s="3"/>
      <c r="VS3" s="3"/>
      <c r="VT3" s="3"/>
      <c r="VU3" s="3"/>
      <c r="VV3" s="3"/>
      <c r="VW3" s="3"/>
      <c r="VX3" s="3"/>
      <c r="VY3" s="3"/>
      <c r="VZ3" s="3"/>
      <c r="WA3" s="3"/>
      <c r="WB3" s="3"/>
      <c r="WC3" s="3"/>
      <c r="WD3" s="3"/>
      <c r="WE3" s="3"/>
      <c r="WF3" s="3"/>
      <c r="WG3" s="3"/>
      <c r="WH3" s="3"/>
      <c r="WI3" s="3"/>
      <c r="WJ3" s="3"/>
      <c r="WK3" s="3"/>
      <c r="WL3" s="3"/>
      <c r="WM3" s="3"/>
      <c r="WN3" s="3"/>
      <c r="WO3" s="3"/>
      <c r="WP3" s="3"/>
      <c r="WQ3" s="3"/>
      <c r="WR3" s="3"/>
      <c r="WS3" s="3"/>
      <c r="WT3" s="3"/>
      <c r="WU3" s="3"/>
      <c r="WV3" s="3"/>
      <c r="WW3" s="3"/>
      <c r="WX3" s="3"/>
      <c r="WY3" s="3"/>
      <c r="WZ3" s="3"/>
      <c r="XA3" s="3"/>
      <c r="XB3" s="3"/>
      <c r="XC3" s="3"/>
      <c r="XD3" s="3"/>
      <c r="XE3" s="3"/>
      <c r="XF3" s="3"/>
      <c r="XG3" s="3"/>
      <c r="XH3" s="3"/>
      <c r="XI3" s="3"/>
      <c r="XJ3" s="3"/>
      <c r="XK3" s="3"/>
      <c r="XL3" s="3"/>
      <c r="XM3" s="3"/>
      <c r="XN3" s="3"/>
      <c r="XO3" s="3"/>
      <c r="XP3" s="3"/>
      <c r="XQ3" s="3"/>
      <c r="XR3" s="3"/>
      <c r="XS3" s="3"/>
      <c r="XT3" s="3"/>
      <c r="XU3" s="3"/>
      <c r="XV3" s="3"/>
      <c r="XW3" s="3"/>
      <c r="XX3" s="3"/>
      <c r="XY3" s="3"/>
      <c r="XZ3" s="3"/>
      <c r="YA3" s="3"/>
      <c r="YB3" s="3"/>
      <c r="YC3" s="3"/>
      <c r="YD3" s="3"/>
      <c r="YE3" s="3"/>
      <c r="YF3" s="3"/>
      <c r="YG3" s="3"/>
      <c r="YH3" s="3"/>
      <c r="YI3" s="3"/>
      <c r="YJ3" s="3"/>
      <c r="YK3" s="3"/>
      <c r="YL3" s="3"/>
      <c r="YM3" s="3"/>
      <c r="YN3" s="3"/>
      <c r="YO3" s="3"/>
      <c r="YP3" s="3"/>
      <c r="YQ3" s="3"/>
      <c r="YR3" s="3"/>
      <c r="YS3" s="3"/>
      <c r="YT3" s="3"/>
      <c r="YU3" s="3"/>
      <c r="YV3" s="3"/>
      <c r="YW3" s="3"/>
      <c r="YX3" s="3"/>
      <c r="YY3" s="3"/>
      <c r="YZ3" s="3"/>
      <c r="ZA3" s="3"/>
      <c r="ZB3" s="3"/>
      <c r="ZC3" s="3"/>
      <c r="ZD3" s="3"/>
      <c r="ZE3" s="3"/>
      <c r="ZF3" s="3"/>
      <c r="ZG3" s="3"/>
      <c r="ZH3" s="3"/>
      <c r="ZI3" s="3"/>
      <c r="ZJ3" s="3"/>
      <c r="ZK3" s="3"/>
      <c r="ZL3" s="3"/>
      <c r="ZM3" s="3"/>
      <c r="ZN3" s="3"/>
      <c r="ZO3" s="3"/>
      <c r="ZP3" s="3"/>
      <c r="ZQ3" s="3"/>
      <c r="ZR3" s="3"/>
      <c r="ZS3" s="3"/>
      <c r="ZT3" s="3"/>
      <c r="ZU3" s="3"/>
      <c r="ZV3" s="3"/>
      <c r="ZW3" s="3"/>
      <c r="ZX3" s="3"/>
      <c r="ZY3" s="3"/>
      <c r="ZZ3" s="3"/>
      <c r="AAA3" s="3"/>
      <c r="AAB3" s="3"/>
      <c r="AAC3" s="3"/>
      <c r="AAD3" s="3"/>
      <c r="AAE3" s="3"/>
      <c r="AAF3" s="3"/>
      <c r="AAG3" s="3"/>
      <c r="AAH3" s="3"/>
      <c r="AAI3" s="3"/>
      <c r="AAJ3" s="3"/>
      <c r="AAK3" s="3"/>
      <c r="AAL3" s="3"/>
      <c r="AAM3" s="3"/>
      <c r="AAN3" s="3"/>
      <c r="AAO3" s="3"/>
      <c r="AAP3" s="3"/>
      <c r="AAQ3" s="3"/>
      <c r="AAR3" s="3"/>
      <c r="AAS3" s="3"/>
      <c r="AAT3" s="3"/>
      <c r="AAU3" s="3"/>
      <c r="AAV3" s="3"/>
      <c r="AAW3" s="3"/>
      <c r="AAX3" s="3"/>
      <c r="AAY3" s="3"/>
      <c r="AAZ3" s="3"/>
      <c r="ABA3" s="3"/>
      <c r="ABB3" s="3"/>
      <c r="ABC3" s="3"/>
      <c r="ABD3" s="3"/>
      <c r="ABE3" s="3"/>
      <c r="ABF3" s="3"/>
      <c r="ABG3" s="3"/>
      <c r="ABH3" s="3"/>
      <c r="ABI3" s="3"/>
      <c r="ABJ3" s="3"/>
      <c r="ABK3" s="3"/>
      <c r="ABL3" s="3"/>
      <c r="ABM3" s="3"/>
      <c r="ABN3" s="3"/>
      <c r="ABO3" s="3"/>
      <c r="ABP3" s="3"/>
      <c r="ABQ3" s="3"/>
      <c r="ABR3" s="3"/>
      <c r="ABS3" s="3"/>
      <c r="ABT3" s="3"/>
      <c r="ABU3" s="3"/>
      <c r="ABV3" s="3"/>
      <c r="ABW3" s="3"/>
      <c r="ABX3" s="3"/>
      <c r="ABY3" s="3"/>
      <c r="ABZ3" s="3"/>
      <c r="ACA3" s="3"/>
      <c r="ACB3" s="3"/>
      <c r="ACC3" s="3"/>
      <c r="ACD3" s="3"/>
      <c r="ACE3" s="3"/>
      <c r="ACF3" s="3"/>
      <c r="ACG3" s="3"/>
      <c r="ACH3" s="3"/>
      <c r="ACI3" s="3"/>
      <c r="ACJ3" s="3"/>
      <c r="ACK3" s="3"/>
      <c r="ACL3" s="3"/>
      <c r="ACM3" s="3"/>
      <c r="ACN3" s="3"/>
      <c r="ACO3" s="3"/>
      <c r="ACP3" s="3"/>
      <c r="ACQ3" s="3"/>
      <c r="ACR3" s="3"/>
      <c r="ACS3" s="3"/>
      <c r="ACT3" s="3"/>
      <c r="ACU3" s="3"/>
      <c r="ACV3" s="3"/>
      <c r="ACW3" s="3"/>
      <c r="ACX3" s="3"/>
      <c r="ACY3" s="3"/>
      <c r="ACZ3" s="3"/>
      <c r="ADA3" s="3"/>
      <c r="ADB3" s="3"/>
      <c r="ADC3" s="3"/>
      <c r="ADD3" s="3"/>
      <c r="ADE3" s="3"/>
      <c r="ADF3" s="3"/>
      <c r="ADG3" s="3"/>
      <c r="ADH3" s="3"/>
      <c r="ADI3" s="3"/>
      <c r="ADJ3" s="3"/>
      <c r="ADK3" s="3"/>
      <c r="ADL3" s="3"/>
      <c r="ADM3" s="3"/>
      <c r="ADN3" s="3"/>
      <c r="ADO3" s="3"/>
      <c r="ADP3" s="3"/>
      <c r="ADQ3" s="3"/>
      <c r="ADR3" s="3"/>
      <c r="ADS3" s="3"/>
      <c r="ADT3" s="3"/>
      <c r="ADU3" s="3"/>
      <c r="ADV3" s="3"/>
      <c r="ADW3" s="3"/>
      <c r="ADX3" s="3"/>
      <c r="ADY3" s="3"/>
      <c r="ADZ3" s="3"/>
      <c r="AEA3" s="3"/>
      <c r="AEB3" s="3"/>
      <c r="AEC3" s="3"/>
      <c r="AED3" s="3"/>
      <c r="AEE3" s="3"/>
      <c r="AEF3" s="3"/>
      <c r="AEG3" s="3"/>
      <c r="AEH3" s="3"/>
      <c r="AEI3" s="3"/>
      <c r="AEJ3" s="3"/>
      <c r="AEK3" s="3"/>
      <c r="AEL3" s="3"/>
      <c r="AEM3" s="3"/>
      <c r="AEN3" s="3"/>
      <c r="AEO3" s="3"/>
      <c r="AEP3" s="3"/>
      <c r="AEQ3" s="3"/>
      <c r="AER3" s="3"/>
      <c r="AES3" s="3"/>
      <c r="AET3" s="3"/>
      <c r="AEU3" s="3"/>
      <c r="AEV3" s="3"/>
      <c r="AEW3" s="3"/>
      <c r="AEX3" s="3"/>
      <c r="AEY3" s="3"/>
      <c r="AEZ3" s="3"/>
      <c r="AFA3" s="3"/>
      <c r="AFB3" s="3"/>
      <c r="AFC3" s="3"/>
      <c r="AFD3" s="3"/>
      <c r="AFE3" s="3"/>
      <c r="AFF3" s="3"/>
      <c r="AFG3" s="3"/>
      <c r="AFH3" s="3"/>
      <c r="AFI3" s="3"/>
      <c r="AFJ3" s="3"/>
      <c r="AFK3" s="3"/>
      <c r="AFL3" s="3"/>
      <c r="AFM3" s="3"/>
      <c r="AFN3" s="3"/>
      <c r="AFO3" s="3"/>
      <c r="AFP3" s="3"/>
      <c r="AFQ3" s="3"/>
      <c r="AFR3" s="3"/>
      <c r="AFS3" s="3"/>
      <c r="AFT3" s="3"/>
      <c r="AFU3" s="3"/>
      <c r="AFV3" s="3"/>
      <c r="AFW3" s="3"/>
      <c r="AFX3" s="3"/>
      <c r="AFY3" s="3"/>
      <c r="AFZ3" s="3"/>
      <c r="AGA3" s="3"/>
      <c r="AGB3" s="3"/>
      <c r="AGC3" s="3"/>
      <c r="AGD3" s="3"/>
      <c r="AGE3" s="3"/>
      <c r="AGF3" s="3"/>
      <c r="AGG3" s="3"/>
      <c r="AGH3" s="3"/>
      <c r="AGI3" s="3"/>
      <c r="AGJ3" s="3"/>
      <c r="AGK3" s="3"/>
      <c r="AGL3" s="3"/>
      <c r="AGM3" s="3"/>
      <c r="AGN3" s="3"/>
      <c r="AGO3" s="3"/>
      <c r="AGP3" s="3"/>
      <c r="AGQ3" s="3"/>
      <c r="AGR3" s="3"/>
      <c r="AGS3" s="3"/>
      <c r="AGT3" s="3"/>
      <c r="AGU3" s="3"/>
      <c r="AGV3" s="3"/>
      <c r="AGW3" s="3"/>
      <c r="AGX3" s="3"/>
      <c r="AGY3" s="3"/>
      <c r="AGZ3" s="3"/>
      <c r="AHA3" s="3"/>
      <c r="AHB3" s="3"/>
      <c r="AHC3" s="3"/>
      <c r="AHD3" s="3"/>
      <c r="AHE3" s="3"/>
      <c r="AHF3" s="3"/>
      <c r="AHG3" s="3"/>
      <c r="AHH3" s="3"/>
      <c r="AHI3" s="3"/>
      <c r="AHJ3" s="3"/>
      <c r="AHK3" s="3"/>
      <c r="AHL3" s="3"/>
      <c r="AHM3" s="3"/>
      <c r="AHN3" s="3"/>
      <c r="AHO3" s="3"/>
      <c r="AHP3" s="3"/>
      <c r="AHQ3" s="3"/>
      <c r="AHR3" s="3"/>
      <c r="AHS3" s="3"/>
      <c r="AHT3" s="3"/>
      <c r="AHU3" s="3"/>
      <c r="AHV3" s="3"/>
      <c r="AHW3" s="3"/>
      <c r="AHX3" s="3"/>
      <c r="AHY3" s="3"/>
      <c r="AHZ3" s="3"/>
      <c r="AIA3" s="3"/>
      <c r="AIB3" s="3"/>
      <c r="AIC3" s="3"/>
      <c r="AID3" s="3"/>
      <c r="AIE3" s="3"/>
      <c r="AIF3" s="3"/>
      <c r="AIG3" s="3"/>
      <c r="AIH3" s="3"/>
      <c r="AII3" s="3"/>
      <c r="AIJ3" s="3"/>
      <c r="AIK3" s="3"/>
      <c r="AIL3" s="3"/>
      <c r="AIM3" s="3"/>
      <c r="AIN3" s="3"/>
      <c r="AIO3" s="3"/>
      <c r="AIP3" s="3"/>
      <c r="AIQ3" s="3"/>
      <c r="AIR3" s="3"/>
      <c r="AIS3" s="3"/>
      <c r="AIT3" s="3"/>
      <c r="AIU3" s="3"/>
      <c r="AIV3" s="3"/>
      <c r="AIW3" s="3"/>
      <c r="AIX3" s="3"/>
      <c r="AIY3" s="3"/>
      <c r="AIZ3" s="3"/>
      <c r="AJA3" s="3"/>
      <c r="AJB3" s="3"/>
      <c r="AJC3" s="3"/>
      <c r="AJD3" s="3"/>
      <c r="AJE3" s="3"/>
      <c r="AJF3" s="3"/>
      <c r="AJG3" s="3"/>
      <c r="AJH3" s="3"/>
      <c r="AJI3" s="3"/>
      <c r="AJJ3" s="3"/>
      <c r="AJK3" s="3"/>
      <c r="AJL3" s="3"/>
      <c r="AJM3" s="3"/>
      <c r="AJN3" s="3"/>
      <c r="AJO3" s="3"/>
      <c r="AJP3" s="3"/>
      <c r="AJQ3" s="3"/>
      <c r="AJR3" s="3"/>
      <c r="AJS3" s="3"/>
      <c r="AJT3" s="3"/>
      <c r="AJU3" s="3"/>
      <c r="AJV3" s="3"/>
      <c r="AJW3" s="3"/>
      <c r="AJX3" s="3"/>
      <c r="AJY3" s="3"/>
      <c r="AJZ3" s="3"/>
      <c r="AKA3" s="3"/>
      <c r="AKB3" s="3"/>
      <c r="AKC3" s="3"/>
      <c r="AKD3" s="3"/>
      <c r="AKE3" s="3"/>
      <c r="AKF3" s="3"/>
      <c r="AKG3" s="3"/>
      <c r="AKH3" s="3"/>
      <c r="AKI3" s="3"/>
      <c r="AKJ3" s="3"/>
      <c r="AKK3" s="3"/>
      <c r="AKL3" s="3"/>
      <c r="AKM3" s="3"/>
      <c r="AKN3" s="3"/>
      <c r="AKO3" s="3"/>
      <c r="AKP3" s="3"/>
      <c r="AKQ3" s="3"/>
      <c r="AKR3" s="3"/>
      <c r="AKS3" s="3"/>
      <c r="AKT3" s="3"/>
      <c r="AKU3" s="3"/>
      <c r="AKV3" s="3"/>
      <c r="AKW3" s="3"/>
      <c r="AKX3" s="3"/>
      <c r="AKY3" s="3"/>
      <c r="AKZ3" s="3"/>
      <c r="ALA3" s="3"/>
      <c r="ALB3" s="3"/>
      <c r="ALC3" s="3"/>
      <c r="ALD3" s="3"/>
      <c r="ALE3" s="3"/>
      <c r="ALF3" s="3"/>
      <c r="ALG3" s="3"/>
      <c r="ALH3" s="3"/>
      <c r="ALI3" s="3"/>
      <c r="ALJ3" s="3"/>
      <c r="ALK3" s="3"/>
      <c r="ALL3" s="3"/>
      <c r="ALM3" s="3"/>
      <c r="ALN3" s="3"/>
      <c r="ALO3" s="3"/>
      <c r="ALP3" s="3"/>
      <c r="ALQ3" s="3"/>
      <c r="ALR3" s="3"/>
      <c r="ALS3" s="3"/>
      <c r="ALT3" s="3"/>
      <c r="ALU3" s="3"/>
      <c r="ALV3" s="3"/>
      <c r="ALW3" s="3"/>
      <c r="ALX3" s="3"/>
      <c r="ALY3" s="3"/>
      <c r="ALZ3" s="3"/>
      <c r="AMA3" s="3"/>
      <c r="AMB3" s="3"/>
      <c r="AMC3" s="3"/>
      <c r="AMD3" s="3"/>
      <c r="AME3" s="3"/>
      <c r="AMF3" s="3"/>
      <c r="AMG3" s="3"/>
      <c r="AMH3" s="3"/>
      <c r="AMI3" s="3"/>
      <c r="AMJ3" s="3"/>
      <c r="AMK3" s="3"/>
      <c r="AML3" s="3"/>
      <c r="AMM3" s="3"/>
      <c r="AMN3" s="3"/>
      <c r="AMO3" s="3"/>
      <c r="AMP3" s="3"/>
      <c r="AMQ3" s="3"/>
      <c r="AMR3" s="3"/>
      <c r="AMS3" s="3"/>
      <c r="AMT3" s="3"/>
      <c r="AMU3" s="3"/>
      <c r="AMV3" s="3"/>
      <c r="AMW3" s="3"/>
      <c r="AMX3" s="3"/>
      <c r="AMY3" s="3"/>
      <c r="AMZ3" s="3"/>
      <c r="ANA3" s="3"/>
      <c r="ANB3" s="3"/>
      <c r="ANC3" s="3"/>
      <c r="AND3" s="3"/>
      <c r="ANE3" s="3"/>
      <c r="ANF3" s="3"/>
      <c r="ANG3" s="3"/>
      <c r="ANH3" s="3"/>
      <c r="ANI3" s="3"/>
      <c r="ANJ3" s="3"/>
      <c r="ANK3" s="3"/>
      <c r="ANL3" s="3"/>
      <c r="ANM3" s="3"/>
      <c r="ANN3" s="3"/>
      <c r="ANO3" s="3"/>
      <c r="ANP3" s="3"/>
      <c r="ANQ3" s="3"/>
      <c r="ANR3" s="3"/>
      <c r="ANS3" s="3"/>
      <c r="ANT3" s="3"/>
      <c r="ANU3" s="3"/>
      <c r="ANV3" s="3"/>
      <c r="ANW3" s="3"/>
      <c r="ANX3" s="3"/>
      <c r="ANY3" s="3"/>
      <c r="ANZ3" s="3"/>
      <c r="AOA3" s="3"/>
      <c r="AOB3" s="3"/>
      <c r="AOC3" s="3"/>
      <c r="AOD3" s="3"/>
      <c r="AOE3" s="3"/>
      <c r="AOF3" s="3"/>
      <c r="AOG3" s="3"/>
      <c r="AOH3" s="3"/>
      <c r="AOI3" s="3"/>
      <c r="AOJ3" s="3"/>
      <c r="AOK3" s="3"/>
    </row>
    <row r="4" spans="1:1077" s="206" customFormat="1" ht="15" customHeight="1" x14ac:dyDescent="0.2">
      <c r="A4" s="195">
        <v>0</v>
      </c>
      <c r="B4" s="196"/>
      <c r="C4" s="196"/>
      <c r="D4" s="197" t="s">
        <v>425</v>
      </c>
      <c r="E4" s="198">
        <v>1</v>
      </c>
      <c r="F4" s="197" t="s">
        <v>535</v>
      </c>
      <c r="G4" s="198">
        <v>1</v>
      </c>
      <c r="H4" s="199" t="s">
        <v>426</v>
      </c>
      <c r="I4" s="197">
        <v>2</v>
      </c>
      <c r="J4" s="197">
        <v>1</v>
      </c>
      <c r="K4" s="197">
        <v>1</v>
      </c>
      <c r="L4" s="198" t="s">
        <v>541</v>
      </c>
      <c r="M4" s="198"/>
      <c r="N4" s="200"/>
      <c r="O4" s="200" t="s">
        <v>536</v>
      </c>
      <c r="P4" s="201" t="s">
        <v>542</v>
      </c>
      <c r="Q4" s="197" t="s">
        <v>428</v>
      </c>
      <c r="R4" s="197" t="s">
        <v>428</v>
      </c>
      <c r="S4" s="197" t="s">
        <v>428</v>
      </c>
      <c r="T4" s="197" t="s">
        <v>428</v>
      </c>
      <c r="U4" s="197"/>
      <c r="V4" s="197"/>
      <c r="W4" s="197"/>
      <c r="X4" s="197"/>
      <c r="Y4" s="197"/>
      <c r="Z4" s="197"/>
      <c r="AA4" s="197" t="s">
        <v>1</v>
      </c>
      <c r="AB4" s="198" t="s">
        <v>2</v>
      </c>
      <c r="AC4" s="198" t="s">
        <v>540</v>
      </c>
      <c r="AD4" s="197" t="s">
        <v>428</v>
      </c>
      <c r="AE4" s="197" t="s">
        <v>428</v>
      </c>
      <c r="AF4" s="197" t="s">
        <v>428</v>
      </c>
      <c r="AG4" s="197" t="s">
        <v>428</v>
      </c>
      <c r="AH4" s="197" t="s">
        <v>428</v>
      </c>
      <c r="AI4" s="197" t="s">
        <v>428</v>
      </c>
      <c r="AJ4" s="197" t="s">
        <v>428</v>
      </c>
      <c r="AK4" s="197" t="s">
        <v>428</v>
      </c>
      <c r="AL4" s="197" t="s">
        <v>428</v>
      </c>
      <c r="AM4" s="197" t="s">
        <v>428</v>
      </c>
      <c r="AN4" s="197" t="s">
        <v>428</v>
      </c>
      <c r="AO4" s="202"/>
      <c r="AP4" s="203"/>
      <c r="AQ4" s="204"/>
      <c r="AR4" s="204"/>
      <c r="AS4" s="204"/>
      <c r="AT4" s="204"/>
      <c r="AU4" s="204"/>
      <c r="AV4" s="204"/>
      <c r="AW4" s="204"/>
      <c r="AX4" s="204"/>
      <c r="AY4" s="204"/>
      <c r="AZ4" s="204"/>
      <c r="BA4" s="204"/>
      <c r="BB4" s="204"/>
      <c r="BC4" s="204"/>
      <c r="BD4" s="204"/>
      <c r="BE4" s="204"/>
      <c r="BF4" s="204"/>
      <c r="BG4" s="204"/>
      <c r="BH4" s="204"/>
      <c r="BI4" s="204"/>
      <c r="BJ4" s="204"/>
      <c r="BK4" s="204"/>
      <c r="BL4" s="204"/>
      <c r="BM4" s="204"/>
      <c r="BN4" s="205"/>
      <c r="BO4" s="205"/>
      <c r="BP4" s="205"/>
      <c r="BQ4" s="205"/>
      <c r="BR4" s="205"/>
      <c r="BS4" s="205"/>
      <c r="BT4" s="205"/>
      <c r="BU4" s="205"/>
      <c r="BV4" s="205"/>
      <c r="BW4" s="205"/>
      <c r="BX4" s="205"/>
      <c r="BY4" s="205"/>
      <c r="BZ4" s="205"/>
      <c r="CA4" s="205"/>
      <c r="CB4" s="205"/>
      <c r="CC4" s="205"/>
      <c r="CD4" s="205"/>
      <c r="CE4" s="205"/>
      <c r="CF4" s="205"/>
      <c r="CG4" s="205"/>
      <c r="CH4" s="205"/>
      <c r="CI4" s="205"/>
      <c r="CJ4" s="205"/>
      <c r="CK4" s="205"/>
      <c r="CL4" s="205"/>
      <c r="CM4" s="205"/>
      <c r="CN4" s="205"/>
      <c r="CO4" s="205"/>
      <c r="CP4" s="205"/>
      <c r="CQ4" s="205"/>
      <c r="CR4" s="205"/>
      <c r="CS4" s="205"/>
      <c r="CT4" s="205"/>
      <c r="CU4" s="205"/>
      <c r="CV4" s="205"/>
      <c r="CW4" s="205"/>
      <c r="CX4" s="205"/>
      <c r="CY4" s="205"/>
      <c r="CZ4" s="205"/>
      <c r="DA4" s="205"/>
      <c r="DB4" s="205"/>
      <c r="DC4" s="205"/>
      <c r="DD4" s="205"/>
      <c r="DE4" s="205"/>
      <c r="DF4" s="205"/>
      <c r="DG4" s="205"/>
      <c r="DH4" s="205"/>
      <c r="DI4" s="205"/>
      <c r="DJ4" s="205"/>
      <c r="DK4" s="205"/>
      <c r="DL4" s="205"/>
      <c r="DM4" s="205"/>
      <c r="DN4" s="205"/>
      <c r="DO4" s="205"/>
      <c r="DP4" s="205"/>
      <c r="DQ4" s="205"/>
      <c r="DR4" s="205"/>
      <c r="DS4" s="205"/>
      <c r="DT4" s="205"/>
      <c r="DU4" s="205"/>
      <c r="DV4" s="205"/>
      <c r="DW4" s="205"/>
      <c r="DX4" s="205"/>
      <c r="DY4" s="205"/>
      <c r="DZ4" s="205"/>
      <c r="EA4" s="205"/>
      <c r="EB4" s="205"/>
      <c r="EC4" s="205"/>
      <c r="ED4" s="205"/>
      <c r="EE4" s="205"/>
      <c r="EF4" s="205"/>
      <c r="EG4" s="205"/>
      <c r="EH4" s="205"/>
      <c r="EI4" s="205"/>
      <c r="EJ4" s="205"/>
      <c r="EK4" s="205"/>
      <c r="EL4" s="205"/>
      <c r="EM4" s="205"/>
      <c r="EN4" s="205"/>
      <c r="EO4" s="205"/>
      <c r="EP4" s="205"/>
      <c r="EQ4" s="205"/>
      <c r="ER4" s="205"/>
      <c r="ES4" s="205"/>
      <c r="ET4" s="205"/>
      <c r="EU4" s="205"/>
      <c r="EV4" s="205"/>
      <c r="EW4" s="205"/>
      <c r="EX4" s="205"/>
      <c r="EY4" s="205"/>
      <c r="EZ4" s="205"/>
      <c r="FA4" s="205"/>
      <c r="FB4" s="205"/>
      <c r="FC4" s="205"/>
      <c r="FD4" s="205"/>
      <c r="FE4" s="205"/>
      <c r="FF4" s="205"/>
      <c r="FG4" s="205"/>
      <c r="FH4" s="205"/>
      <c r="FI4" s="205"/>
      <c r="FJ4" s="205"/>
      <c r="FK4" s="205"/>
      <c r="FL4" s="205"/>
      <c r="FM4" s="205"/>
      <c r="FN4" s="205"/>
      <c r="FO4" s="205"/>
      <c r="FP4" s="205"/>
      <c r="FQ4" s="205"/>
      <c r="FR4" s="205"/>
      <c r="FS4" s="205"/>
      <c r="FT4" s="205"/>
      <c r="FU4" s="205"/>
      <c r="FV4" s="205"/>
      <c r="FW4" s="205"/>
      <c r="FX4" s="205"/>
      <c r="FY4" s="205"/>
      <c r="FZ4" s="205"/>
      <c r="GA4" s="205"/>
      <c r="GB4" s="205"/>
      <c r="GC4" s="205"/>
      <c r="GD4" s="205"/>
      <c r="GE4" s="205"/>
      <c r="GF4" s="205"/>
      <c r="GG4" s="205"/>
      <c r="GH4" s="205"/>
      <c r="GI4" s="205"/>
      <c r="GJ4" s="205"/>
      <c r="GK4" s="205"/>
      <c r="GL4" s="205"/>
      <c r="GM4" s="205"/>
      <c r="GN4" s="205"/>
      <c r="GO4" s="205"/>
      <c r="GP4" s="205"/>
      <c r="GQ4" s="205"/>
      <c r="GR4" s="205"/>
      <c r="GS4" s="205"/>
      <c r="GT4" s="205"/>
      <c r="GU4" s="205"/>
      <c r="GV4" s="205"/>
      <c r="GW4" s="205"/>
      <c r="GX4" s="205"/>
      <c r="GY4" s="205"/>
      <c r="GZ4" s="205"/>
      <c r="HA4" s="205"/>
      <c r="HB4" s="205"/>
      <c r="HC4" s="205"/>
      <c r="HD4" s="205"/>
      <c r="HE4" s="205"/>
      <c r="HF4" s="205"/>
      <c r="HG4" s="205"/>
      <c r="HH4" s="205"/>
      <c r="HI4" s="205"/>
      <c r="HJ4" s="205"/>
      <c r="HK4" s="205"/>
      <c r="HL4" s="205"/>
      <c r="HM4" s="205"/>
      <c r="HN4" s="205"/>
      <c r="HO4" s="205"/>
      <c r="HP4" s="205"/>
      <c r="HQ4" s="205"/>
      <c r="HR4" s="205"/>
      <c r="HS4" s="205"/>
      <c r="HT4" s="205"/>
      <c r="HU4" s="205"/>
      <c r="HV4" s="205"/>
      <c r="HW4" s="205"/>
      <c r="HX4" s="205"/>
      <c r="HY4" s="205"/>
      <c r="HZ4" s="205"/>
      <c r="IA4" s="205"/>
      <c r="IB4" s="205"/>
      <c r="IC4" s="205"/>
      <c r="ID4" s="205"/>
      <c r="IE4" s="205"/>
      <c r="IF4" s="205"/>
      <c r="IG4" s="205"/>
      <c r="IH4" s="205"/>
      <c r="II4" s="205"/>
      <c r="IJ4" s="205"/>
      <c r="IK4" s="205"/>
      <c r="IL4" s="205"/>
      <c r="IM4" s="205"/>
      <c r="IN4" s="205"/>
      <c r="IO4" s="205"/>
      <c r="IP4" s="205"/>
      <c r="IQ4" s="205"/>
      <c r="IR4" s="205"/>
      <c r="IS4" s="205"/>
      <c r="IT4" s="205"/>
      <c r="IU4" s="205"/>
      <c r="IV4" s="205"/>
      <c r="IW4" s="205"/>
      <c r="IX4" s="205"/>
      <c r="IY4" s="205"/>
      <c r="IZ4" s="3"/>
      <c r="JA4" s="3"/>
      <c r="JB4" s="3"/>
      <c r="JC4" s="3"/>
      <c r="JD4" s="3"/>
      <c r="JE4" s="3"/>
      <c r="JF4" s="3"/>
      <c r="JG4" s="3"/>
      <c r="JH4" s="3"/>
      <c r="JI4" s="3"/>
      <c r="JJ4" s="3"/>
      <c r="JK4" s="3"/>
      <c r="JL4" s="3"/>
      <c r="JM4" s="3"/>
      <c r="JN4" s="3"/>
      <c r="JO4" s="3"/>
      <c r="JP4" s="3"/>
      <c r="JQ4" s="3"/>
      <c r="JR4" s="3"/>
      <c r="JS4" s="3"/>
      <c r="JT4" s="3"/>
      <c r="JU4" s="3"/>
      <c r="JV4" s="3"/>
      <c r="JW4" s="3"/>
      <c r="JX4" s="3"/>
      <c r="JY4" s="3"/>
      <c r="JZ4" s="3"/>
      <c r="KA4" s="3"/>
      <c r="KB4" s="3"/>
      <c r="KC4" s="3"/>
      <c r="KD4" s="3"/>
      <c r="KE4" s="3"/>
      <c r="KF4" s="3"/>
      <c r="KG4" s="3"/>
      <c r="KH4" s="3"/>
      <c r="KI4" s="3"/>
      <c r="KJ4" s="3"/>
      <c r="KK4" s="3"/>
      <c r="KL4" s="3"/>
      <c r="KM4" s="3"/>
      <c r="KN4" s="3"/>
      <c r="KO4" s="3"/>
      <c r="KP4" s="3"/>
      <c r="KQ4" s="3"/>
      <c r="KR4" s="3"/>
      <c r="KS4" s="3"/>
      <c r="KT4" s="3"/>
      <c r="KU4" s="3"/>
      <c r="KV4" s="3"/>
      <c r="KW4" s="3"/>
      <c r="KX4" s="3"/>
      <c r="KY4" s="3"/>
      <c r="KZ4" s="3"/>
      <c r="LA4" s="3"/>
      <c r="LB4" s="3"/>
      <c r="LC4" s="3"/>
      <c r="LD4" s="3"/>
      <c r="LE4" s="3"/>
      <c r="LF4" s="3"/>
      <c r="LG4" s="3"/>
      <c r="LH4" s="3"/>
      <c r="LI4" s="3"/>
      <c r="LJ4" s="3"/>
      <c r="LK4" s="3"/>
      <c r="LL4" s="3"/>
      <c r="LM4" s="3"/>
      <c r="LN4" s="3"/>
      <c r="LO4" s="3"/>
      <c r="LP4" s="3"/>
      <c r="LQ4" s="3"/>
      <c r="LR4" s="3"/>
      <c r="LS4" s="3"/>
      <c r="LT4" s="3"/>
      <c r="LU4" s="3"/>
      <c r="LV4" s="3"/>
      <c r="LW4" s="3"/>
      <c r="LX4" s="3"/>
      <c r="LY4" s="3"/>
      <c r="LZ4" s="3"/>
      <c r="MA4" s="3"/>
      <c r="MB4" s="3"/>
      <c r="MC4" s="3"/>
      <c r="MD4" s="3"/>
      <c r="ME4" s="3"/>
      <c r="MF4" s="3"/>
      <c r="MG4" s="3"/>
      <c r="MH4" s="3"/>
      <c r="MI4" s="3"/>
      <c r="MJ4" s="3"/>
      <c r="MK4" s="3"/>
      <c r="ML4" s="3"/>
      <c r="MM4" s="3"/>
      <c r="MN4" s="3"/>
      <c r="MO4" s="3"/>
      <c r="MP4" s="3"/>
      <c r="MQ4" s="3"/>
      <c r="MR4" s="3"/>
      <c r="MS4" s="3"/>
      <c r="MT4" s="3"/>
      <c r="MU4" s="3"/>
      <c r="MV4" s="3"/>
      <c r="MW4" s="3"/>
      <c r="MX4" s="3"/>
      <c r="MY4" s="3"/>
      <c r="MZ4" s="3"/>
      <c r="NA4" s="3"/>
      <c r="NB4" s="3"/>
      <c r="NC4" s="3"/>
      <c r="ND4" s="3"/>
      <c r="NE4" s="3"/>
      <c r="NF4" s="3"/>
      <c r="NG4" s="3"/>
      <c r="NH4" s="3"/>
      <c r="NI4" s="3"/>
      <c r="NJ4" s="3"/>
      <c r="NK4" s="3"/>
      <c r="NL4" s="3"/>
      <c r="NM4" s="3"/>
      <c r="NN4" s="3"/>
      <c r="NO4" s="3"/>
      <c r="NP4" s="3"/>
      <c r="NQ4" s="3"/>
      <c r="NR4" s="3"/>
      <c r="NS4" s="3"/>
      <c r="NT4" s="3"/>
      <c r="NU4" s="3"/>
      <c r="NV4" s="3"/>
      <c r="NW4" s="3"/>
      <c r="NX4" s="3"/>
      <c r="NY4" s="3"/>
      <c r="NZ4" s="3"/>
      <c r="OA4" s="3"/>
      <c r="OB4" s="3"/>
      <c r="OC4" s="3"/>
      <c r="OD4" s="3"/>
      <c r="OE4" s="3"/>
      <c r="OF4" s="3"/>
      <c r="OG4" s="3"/>
      <c r="OH4" s="3"/>
      <c r="OI4" s="3"/>
      <c r="OJ4" s="3"/>
      <c r="OK4" s="3"/>
      <c r="OL4" s="3"/>
      <c r="OM4" s="3"/>
      <c r="ON4" s="3"/>
      <c r="OO4" s="3"/>
      <c r="OP4" s="3"/>
      <c r="OQ4" s="3"/>
      <c r="OR4" s="3"/>
      <c r="OS4" s="3"/>
      <c r="OT4" s="3"/>
      <c r="OU4" s="3"/>
      <c r="OV4" s="3"/>
      <c r="OW4" s="3"/>
      <c r="OX4" s="3"/>
      <c r="OY4" s="3"/>
      <c r="OZ4" s="3"/>
      <c r="PA4" s="3"/>
      <c r="PB4" s="3"/>
      <c r="PC4" s="3"/>
      <c r="PD4" s="3"/>
      <c r="PE4" s="3"/>
      <c r="PF4" s="3"/>
      <c r="PG4" s="3"/>
      <c r="PH4" s="3"/>
      <c r="PI4" s="3"/>
      <c r="PJ4" s="3"/>
      <c r="PK4" s="3"/>
      <c r="PL4" s="3"/>
      <c r="PM4" s="3"/>
      <c r="PN4" s="3"/>
      <c r="PO4" s="3"/>
      <c r="PP4" s="3"/>
      <c r="PQ4" s="3"/>
      <c r="PR4" s="3"/>
      <c r="PS4" s="3"/>
      <c r="PT4" s="3"/>
      <c r="PU4" s="3"/>
      <c r="PV4" s="3"/>
      <c r="PW4" s="3"/>
      <c r="PX4" s="3"/>
      <c r="PY4" s="3"/>
      <c r="PZ4" s="3"/>
      <c r="QA4" s="3"/>
      <c r="QB4" s="3"/>
      <c r="QC4" s="3"/>
      <c r="QD4" s="3"/>
      <c r="QE4" s="3"/>
      <c r="QF4" s="3"/>
      <c r="QG4" s="3"/>
      <c r="QH4" s="3"/>
      <c r="QI4" s="3"/>
      <c r="QJ4" s="3"/>
      <c r="QK4" s="3"/>
      <c r="QL4" s="3"/>
      <c r="QM4" s="3"/>
      <c r="QN4" s="3"/>
      <c r="QO4" s="3"/>
      <c r="QP4" s="3"/>
      <c r="QQ4" s="3"/>
      <c r="QR4" s="3"/>
      <c r="QS4" s="3"/>
      <c r="QT4" s="3"/>
      <c r="QU4" s="3"/>
      <c r="QV4" s="3"/>
      <c r="QW4" s="3"/>
      <c r="QX4" s="3"/>
      <c r="QY4" s="3"/>
      <c r="QZ4" s="3"/>
      <c r="RA4" s="3"/>
      <c r="RB4" s="3"/>
      <c r="RC4" s="3"/>
      <c r="RD4" s="3"/>
      <c r="RE4" s="3"/>
      <c r="RF4" s="3"/>
      <c r="RG4" s="3"/>
      <c r="RH4" s="3"/>
      <c r="RI4" s="3"/>
      <c r="RJ4" s="3"/>
      <c r="RK4" s="3"/>
      <c r="RL4" s="3"/>
      <c r="RM4" s="3"/>
      <c r="RN4" s="3"/>
      <c r="RO4" s="3"/>
      <c r="RP4" s="3"/>
      <c r="RQ4" s="3"/>
      <c r="RR4" s="3"/>
      <c r="RS4" s="3"/>
      <c r="RT4" s="3"/>
      <c r="RU4" s="3"/>
      <c r="RV4" s="3"/>
      <c r="RW4" s="3"/>
      <c r="RX4" s="3"/>
      <c r="RY4" s="3"/>
      <c r="RZ4" s="3"/>
      <c r="SA4" s="3"/>
      <c r="SB4" s="3"/>
      <c r="SC4" s="3"/>
      <c r="SD4" s="3"/>
      <c r="SE4" s="3"/>
      <c r="SF4" s="3"/>
      <c r="SG4" s="3"/>
      <c r="SH4" s="3"/>
      <c r="SI4" s="3"/>
      <c r="SJ4" s="3"/>
      <c r="SK4" s="3"/>
      <c r="SL4" s="3"/>
      <c r="SM4" s="3"/>
      <c r="SN4" s="3"/>
      <c r="SO4" s="3"/>
      <c r="SP4" s="3"/>
      <c r="SQ4" s="3"/>
      <c r="SR4" s="3"/>
      <c r="SS4" s="3"/>
      <c r="ST4" s="3"/>
      <c r="SU4" s="3"/>
      <c r="SV4" s="3"/>
      <c r="SW4" s="3"/>
      <c r="SX4" s="3"/>
      <c r="SY4" s="3"/>
      <c r="SZ4" s="3"/>
      <c r="TA4" s="3"/>
      <c r="TB4" s="3"/>
      <c r="TC4" s="3"/>
      <c r="TD4" s="3"/>
      <c r="TE4" s="3"/>
      <c r="TF4" s="3"/>
      <c r="TG4" s="3"/>
      <c r="TH4" s="3"/>
      <c r="TI4" s="3"/>
      <c r="TJ4" s="3"/>
      <c r="TK4" s="3"/>
      <c r="TL4" s="3"/>
      <c r="TM4" s="3"/>
      <c r="TN4" s="3"/>
      <c r="TO4" s="3"/>
      <c r="TP4" s="3"/>
      <c r="TQ4" s="3"/>
      <c r="TR4" s="3"/>
      <c r="TS4" s="3"/>
      <c r="TT4" s="3"/>
      <c r="TU4" s="3"/>
      <c r="TV4" s="3"/>
      <c r="TW4" s="3"/>
      <c r="TX4" s="3"/>
      <c r="TY4" s="3"/>
      <c r="TZ4" s="3"/>
      <c r="UA4" s="3"/>
      <c r="UB4" s="3"/>
      <c r="UC4" s="3"/>
      <c r="UD4" s="3"/>
      <c r="UE4" s="3"/>
      <c r="UF4" s="3"/>
      <c r="UG4" s="3"/>
      <c r="UH4" s="3"/>
      <c r="UI4" s="3"/>
      <c r="UJ4" s="3"/>
      <c r="UK4" s="3"/>
      <c r="UL4" s="3"/>
      <c r="UM4" s="3"/>
      <c r="UN4" s="3"/>
      <c r="UO4" s="3"/>
      <c r="UP4" s="3"/>
      <c r="UQ4" s="3"/>
      <c r="UR4" s="3"/>
      <c r="US4" s="3"/>
      <c r="UT4" s="3"/>
      <c r="UU4" s="3"/>
      <c r="UV4" s="3"/>
      <c r="UW4" s="3"/>
      <c r="UX4" s="3"/>
      <c r="UY4" s="3"/>
      <c r="UZ4" s="3"/>
      <c r="VA4" s="3"/>
      <c r="VB4" s="3"/>
      <c r="VC4" s="3"/>
      <c r="VD4" s="3"/>
      <c r="VE4" s="3"/>
      <c r="VF4" s="3"/>
      <c r="VG4" s="3"/>
      <c r="VH4" s="3"/>
      <c r="VI4" s="3"/>
      <c r="VJ4" s="3"/>
      <c r="VK4" s="3"/>
      <c r="VL4" s="3"/>
      <c r="VM4" s="3"/>
      <c r="VN4" s="3"/>
      <c r="VO4" s="3"/>
      <c r="VP4" s="3"/>
      <c r="VQ4" s="3"/>
      <c r="VR4" s="3"/>
      <c r="VS4" s="3"/>
      <c r="VT4" s="3"/>
      <c r="VU4" s="3"/>
      <c r="VV4" s="3"/>
      <c r="VW4" s="3"/>
      <c r="VX4" s="3"/>
      <c r="VY4" s="3"/>
      <c r="VZ4" s="3"/>
      <c r="WA4" s="3"/>
      <c r="WB4" s="3"/>
      <c r="WC4" s="3"/>
      <c r="WD4" s="3"/>
      <c r="WE4" s="3"/>
      <c r="WF4" s="3"/>
      <c r="WG4" s="3"/>
      <c r="WH4" s="3"/>
      <c r="WI4" s="3"/>
      <c r="WJ4" s="3"/>
      <c r="WK4" s="3"/>
      <c r="WL4" s="3"/>
      <c r="WM4" s="3"/>
      <c r="WN4" s="3"/>
      <c r="WO4" s="3"/>
      <c r="WP4" s="3"/>
      <c r="WQ4" s="3"/>
      <c r="WR4" s="3"/>
      <c r="WS4" s="3"/>
      <c r="WT4" s="3"/>
      <c r="WU4" s="3"/>
      <c r="WV4" s="3"/>
      <c r="WW4" s="3"/>
      <c r="WX4" s="3"/>
      <c r="WY4" s="3"/>
      <c r="WZ4" s="3"/>
      <c r="XA4" s="3"/>
      <c r="XB4" s="3"/>
      <c r="XC4" s="3"/>
      <c r="XD4" s="3"/>
      <c r="XE4" s="3"/>
      <c r="XF4" s="3"/>
      <c r="XG4" s="3"/>
      <c r="XH4" s="3"/>
      <c r="XI4" s="3"/>
      <c r="XJ4" s="3"/>
      <c r="XK4" s="3"/>
      <c r="XL4" s="3"/>
      <c r="XM4" s="3"/>
      <c r="XN4" s="3"/>
      <c r="XO4" s="3"/>
      <c r="XP4" s="3"/>
      <c r="XQ4" s="3"/>
      <c r="XR4" s="3"/>
      <c r="XS4" s="3"/>
      <c r="XT4" s="3"/>
      <c r="XU4" s="3"/>
      <c r="XV4" s="3"/>
      <c r="XW4" s="3"/>
      <c r="XX4" s="3"/>
      <c r="XY4" s="3"/>
      <c r="XZ4" s="3"/>
      <c r="YA4" s="3"/>
      <c r="YB4" s="3"/>
      <c r="YC4" s="3"/>
      <c r="YD4" s="3"/>
      <c r="YE4" s="3"/>
      <c r="YF4" s="3"/>
      <c r="YG4" s="3"/>
      <c r="YH4" s="3"/>
      <c r="YI4" s="3"/>
      <c r="YJ4" s="3"/>
      <c r="YK4" s="3"/>
      <c r="YL4" s="3"/>
      <c r="YM4" s="3"/>
      <c r="YN4" s="3"/>
      <c r="YO4" s="3"/>
      <c r="YP4" s="3"/>
      <c r="YQ4" s="3"/>
      <c r="YR4" s="3"/>
      <c r="YS4" s="3"/>
      <c r="YT4" s="3"/>
      <c r="YU4" s="3"/>
      <c r="YV4" s="3"/>
      <c r="YW4" s="3"/>
      <c r="YX4" s="3"/>
      <c r="YY4" s="3"/>
      <c r="YZ4" s="3"/>
      <c r="ZA4" s="3"/>
      <c r="ZB4" s="3"/>
      <c r="ZC4" s="3"/>
      <c r="ZD4" s="3"/>
      <c r="ZE4" s="3"/>
      <c r="ZF4" s="3"/>
      <c r="ZG4" s="3"/>
      <c r="ZH4" s="3"/>
      <c r="ZI4" s="3"/>
      <c r="ZJ4" s="3"/>
      <c r="ZK4" s="3"/>
      <c r="ZL4" s="3"/>
      <c r="ZM4" s="3"/>
      <c r="ZN4" s="3"/>
      <c r="ZO4" s="3"/>
      <c r="ZP4" s="3"/>
      <c r="ZQ4" s="3"/>
      <c r="ZR4" s="3"/>
      <c r="ZS4" s="3"/>
      <c r="ZT4" s="3"/>
      <c r="ZU4" s="3"/>
      <c r="ZV4" s="3"/>
      <c r="ZW4" s="3"/>
      <c r="ZX4" s="3"/>
      <c r="ZY4" s="3"/>
      <c r="ZZ4" s="3"/>
      <c r="AAA4" s="3"/>
      <c r="AAB4" s="3"/>
      <c r="AAC4" s="3"/>
      <c r="AAD4" s="3"/>
      <c r="AAE4" s="3"/>
      <c r="AAF4" s="3"/>
      <c r="AAG4" s="3"/>
      <c r="AAH4" s="3"/>
      <c r="AAI4" s="3"/>
      <c r="AAJ4" s="3"/>
      <c r="AAK4" s="3"/>
      <c r="AAL4" s="3"/>
      <c r="AAM4" s="3"/>
      <c r="AAN4" s="3"/>
      <c r="AAO4" s="3"/>
      <c r="AAP4" s="3"/>
      <c r="AAQ4" s="3"/>
      <c r="AAR4" s="3"/>
      <c r="AAS4" s="3"/>
      <c r="AAT4" s="3"/>
      <c r="AAU4" s="3"/>
      <c r="AAV4" s="3"/>
      <c r="AAW4" s="3"/>
      <c r="AAX4" s="3"/>
      <c r="AAY4" s="3"/>
      <c r="AAZ4" s="3"/>
      <c r="ABA4" s="3"/>
      <c r="ABB4" s="3"/>
      <c r="ABC4" s="3"/>
      <c r="ABD4" s="3"/>
      <c r="ABE4" s="3"/>
      <c r="ABF4" s="3"/>
      <c r="ABG4" s="3"/>
      <c r="ABH4" s="3"/>
      <c r="ABI4" s="3"/>
      <c r="ABJ4" s="3"/>
      <c r="ABK4" s="3"/>
      <c r="ABL4" s="3"/>
      <c r="ABM4" s="3"/>
      <c r="ABN4" s="3"/>
      <c r="ABO4" s="3"/>
      <c r="ABP4" s="3"/>
      <c r="ABQ4" s="3"/>
      <c r="ABR4" s="3"/>
      <c r="ABS4" s="3"/>
      <c r="ABT4" s="3"/>
      <c r="ABU4" s="3"/>
      <c r="ABV4" s="3"/>
      <c r="ABW4" s="3"/>
      <c r="ABX4" s="3"/>
      <c r="ABY4" s="3"/>
      <c r="ABZ4" s="3"/>
      <c r="ACA4" s="3"/>
      <c r="ACB4" s="3"/>
      <c r="ACC4" s="3"/>
      <c r="ACD4" s="3"/>
      <c r="ACE4" s="3"/>
      <c r="ACF4" s="3"/>
      <c r="ACG4" s="3"/>
      <c r="ACH4" s="3"/>
      <c r="ACI4" s="3"/>
      <c r="ACJ4" s="3"/>
      <c r="ACK4" s="3"/>
      <c r="ACL4" s="3"/>
      <c r="ACM4" s="3"/>
      <c r="ACN4" s="3"/>
      <c r="ACO4" s="3"/>
      <c r="ACP4" s="3"/>
      <c r="ACQ4" s="3"/>
      <c r="ACR4" s="3"/>
      <c r="ACS4" s="3"/>
      <c r="ACT4" s="3"/>
      <c r="ACU4" s="3"/>
      <c r="ACV4" s="3"/>
      <c r="ACW4" s="3"/>
      <c r="ACX4" s="3"/>
      <c r="ACY4" s="3"/>
      <c r="ACZ4" s="3"/>
      <c r="ADA4" s="3"/>
      <c r="ADB4" s="3"/>
      <c r="ADC4" s="3"/>
      <c r="ADD4" s="3"/>
      <c r="ADE4" s="3"/>
      <c r="ADF4" s="3"/>
      <c r="ADG4" s="3"/>
      <c r="ADH4" s="3"/>
      <c r="ADI4" s="3"/>
      <c r="ADJ4" s="3"/>
      <c r="ADK4" s="3"/>
      <c r="ADL4" s="3"/>
      <c r="ADM4" s="3"/>
      <c r="ADN4" s="3"/>
      <c r="ADO4" s="3"/>
      <c r="ADP4" s="3"/>
      <c r="ADQ4" s="3"/>
      <c r="ADR4" s="3"/>
      <c r="ADS4" s="3"/>
      <c r="ADT4" s="3"/>
      <c r="ADU4" s="3"/>
      <c r="ADV4" s="3"/>
      <c r="ADW4" s="3"/>
      <c r="ADX4" s="3"/>
      <c r="ADY4" s="3"/>
      <c r="ADZ4" s="3"/>
      <c r="AEA4" s="3"/>
      <c r="AEB4" s="3"/>
      <c r="AEC4" s="3"/>
      <c r="AED4" s="3"/>
      <c r="AEE4" s="3"/>
      <c r="AEF4" s="3"/>
      <c r="AEG4" s="3"/>
      <c r="AEH4" s="3"/>
      <c r="AEI4" s="3"/>
      <c r="AEJ4" s="3"/>
      <c r="AEK4" s="3"/>
      <c r="AEL4" s="3"/>
      <c r="AEM4" s="3"/>
      <c r="AEN4" s="3"/>
      <c r="AEO4" s="3"/>
      <c r="AEP4" s="3"/>
      <c r="AEQ4" s="3"/>
      <c r="AER4" s="3"/>
      <c r="AES4" s="3"/>
      <c r="AET4" s="3"/>
      <c r="AEU4" s="3"/>
      <c r="AEV4" s="3"/>
      <c r="AEW4" s="3"/>
      <c r="AEX4" s="3"/>
      <c r="AEY4" s="3"/>
      <c r="AEZ4" s="3"/>
      <c r="AFA4" s="3"/>
      <c r="AFB4" s="3"/>
      <c r="AFC4" s="3"/>
      <c r="AFD4" s="3"/>
      <c r="AFE4" s="3"/>
      <c r="AFF4" s="3"/>
      <c r="AFG4" s="3"/>
      <c r="AFH4" s="3"/>
      <c r="AFI4" s="3"/>
      <c r="AFJ4" s="3"/>
      <c r="AFK4" s="3"/>
      <c r="AFL4" s="3"/>
      <c r="AFM4" s="3"/>
      <c r="AFN4" s="3"/>
      <c r="AFO4" s="3"/>
      <c r="AFP4" s="3"/>
      <c r="AFQ4" s="3"/>
      <c r="AFR4" s="3"/>
      <c r="AFS4" s="3"/>
      <c r="AFT4" s="3"/>
      <c r="AFU4" s="3"/>
      <c r="AFV4" s="3"/>
      <c r="AFW4" s="3"/>
      <c r="AFX4" s="3"/>
      <c r="AFY4" s="3"/>
      <c r="AFZ4" s="3"/>
      <c r="AGA4" s="3"/>
      <c r="AGB4" s="3"/>
      <c r="AGC4" s="3"/>
      <c r="AGD4" s="3"/>
      <c r="AGE4" s="3"/>
      <c r="AGF4" s="3"/>
      <c r="AGG4" s="3"/>
      <c r="AGH4" s="3"/>
      <c r="AGI4" s="3"/>
      <c r="AGJ4" s="3"/>
      <c r="AGK4" s="3"/>
      <c r="AGL4" s="3"/>
      <c r="AGM4" s="3"/>
      <c r="AGN4" s="3"/>
      <c r="AGO4" s="3"/>
      <c r="AGP4" s="3"/>
      <c r="AGQ4" s="3"/>
      <c r="AGR4" s="3"/>
      <c r="AGS4" s="3"/>
      <c r="AGT4" s="3"/>
      <c r="AGU4" s="3"/>
      <c r="AGV4" s="3"/>
      <c r="AGW4" s="3"/>
      <c r="AGX4" s="3"/>
      <c r="AGY4" s="3"/>
      <c r="AGZ4" s="3"/>
      <c r="AHA4" s="3"/>
      <c r="AHB4" s="3"/>
      <c r="AHC4" s="3"/>
      <c r="AHD4" s="3"/>
      <c r="AHE4" s="3"/>
      <c r="AHF4" s="3"/>
      <c r="AHG4" s="3"/>
      <c r="AHH4" s="3"/>
      <c r="AHI4" s="3"/>
      <c r="AHJ4" s="3"/>
      <c r="AHK4" s="3"/>
      <c r="AHL4" s="3"/>
      <c r="AHM4" s="3"/>
      <c r="AHN4" s="3"/>
      <c r="AHO4" s="3"/>
      <c r="AHP4" s="3"/>
      <c r="AHQ4" s="3"/>
      <c r="AHR4" s="3"/>
      <c r="AHS4" s="3"/>
      <c r="AHT4" s="3"/>
      <c r="AHU4" s="3"/>
      <c r="AHV4" s="3"/>
      <c r="AHW4" s="3"/>
      <c r="AHX4" s="3"/>
      <c r="AHY4" s="3"/>
      <c r="AHZ4" s="3"/>
      <c r="AIA4" s="3"/>
      <c r="AIB4" s="3"/>
      <c r="AIC4" s="3"/>
      <c r="AID4" s="3"/>
      <c r="AIE4" s="3"/>
      <c r="AIF4" s="3"/>
      <c r="AIG4" s="3"/>
      <c r="AIH4" s="3"/>
      <c r="AII4" s="3"/>
      <c r="AIJ4" s="3"/>
      <c r="AIK4" s="3"/>
      <c r="AIL4" s="3"/>
      <c r="AIM4" s="3"/>
      <c r="AIN4" s="3"/>
      <c r="AIO4" s="3"/>
      <c r="AIP4" s="3"/>
      <c r="AIQ4" s="3"/>
      <c r="AIR4" s="3"/>
      <c r="AIS4" s="3"/>
      <c r="AIT4" s="3"/>
      <c r="AIU4" s="3"/>
      <c r="AIV4" s="3"/>
      <c r="AIW4" s="3"/>
      <c r="AIX4" s="3"/>
      <c r="AIY4" s="3"/>
      <c r="AIZ4" s="3"/>
      <c r="AJA4" s="3"/>
      <c r="AJB4" s="3"/>
      <c r="AJC4" s="3"/>
      <c r="AJD4" s="3"/>
      <c r="AJE4" s="3"/>
      <c r="AJF4" s="3"/>
      <c r="AJG4" s="3"/>
      <c r="AJH4" s="3"/>
      <c r="AJI4" s="3"/>
      <c r="AJJ4" s="3"/>
      <c r="AJK4" s="3"/>
      <c r="AJL4" s="3"/>
      <c r="AJM4" s="3"/>
      <c r="AJN4" s="3"/>
      <c r="AJO4" s="3"/>
      <c r="AJP4" s="3"/>
      <c r="AJQ4" s="3"/>
      <c r="AJR4" s="3"/>
      <c r="AJS4" s="3"/>
      <c r="AJT4" s="3"/>
      <c r="AJU4" s="3"/>
      <c r="AJV4" s="3"/>
      <c r="AJW4" s="3"/>
      <c r="AJX4" s="3"/>
      <c r="AJY4" s="3"/>
      <c r="AJZ4" s="3"/>
      <c r="AKA4" s="3"/>
      <c r="AKB4" s="3"/>
      <c r="AKC4" s="3"/>
      <c r="AKD4" s="3"/>
      <c r="AKE4" s="3"/>
      <c r="AKF4" s="3"/>
      <c r="AKG4" s="3"/>
      <c r="AKH4" s="3"/>
      <c r="AKI4" s="3"/>
      <c r="AKJ4" s="3"/>
      <c r="AKK4" s="3"/>
      <c r="AKL4" s="3"/>
      <c r="AKM4" s="3"/>
      <c r="AKN4" s="3"/>
      <c r="AKO4" s="3"/>
      <c r="AKP4" s="3"/>
      <c r="AKQ4" s="3"/>
      <c r="AKR4" s="3"/>
      <c r="AKS4" s="3"/>
      <c r="AKT4" s="3"/>
      <c r="AKU4" s="3"/>
      <c r="AKV4" s="3"/>
      <c r="AKW4" s="3"/>
      <c r="AKX4" s="3"/>
      <c r="AKY4" s="3"/>
      <c r="AKZ4" s="3"/>
      <c r="ALA4" s="3"/>
      <c r="ALB4" s="3"/>
      <c r="ALC4" s="3"/>
      <c r="ALD4" s="3"/>
      <c r="ALE4" s="3"/>
      <c r="ALF4" s="3"/>
      <c r="ALG4" s="3"/>
      <c r="ALH4" s="3"/>
      <c r="ALI4" s="3"/>
      <c r="ALJ4" s="3"/>
      <c r="ALK4" s="3"/>
      <c r="ALL4" s="3"/>
      <c r="ALM4" s="3"/>
      <c r="ALN4" s="3"/>
      <c r="ALO4" s="3"/>
      <c r="ALP4" s="3"/>
      <c r="ALQ4" s="3"/>
      <c r="ALR4" s="3"/>
      <c r="ALS4" s="3"/>
      <c r="ALT4" s="3"/>
      <c r="ALU4" s="3"/>
      <c r="ALV4" s="3"/>
      <c r="ALW4" s="3"/>
      <c r="ALX4" s="3"/>
      <c r="ALY4" s="3"/>
      <c r="ALZ4" s="3"/>
      <c r="AMA4" s="3"/>
      <c r="AMB4" s="3"/>
      <c r="AMC4" s="3"/>
      <c r="AMD4" s="3"/>
      <c r="AME4" s="3"/>
      <c r="AMF4" s="3"/>
      <c r="AMG4" s="3"/>
      <c r="AMH4" s="3"/>
      <c r="AMI4" s="3"/>
      <c r="AMJ4" s="3"/>
      <c r="AMK4" s="3"/>
      <c r="AML4" s="3"/>
      <c r="AMM4" s="3"/>
      <c r="AMN4" s="3"/>
      <c r="AMO4" s="3"/>
      <c r="AMP4" s="3"/>
      <c r="AMQ4" s="3"/>
      <c r="AMR4" s="3"/>
      <c r="AMS4" s="3"/>
      <c r="AMT4" s="3"/>
      <c r="AMU4" s="3"/>
      <c r="AMV4" s="3"/>
      <c r="AMW4" s="3"/>
      <c r="AMX4" s="3"/>
      <c r="AMY4" s="3"/>
      <c r="AMZ4" s="3"/>
      <c r="ANA4" s="3"/>
      <c r="ANB4" s="3"/>
      <c r="ANC4" s="3"/>
      <c r="AND4" s="3"/>
      <c r="ANE4" s="3"/>
      <c r="ANF4" s="3"/>
      <c r="ANG4" s="3"/>
      <c r="ANH4" s="3"/>
      <c r="ANI4" s="3"/>
      <c r="ANJ4" s="3"/>
      <c r="ANK4" s="3"/>
      <c r="ANL4" s="3"/>
      <c r="ANM4" s="3"/>
      <c r="ANN4" s="3"/>
      <c r="ANO4" s="3"/>
      <c r="ANP4" s="3"/>
      <c r="ANQ4" s="3"/>
      <c r="ANR4" s="3"/>
      <c r="ANS4" s="3"/>
      <c r="ANT4" s="3"/>
      <c r="ANU4" s="3"/>
      <c r="ANV4" s="3"/>
      <c r="ANW4" s="3"/>
      <c r="ANX4" s="3"/>
      <c r="ANY4" s="3"/>
      <c r="ANZ4" s="3"/>
      <c r="AOA4" s="3"/>
      <c r="AOB4" s="3"/>
      <c r="AOC4" s="3"/>
      <c r="AOD4" s="3"/>
      <c r="AOE4" s="3"/>
      <c r="AOF4" s="3"/>
      <c r="AOG4" s="3"/>
      <c r="AOH4" s="3"/>
      <c r="AOI4" s="3"/>
      <c r="AOJ4" s="3"/>
      <c r="AOK4" s="3"/>
    </row>
    <row r="5" spans="1:1077" s="206" customFormat="1" ht="15" customHeight="1" x14ac:dyDescent="0.2">
      <c r="A5" s="195">
        <v>0</v>
      </c>
      <c r="B5" s="196"/>
      <c r="C5" s="196"/>
      <c r="D5" s="197" t="s">
        <v>425</v>
      </c>
      <c r="E5" s="198">
        <v>1</v>
      </c>
      <c r="F5" s="197" t="s">
        <v>535</v>
      </c>
      <c r="G5" s="198">
        <v>1</v>
      </c>
      <c r="H5" s="199" t="s">
        <v>426</v>
      </c>
      <c r="I5" s="197">
        <v>2</v>
      </c>
      <c r="J5" s="197">
        <v>1</v>
      </c>
      <c r="K5" s="197">
        <v>1</v>
      </c>
      <c r="L5" s="198" t="s">
        <v>543</v>
      </c>
      <c r="M5" s="198"/>
      <c r="N5" s="200"/>
      <c r="O5" s="200" t="s">
        <v>536</v>
      </c>
      <c r="P5" s="201" t="s">
        <v>537</v>
      </c>
      <c r="Q5" s="197">
        <v>90</v>
      </c>
      <c r="R5" s="197" t="s">
        <v>538</v>
      </c>
      <c r="S5" s="197"/>
      <c r="T5" s="197"/>
      <c r="U5" s="197"/>
      <c r="V5" s="197"/>
      <c r="W5" s="197"/>
      <c r="X5" s="197"/>
      <c r="Y5" s="197"/>
      <c r="Z5" s="197"/>
      <c r="AA5" s="197" t="s">
        <v>1</v>
      </c>
      <c r="AB5" s="198" t="s">
        <v>2</v>
      </c>
      <c r="AC5" s="198" t="s">
        <v>540</v>
      </c>
      <c r="AD5" s="197" t="s">
        <v>428</v>
      </c>
      <c r="AE5" s="197" t="s">
        <v>428</v>
      </c>
      <c r="AF5" s="197" t="s">
        <v>428</v>
      </c>
      <c r="AG5" s="197" t="s">
        <v>428</v>
      </c>
      <c r="AH5" s="197" t="s">
        <v>428</v>
      </c>
      <c r="AI5" s="197" t="s">
        <v>428</v>
      </c>
      <c r="AJ5" s="197" t="s">
        <v>428</v>
      </c>
      <c r="AK5" s="197" t="s">
        <v>428</v>
      </c>
      <c r="AL5" s="197" t="s">
        <v>428</v>
      </c>
      <c r="AM5" s="197" t="s">
        <v>428</v>
      </c>
      <c r="AN5" s="197" t="s">
        <v>428</v>
      </c>
      <c r="AO5" s="202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  <c r="II5" s="3"/>
      <c r="IJ5" s="3"/>
      <c r="IK5" s="3"/>
      <c r="IL5" s="3"/>
      <c r="IM5" s="3"/>
      <c r="IN5" s="3"/>
      <c r="IO5" s="3"/>
      <c r="IP5" s="3"/>
      <c r="IQ5" s="3"/>
      <c r="IR5" s="3"/>
      <c r="IS5" s="3"/>
      <c r="IT5" s="3"/>
      <c r="IU5" s="3"/>
      <c r="IV5" s="3"/>
      <c r="IW5" s="3"/>
      <c r="IX5" s="3"/>
      <c r="IY5" s="3"/>
      <c r="IZ5" s="3"/>
      <c r="JA5" s="3"/>
      <c r="JB5" s="3"/>
      <c r="JC5" s="3"/>
      <c r="JD5" s="3"/>
      <c r="JE5" s="3"/>
      <c r="JF5" s="3"/>
      <c r="JG5" s="3"/>
      <c r="JH5" s="3"/>
      <c r="JI5" s="3"/>
      <c r="JJ5" s="3"/>
      <c r="JK5" s="3"/>
      <c r="JL5" s="3"/>
      <c r="JM5" s="3"/>
      <c r="JN5" s="3"/>
      <c r="JO5" s="3"/>
      <c r="JP5" s="3"/>
      <c r="JQ5" s="3"/>
      <c r="JR5" s="3"/>
      <c r="JS5" s="3"/>
      <c r="JT5" s="3"/>
      <c r="JU5" s="3"/>
      <c r="JV5" s="3"/>
      <c r="JW5" s="3"/>
      <c r="JX5" s="3"/>
      <c r="JY5" s="3"/>
      <c r="JZ5" s="3"/>
      <c r="KA5" s="3"/>
      <c r="KB5" s="3"/>
      <c r="KC5" s="3"/>
      <c r="KD5" s="3"/>
      <c r="KE5" s="3"/>
      <c r="KF5" s="3"/>
      <c r="KG5" s="3"/>
      <c r="KH5" s="3"/>
      <c r="KI5" s="3"/>
      <c r="KJ5" s="3"/>
      <c r="KK5" s="3"/>
      <c r="KL5" s="3"/>
      <c r="KM5" s="3"/>
      <c r="KN5" s="3"/>
      <c r="KO5" s="3"/>
      <c r="KP5" s="3"/>
      <c r="KQ5" s="3"/>
      <c r="KR5" s="3"/>
      <c r="KS5" s="3"/>
      <c r="KT5" s="3"/>
      <c r="KU5" s="3"/>
      <c r="KV5" s="3"/>
      <c r="KW5" s="3"/>
      <c r="KX5" s="3"/>
      <c r="KY5" s="3"/>
      <c r="KZ5" s="3"/>
      <c r="LA5" s="3"/>
      <c r="LB5" s="3"/>
      <c r="LC5" s="3"/>
      <c r="LD5" s="3"/>
      <c r="LE5" s="3"/>
      <c r="LF5" s="3"/>
      <c r="LG5" s="3"/>
      <c r="LH5" s="3"/>
      <c r="LI5" s="3"/>
      <c r="LJ5" s="3"/>
      <c r="LK5" s="3"/>
      <c r="LL5" s="3"/>
      <c r="LM5" s="3"/>
      <c r="LN5" s="3"/>
      <c r="LO5" s="3"/>
      <c r="LP5" s="3"/>
      <c r="LQ5" s="3"/>
      <c r="LR5" s="3"/>
      <c r="LS5" s="3"/>
      <c r="LT5" s="3"/>
      <c r="LU5" s="3"/>
      <c r="LV5" s="3"/>
      <c r="LW5" s="3"/>
      <c r="LX5" s="3"/>
      <c r="LY5" s="3"/>
      <c r="LZ5" s="3"/>
      <c r="MA5" s="3"/>
      <c r="MB5" s="3"/>
      <c r="MC5" s="3"/>
      <c r="MD5" s="3"/>
      <c r="ME5" s="3"/>
      <c r="MF5" s="3"/>
      <c r="MG5" s="3"/>
      <c r="MH5" s="3"/>
      <c r="MI5" s="3"/>
      <c r="MJ5" s="3"/>
      <c r="MK5" s="3"/>
      <c r="ML5" s="3"/>
      <c r="MM5" s="3"/>
      <c r="MN5" s="3"/>
      <c r="MO5" s="3"/>
      <c r="MP5" s="3"/>
      <c r="MQ5" s="3"/>
      <c r="MR5" s="3"/>
      <c r="MS5" s="3"/>
      <c r="MT5" s="3"/>
      <c r="MU5" s="3"/>
      <c r="MV5" s="3"/>
      <c r="MW5" s="3"/>
      <c r="MX5" s="3"/>
      <c r="MY5" s="3"/>
      <c r="MZ5" s="3"/>
      <c r="NA5" s="3"/>
      <c r="NB5" s="3"/>
      <c r="NC5" s="3"/>
      <c r="ND5" s="3"/>
      <c r="NE5" s="3"/>
      <c r="NF5" s="3"/>
      <c r="NG5" s="3"/>
      <c r="NH5" s="3"/>
      <c r="NI5" s="3"/>
      <c r="NJ5" s="3"/>
      <c r="NK5" s="3"/>
      <c r="NL5" s="3"/>
      <c r="NM5" s="3"/>
      <c r="NN5" s="3"/>
      <c r="NO5" s="3"/>
      <c r="NP5" s="3"/>
      <c r="NQ5" s="3"/>
      <c r="NR5" s="3"/>
      <c r="NS5" s="3"/>
      <c r="NT5" s="3"/>
      <c r="NU5" s="3"/>
      <c r="NV5" s="3"/>
      <c r="NW5" s="3"/>
      <c r="NX5" s="3"/>
      <c r="NY5" s="3"/>
      <c r="NZ5" s="3"/>
      <c r="OA5" s="3"/>
      <c r="OB5" s="3"/>
      <c r="OC5" s="3"/>
      <c r="OD5" s="3"/>
      <c r="OE5" s="3"/>
      <c r="OF5" s="3"/>
      <c r="OG5" s="3"/>
      <c r="OH5" s="3"/>
      <c r="OI5" s="3"/>
      <c r="OJ5" s="3"/>
      <c r="OK5" s="3"/>
      <c r="OL5" s="3"/>
      <c r="OM5" s="3"/>
      <c r="ON5" s="3"/>
      <c r="OO5" s="3"/>
      <c r="OP5" s="3"/>
      <c r="OQ5" s="3"/>
      <c r="OR5" s="3"/>
      <c r="OS5" s="3"/>
      <c r="OT5" s="3"/>
      <c r="OU5" s="3"/>
      <c r="OV5" s="3"/>
      <c r="OW5" s="3"/>
      <c r="OX5" s="3"/>
      <c r="OY5" s="3"/>
      <c r="OZ5" s="3"/>
      <c r="PA5" s="3"/>
      <c r="PB5" s="3"/>
      <c r="PC5" s="3"/>
      <c r="PD5" s="3"/>
      <c r="PE5" s="3"/>
      <c r="PF5" s="3"/>
      <c r="PG5" s="3"/>
      <c r="PH5" s="3"/>
      <c r="PI5" s="3"/>
      <c r="PJ5" s="3"/>
      <c r="PK5" s="3"/>
      <c r="PL5" s="3"/>
      <c r="PM5" s="3"/>
      <c r="PN5" s="3"/>
      <c r="PO5" s="3"/>
      <c r="PP5" s="3"/>
      <c r="PQ5" s="3"/>
      <c r="PR5" s="3"/>
      <c r="PS5" s="3"/>
      <c r="PT5" s="3"/>
      <c r="PU5" s="3"/>
      <c r="PV5" s="3"/>
      <c r="PW5" s="3"/>
      <c r="PX5" s="3"/>
      <c r="PY5" s="3"/>
      <c r="PZ5" s="3"/>
      <c r="QA5" s="3"/>
      <c r="QB5" s="3"/>
      <c r="QC5" s="3"/>
      <c r="QD5" s="3"/>
      <c r="QE5" s="3"/>
      <c r="QF5" s="3"/>
      <c r="QG5" s="3"/>
      <c r="QH5" s="3"/>
      <c r="QI5" s="3"/>
      <c r="QJ5" s="3"/>
      <c r="QK5" s="3"/>
      <c r="QL5" s="3"/>
      <c r="QM5" s="3"/>
      <c r="QN5" s="3"/>
      <c r="QO5" s="3"/>
      <c r="QP5" s="3"/>
      <c r="QQ5" s="3"/>
      <c r="QR5" s="3"/>
      <c r="QS5" s="3"/>
      <c r="QT5" s="3"/>
      <c r="QU5" s="3"/>
      <c r="QV5" s="3"/>
      <c r="QW5" s="3"/>
      <c r="QX5" s="3"/>
      <c r="QY5" s="3"/>
      <c r="QZ5" s="3"/>
      <c r="RA5" s="3"/>
      <c r="RB5" s="3"/>
      <c r="RC5" s="3"/>
      <c r="RD5" s="3"/>
      <c r="RE5" s="3"/>
      <c r="RF5" s="3"/>
      <c r="RG5" s="3"/>
      <c r="RH5" s="3"/>
      <c r="RI5" s="3"/>
      <c r="RJ5" s="3"/>
      <c r="RK5" s="3"/>
      <c r="RL5" s="3"/>
      <c r="RM5" s="3"/>
      <c r="RN5" s="3"/>
      <c r="RO5" s="3"/>
      <c r="RP5" s="3"/>
      <c r="RQ5" s="3"/>
      <c r="RR5" s="3"/>
      <c r="RS5" s="3"/>
      <c r="RT5" s="3"/>
      <c r="RU5" s="3"/>
      <c r="RV5" s="3"/>
      <c r="RW5" s="3"/>
      <c r="RX5" s="3"/>
      <c r="RY5" s="3"/>
      <c r="RZ5" s="3"/>
      <c r="SA5" s="3"/>
      <c r="SB5" s="3"/>
      <c r="SC5" s="3"/>
      <c r="SD5" s="3"/>
      <c r="SE5" s="3"/>
      <c r="SF5" s="3"/>
      <c r="SG5" s="3"/>
      <c r="SH5" s="3"/>
      <c r="SI5" s="3"/>
      <c r="SJ5" s="3"/>
      <c r="SK5" s="3"/>
      <c r="SL5" s="3"/>
      <c r="SM5" s="3"/>
      <c r="SN5" s="3"/>
      <c r="SO5" s="3"/>
      <c r="SP5" s="3"/>
      <c r="SQ5" s="3"/>
      <c r="SR5" s="3"/>
      <c r="SS5" s="3"/>
      <c r="ST5" s="3"/>
      <c r="SU5" s="3"/>
      <c r="SV5" s="3"/>
      <c r="SW5" s="3"/>
      <c r="SX5" s="3"/>
      <c r="SY5" s="3"/>
      <c r="SZ5" s="3"/>
      <c r="TA5" s="3"/>
      <c r="TB5" s="3"/>
      <c r="TC5" s="3"/>
      <c r="TD5" s="3"/>
      <c r="TE5" s="3"/>
      <c r="TF5" s="3"/>
      <c r="TG5" s="3"/>
      <c r="TH5" s="3"/>
      <c r="TI5" s="3"/>
      <c r="TJ5" s="3"/>
      <c r="TK5" s="3"/>
      <c r="TL5" s="3"/>
      <c r="TM5" s="3"/>
      <c r="TN5" s="3"/>
      <c r="TO5" s="3"/>
      <c r="TP5" s="3"/>
      <c r="TQ5" s="3"/>
      <c r="TR5" s="3"/>
      <c r="TS5" s="3"/>
      <c r="TT5" s="3"/>
      <c r="TU5" s="3"/>
      <c r="TV5" s="3"/>
      <c r="TW5" s="3"/>
      <c r="TX5" s="3"/>
      <c r="TY5" s="3"/>
      <c r="TZ5" s="3"/>
      <c r="UA5" s="3"/>
      <c r="UB5" s="3"/>
      <c r="UC5" s="3"/>
      <c r="UD5" s="3"/>
      <c r="UE5" s="3"/>
      <c r="UF5" s="3"/>
      <c r="UG5" s="3"/>
      <c r="UH5" s="3"/>
      <c r="UI5" s="3"/>
      <c r="UJ5" s="3"/>
      <c r="UK5" s="3"/>
      <c r="UL5" s="3"/>
      <c r="UM5" s="3"/>
      <c r="UN5" s="3"/>
      <c r="UO5" s="3"/>
      <c r="UP5" s="3"/>
      <c r="UQ5" s="3"/>
      <c r="UR5" s="3"/>
      <c r="US5" s="3"/>
      <c r="UT5" s="3"/>
      <c r="UU5" s="3"/>
      <c r="UV5" s="3"/>
      <c r="UW5" s="3"/>
      <c r="UX5" s="3"/>
      <c r="UY5" s="3"/>
      <c r="UZ5" s="3"/>
      <c r="VA5" s="3"/>
      <c r="VB5" s="3"/>
      <c r="VC5" s="3"/>
      <c r="VD5" s="3"/>
      <c r="VE5" s="3"/>
      <c r="VF5" s="3"/>
      <c r="VG5" s="3"/>
      <c r="VH5" s="3"/>
      <c r="VI5" s="3"/>
      <c r="VJ5" s="3"/>
      <c r="VK5" s="3"/>
      <c r="VL5" s="3"/>
      <c r="VM5" s="3"/>
      <c r="VN5" s="3"/>
      <c r="VO5" s="3"/>
      <c r="VP5" s="3"/>
      <c r="VQ5" s="3"/>
      <c r="VR5" s="3"/>
      <c r="VS5" s="3"/>
      <c r="VT5" s="3"/>
      <c r="VU5" s="3"/>
      <c r="VV5" s="3"/>
      <c r="VW5" s="3"/>
      <c r="VX5" s="3"/>
      <c r="VY5" s="3"/>
      <c r="VZ5" s="3"/>
      <c r="WA5" s="3"/>
      <c r="WB5" s="3"/>
      <c r="WC5" s="3"/>
      <c r="WD5" s="3"/>
      <c r="WE5" s="3"/>
      <c r="WF5" s="3"/>
      <c r="WG5" s="3"/>
      <c r="WH5" s="3"/>
      <c r="WI5" s="3"/>
      <c r="WJ5" s="3"/>
      <c r="WK5" s="3"/>
      <c r="WL5" s="3"/>
      <c r="WM5" s="3"/>
      <c r="WN5" s="3"/>
      <c r="WO5" s="3"/>
      <c r="WP5" s="3"/>
      <c r="WQ5" s="3"/>
      <c r="WR5" s="3"/>
      <c r="WS5" s="3"/>
      <c r="WT5" s="3"/>
      <c r="WU5" s="3"/>
      <c r="WV5" s="3"/>
      <c r="WW5" s="3"/>
      <c r="WX5" s="3"/>
      <c r="WY5" s="3"/>
      <c r="WZ5" s="3"/>
      <c r="XA5" s="3"/>
      <c r="XB5" s="3"/>
      <c r="XC5" s="3"/>
      <c r="XD5" s="3"/>
      <c r="XE5" s="3"/>
      <c r="XF5" s="3"/>
      <c r="XG5" s="3"/>
      <c r="XH5" s="3"/>
      <c r="XI5" s="3"/>
      <c r="XJ5" s="3"/>
      <c r="XK5" s="3"/>
      <c r="XL5" s="3"/>
      <c r="XM5" s="3"/>
      <c r="XN5" s="3"/>
      <c r="XO5" s="3"/>
      <c r="XP5" s="3"/>
      <c r="XQ5" s="3"/>
      <c r="XR5" s="3"/>
      <c r="XS5" s="3"/>
      <c r="XT5" s="3"/>
      <c r="XU5" s="3"/>
      <c r="XV5" s="3"/>
      <c r="XW5" s="3"/>
      <c r="XX5" s="3"/>
      <c r="XY5" s="3"/>
      <c r="XZ5" s="3"/>
      <c r="YA5" s="3"/>
      <c r="YB5" s="3"/>
      <c r="YC5" s="3"/>
      <c r="YD5" s="3"/>
      <c r="YE5" s="3"/>
      <c r="YF5" s="3"/>
      <c r="YG5" s="3"/>
      <c r="YH5" s="3"/>
      <c r="YI5" s="3"/>
      <c r="YJ5" s="3"/>
      <c r="YK5" s="3"/>
      <c r="YL5" s="3"/>
      <c r="YM5" s="3"/>
      <c r="YN5" s="3"/>
      <c r="YO5" s="3"/>
      <c r="YP5" s="3"/>
      <c r="YQ5" s="3"/>
      <c r="YR5" s="3"/>
      <c r="YS5" s="3"/>
      <c r="YT5" s="3"/>
      <c r="YU5" s="3"/>
      <c r="YV5" s="3"/>
      <c r="YW5" s="3"/>
      <c r="YX5" s="3"/>
      <c r="YY5" s="3"/>
      <c r="YZ5" s="3"/>
      <c r="ZA5" s="3"/>
      <c r="ZB5" s="3"/>
      <c r="ZC5" s="3"/>
      <c r="ZD5" s="3"/>
      <c r="ZE5" s="3"/>
      <c r="ZF5" s="3"/>
      <c r="ZG5" s="3"/>
      <c r="ZH5" s="3"/>
      <c r="ZI5" s="3"/>
      <c r="ZJ5" s="3"/>
      <c r="ZK5" s="3"/>
      <c r="ZL5" s="3"/>
      <c r="ZM5" s="3"/>
      <c r="ZN5" s="3"/>
      <c r="ZO5" s="3"/>
      <c r="ZP5" s="3"/>
      <c r="ZQ5" s="3"/>
      <c r="ZR5" s="3"/>
      <c r="ZS5" s="3"/>
      <c r="ZT5" s="3"/>
      <c r="ZU5" s="3"/>
      <c r="ZV5" s="3"/>
      <c r="ZW5" s="3"/>
      <c r="ZX5" s="3"/>
      <c r="ZY5" s="3"/>
      <c r="ZZ5" s="3"/>
      <c r="AAA5" s="3"/>
      <c r="AAB5" s="3"/>
      <c r="AAC5" s="3"/>
      <c r="AAD5" s="3"/>
      <c r="AAE5" s="3"/>
      <c r="AAF5" s="3"/>
      <c r="AAG5" s="3"/>
      <c r="AAH5" s="3"/>
      <c r="AAI5" s="3"/>
      <c r="AAJ5" s="3"/>
      <c r="AAK5" s="3"/>
      <c r="AAL5" s="3"/>
      <c r="AAM5" s="3"/>
      <c r="AAN5" s="3"/>
      <c r="AAO5" s="3"/>
      <c r="AAP5" s="3"/>
      <c r="AAQ5" s="3"/>
      <c r="AAR5" s="3"/>
      <c r="AAS5" s="3"/>
      <c r="AAT5" s="3"/>
      <c r="AAU5" s="3"/>
      <c r="AAV5" s="3"/>
      <c r="AAW5" s="3"/>
      <c r="AAX5" s="3"/>
      <c r="AAY5" s="3"/>
      <c r="AAZ5" s="3"/>
      <c r="ABA5" s="3"/>
      <c r="ABB5" s="3"/>
      <c r="ABC5" s="3"/>
      <c r="ABD5" s="3"/>
      <c r="ABE5" s="3"/>
      <c r="ABF5" s="3"/>
      <c r="ABG5" s="3"/>
      <c r="ABH5" s="3"/>
      <c r="ABI5" s="3"/>
      <c r="ABJ5" s="3"/>
      <c r="ABK5" s="3"/>
      <c r="ABL5" s="3"/>
      <c r="ABM5" s="3"/>
      <c r="ABN5" s="3"/>
      <c r="ABO5" s="3"/>
      <c r="ABP5" s="3"/>
      <c r="ABQ5" s="3"/>
      <c r="ABR5" s="3"/>
      <c r="ABS5" s="3"/>
      <c r="ABT5" s="3"/>
      <c r="ABU5" s="3"/>
      <c r="ABV5" s="3"/>
      <c r="ABW5" s="3"/>
      <c r="ABX5" s="3"/>
      <c r="ABY5" s="3"/>
      <c r="ABZ5" s="3"/>
      <c r="ACA5" s="3"/>
      <c r="ACB5" s="3"/>
      <c r="ACC5" s="3"/>
      <c r="ACD5" s="3"/>
      <c r="ACE5" s="3"/>
      <c r="ACF5" s="3"/>
      <c r="ACG5" s="3"/>
      <c r="ACH5" s="3"/>
      <c r="ACI5" s="3"/>
      <c r="ACJ5" s="3"/>
      <c r="ACK5" s="3"/>
      <c r="ACL5" s="3"/>
      <c r="ACM5" s="3"/>
      <c r="ACN5" s="3"/>
      <c r="ACO5" s="3"/>
      <c r="ACP5" s="3"/>
      <c r="ACQ5" s="3"/>
      <c r="ACR5" s="3"/>
      <c r="ACS5" s="3"/>
      <c r="ACT5" s="3"/>
      <c r="ACU5" s="3"/>
      <c r="ACV5" s="3"/>
      <c r="ACW5" s="3"/>
      <c r="ACX5" s="3"/>
      <c r="ACY5" s="3"/>
      <c r="ACZ5" s="3"/>
      <c r="ADA5" s="3"/>
      <c r="ADB5" s="3"/>
      <c r="ADC5" s="3"/>
      <c r="ADD5" s="3"/>
      <c r="ADE5" s="3"/>
      <c r="ADF5" s="3"/>
      <c r="ADG5" s="3"/>
      <c r="ADH5" s="3"/>
      <c r="ADI5" s="3"/>
      <c r="ADJ5" s="3"/>
      <c r="ADK5" s="3"/>
      <c r="ADL5" s="3"/>
      <c r="ADM5" s="3"/>
      <c r="ADN5" s="3"/>
      <c r="ADO5" s="3"/>
      <c r="ADP5" s="3"/>
      <c r="ADQ5" s="3"/>
      <c r="ADR5" s="3"/>
      <c r="ADS5" s="3"/>
      <c r="ADT5" s="3"/>
      <c r="ADU5" s="3"/>
      <c r="ADV5" s="3"/>
      <c r="ADW5" s="3"/>
      <c r="ADX5" s="3"/>
      <c r="ADY5" s="3"/>
      <c r="ADZ5" s="3"/>
      <c r="AEA5" s="3"/>
      <c r="AEB5" s="3"/>
      <c r="AEC5" s="3"/>
      <c r="AED5" s="3"/>
      <c r="AEE5" s="3"/>
      <c r="AEF5" s="3"/>
      <c r="AEG5" s="3"/>
      <c r="AEH5" s="3"/>
      <c r="AEI5" s="3"/>
      <c r="AEJ5" s="3"/>
      <c r="AEK5" s="3"/>
      <c r="AEL5" s="3"/>
      <c r="AEM5" s="3"/>
      <c r="AEN5" s="3"/>
      <c r="AEO5" s="3"/>
      <c r="AEP5" s="3"/>
      <c r="AEQ5" s="3"/>
      <c r="AER5" s="3"/>
      <c r="AES5" s="3"/>
      <c r="AET5" s="3"/>
      <c r="AEU5" s="3"/>
      <c r="AEV5" s="3"/>
      <c r="AEW5" s="3"/>
      <c r="AEX5" s="3"/>
      <c r="AEY5" s="3"/>
      <c r="AEZ5" s="3"/>
      <c r="AFA5" s="3"/>
      <c r="AFB5" s="3"/>
      <c r="AFC5" s="3"/>
      <c r="AFD5" s="3"/>
      <c r="AFE5" s="3"/>
      <c r="AFF5" s="3"/>
      <c r="AFG5" s="3"/>
      <c r="AFH5" s="3"/>
      <c r="AFI5" s="3"/>
      <c r="AFJ5" s="3"/>
      <c r="AFK5" s="3"/>
      <c r="AFL5" s="3"/>
      <c r="AFM5" s="3"/>
      <c r="AFN5" s="3"/>
      <c r="AFO5" s="3"/>
      <c r="AFP5" s="3"/>
      <c r="AFQ5" s="3"/>
      <c r="AFR5" s="3"/>
      <c r="AFS5" s="3"/>
      <c r="AFT5" s="3"/>
      <c r="AFU5" s="3"/>
      <c r="AFV5" s="3"/>
      <c r="AFW5" s="3"/>
      <c r="AFX5" s="3"/>
      <c r="AFY5" s="3"/>
      <c r="AFZ5" s="3"/>
      <c r="AGA5" s="3"/>
    </row>
    <row r="6" spans="1:1077" ht="15" customHeight="1" x14ac:dyDescent="0.2">
      <c r="A6" s="195">
        <v>0</v>
      </c>
      <c r="B6" s="196"/>
      <c r="C6" s="196"/>
      <c r="D6" s="197" t="s">
        <v>425</v>
      </c>
      <c r="E6" s="198">
        <v>1</v>
      </c>
      <c r="F6" s="197" t="s">
        <v>535</v>
      </c>
      <c r="G6" s="198">
        <v>1</v>
      </c>
      <c r="H6" s="199" t="s">
        <v>426</v>
      </c>
      <c r="I6" s="197">
        <v>2</v>
      </c>
      <c r="J6" s="197">
        <v>1</v>
      </c>
      <c r="K6" s="197">
        <v>1</v>
      </c>
      <c r="L6" s="198" t="s">
        <v>544</v>
      </c>
      <c r="M6" s="198"/>
      <c r="N6" s="200"/>
      <c r="O6" s="200" t="s">
        <v>536</v>
      </c>
      <c r="P6" s="201" t="s">
        <v>545</v>
      </c>
      <c r="Q6" s="197">
        <v>90</v>
      </c>
      <c r="R6" s="197" t="s">
        <v>538</v>
      </c>
      <c r="S6" s="197"/>
      <c r="T6" s="197"/>
      <c r="U6" s="197"/>
      <c r="V6" s="197"/>
      <c r="W6" s="197"/>
      <c r="X6" s="197"/>
      <c r="Y6" s="197"/>
      <c r="Z6" s="197"/>
      <c r="AA6" s="197" t="s">
        <v>1</v>
      </c>
      <c r="AB6" s="198" t="s">
        <v>2</v>
      </c>
      <c r="AC6" s="198" t="s">
        <v>540</v>
      </c>
      <c r="AD6" s="197" t="s">
        <v>428</v>
      </c>
      <c r="AE6" s="197" t="s">
        <v>428</v>
      </c>
      <c r="AF6" s="197" t="s">
        <v>428</v>
      </c>
      <c r="AG6" s="197" t="s">
        <v>428</v>
      </c>
      <c r="AH6" s="197" t="s">
        <v>428</v>
      </c>
      <c r="AI6" s="197" t="s">
        <v>428</v>
      </c>
      <c r="AJ6" s="197" t="s">
        <v>428</v>
      </c>
      <c r="AK6" s="197" t="s">
        <v>428</v>
      </c>
      <c r="AL6" s="197" t="s">
        <v>428</v>
      </c>
      <c r="AM6" s="197" t="s">
        <v>428</v>
      </c>
      <c r="AN6" s="197" t="s">
        <v>428</v>
      </c>
      <c r="AO6" s="202"/>
      <c r="AP6" s="207"/>
      <c r="AQ6" s="197"/>
      <c r="AR6" s="197"/>
      <c r="AS6" s="197"/>
      <c r="AT6" s="197"/>
      <c r="AU6" s="197"/>
      <c r="AV6" s="197"/>
      <c r="AW6" s="197"/>
      <c r="AX6" s="197"/>
      <c r="AY6" s="197"/>
      <c r="AZ6" s="197"/>
      <c r="BA6" s="197"/>
      <c r="BB6" s="197"/>
      <c r="BC6" s="197"/>
      <c r="BD6" s="197"/>
      <c r="BE6" s="197"/>
      <c r="BF6" s="197"/>
      <c r="BG6" s="197"/>
      <c r="BH6" s="197"/>
      <c r="BI6" s="197"/>
      <c r="BJ6" s="197"/>
      <c r="BK6" s="197"/>
      <c r="BL6" s="197"/>
      <c r="BM6" s="197"/>
      <c r="BN6" s="208"/>
      <c r="BO6" s="208"/>
      <c r="BP6" s="208"/>
      <c r="BQ6" s="208"/>
      <c r="BR6" s="208"/>
      <c r="BS6" s="208"/>
      <c r="BT6" s="208"/>
      <c r="BU6" s="208"/>
      <c r="BV6" s="208"/>
      <c r="BW6" s="208"/>
      <c r="BX6" s="208"/>
      <c r="BY6" s="208"/>
      <c r="BZ6" s="208"/>
      <c r="CA6" s="208"/>
      <c r="CB6" s="208"/>
      <c r="CC6" s="208"/>
      <c r="CD6" s="208"/>
      <c r="CE6" s="208"/>
      <c r="CF6" s="208"/>
      <c r="CG6" s="208"/>
      <c r="CH6" s="208"/>
      <c r="CI6" s="208"/>
      <c r="CJ6" s="208"/>
      <c r="CK6" s="208"/>
      <c r="CL6" s="208"/>
      <c r="CM6" s="208"/>
      <c r="CN6" s="208"/>
      <c r="CO6" s="208"/>
      <c r="CP6" s="208"/>
      <c r="CQ6" s="208"/>
      <c r="CR6" s="208"/>
      <c r="CS6" s="208"/>
      <c r="CT6" s="208"/>
      <c r="CU6" s="208"/>
      <c r="CV6" s="208"/>
      <c r="CW6" s="208"/>
      <c r="CX6" s="208"/>
      <c r="CY6" s="208"/>
      <c r="CZ6" s="208"/>
      <c r="DA6" s="208"/>
      <c r="DB6" s="208"/>
      <c r="DC6" s="208"/>
      <c r="DD6" s="208"/>
      <c r="DE6" s="208"/>
      <c r="DF6" s="208"/>
      <c r="DG6" s="208"/>
      <c r="DH6" s="208"/>
      <c r="DI6" s="208"/>
      <c r="DJ6" s="208"/>
      <c r="DK6" s="208"/>
      <c r="DL6" s="208"/>
      <c r="DM6" s="208"/>
      <c r="DN6" s="208"/>
      <c r="DO6" s="208"/>
      <c r="DP6" s="208"/>
      <c r="DQ6" s="208"/>
      <c r="DR6" s="208"/>
      <c r="DS6" s="208"/>
      <c r="DT6" s="208"/>
      <c r="DU6" s="208"/>
      <c r="DV6" s="208"/>
      <c r="DW6" s="208"/>
      <c r="DX6" s="208"/>
      <c r="DY6" s="208"/>
      <c r="DZ6" s="208"/>
      <c r="EA6" s="208"/>
      <c r="EB6" s="208"/>
      <c r="EC6" s="208"/>
      <c r="ED6" s="208"/>
      <c r="EE6" s="208"/>
      <c r="EF6" s="208"/>
      <c r="EG6" s="208"/>
      <c r="EH6" s="208"/>
      <c r="EI6" s="208"/>
      <c r="EJ6" s="208"/>
      <c r="EK6" s="208"/>
      <c r="EL6" s="208"/>
      <c r="EM6" s="208"/>
      <c r="EN6" s="208"/>
      <c r="EO6" s="208"/>
      <c r="EP6" s="208"/>
      <c r="EQ6" s="208"/>
      <c r="ER6" s="208"/>
      <c r="ES6" s="208"/>
      <c r="ET6" s="208"/>
      <c r="EU6" s="208"/>
      <c r="EV6" s="208"/>
      <c r="EW6" s="208"/>
      <c r="EX6" s="208"/>
      <c r="EY6" s="208"/>
      <c r="EZ6" s="208"/>
      <c r="FA6" s="208"/>
      <c r="FB6" s="208"/>
      <c r="FC6" s="208"/>
      <c r="FD6" s="208"/>
      <c r="FE6" s="208"/>
      <c r="FF6" s="208"/>
      <c r="FG6" s="208"/>
      <c r="FH6" s="208"/>
      <c r="FI6" s="208"/>
      <c r="FJ6" s="208"/>
      <c r="FK6" s="208"/>
      <c r="FL6" s="208"/>
      <c r="FM6" s="208"/>
      <c r="FN6" s="208"/>
      <c r="FO6" s="208"/>
      <c r="FP6" s="208"/>
      <c r="FQ6" s="208"/>
      <c r="FR6" s="208"/>
      <c r="FS6" s="208"/>
      <c r="FT6" s="208"/>
      <c r="FU6" s="208"/>
      <c r="FV6" s="208"/>
      <c r="FW6" s="208"/>
      <c r="FX6" s="208"/>
      <c r="FY6" s="208"/>
      <c r="FZ6" s="208"/>
      <c r="GA6" s="208"/>
      <c r="GB6" s="208"/>
      <c r="GC6" s="208"/>
      <c r="GD6" s="208"/>
      <c r="GE6" s="208"/>
      <c r="GF6" s="208"/>
      <c r="GG6" s="208"/>
      <c r="GH6" s="208"/>
      <c r="GI6" s="208"/>
      <c r="GJ6" s="208"/>
      <c r="GK6" s="208"/>
      <c r="GL6" s="208"/>
      <c r="GM6" s="208"/>
      <c r="GN6" s="208"/>
      <c r="GO6" s="208"/>
      <c r="GP6" s="208"/>
      <c r="GQ6" s="208"/>
      <c r="GR6" s="208"/>
      <c r="GS6" s="208"/>
      <c r="GT6" s="208"/>
      <c r="GU6" s="208"/>
      <c r="GV6" s="208"/>
      <c r="GW6" s="208"/>
      <c r="GX6" s="208"/>
      <c r="GY6" s="208"/>
      <c r="GZ6" s="208"/>
      <c r="HA6" s="208"/>
      <c r="HB6" s="208"/>
      <c r="HC6" s="208"/>
      <c r="HD6" s="208"/>
      <c r="HE6" s="208"/>
      <c r="HF6" s="208"/>
      <c r="HG6" s="208"/>
      <c r="HH6" s="208"/>
      <c r="HI6" s="208"/>
      <c r="HJ6" s="208"/>
      <c r="HK6" s="208"/>
      <c r="HL6" s="208"/>
      <c r="HM6" s="208"/>
      <c r="HN6" s="208"/>
      <c r="HO6" s="208"/>
      <c r="HP6" s="208"/>
      <c r="HQ6" s="208"/>
      <c r="HR6" s="208"/>
      <c r="HS6" s="208"/>
      <c r="HT6" s="208"/>
      <c r="HU6" s="208"/>
      <c r="HV6" s="208"/>
      <c r="HW6" s="208"/>
      <c r="HX6" s="208"/>
      <c r="HY6" s="208"/>
      <c r="HZ6" s="208"/>
      <c r="IA6" s="208"/>
      <c r="IB6" s="208"/>
      <c r="IC6" s="208"/>
      <c r="ID6" s="208"/>
      <c r="IE6" s="208"/>
      <c r="IF6" s="208"/>
      <c r="IG6" s="208"/>
      <c r="IH6" s="208"/>
      <c r="II6" s="208"/>
      <c r="IJ6" s="208"/>
      <c r="IK6" s="208"/>
      <c r="IL6" s="208"/>
      <c r="IM6" s="208"/>
      <c r="IN6" s="208"/>
      <c r="IO6" s="208"/>
      <c r="IP6" s="208"/>
      <c r="IQ6" s="208"/>
      <c r="IR6" s="208"/>
      <c r="IS6" s="208"/>
      <c r="IT6" s="208"/>
      <c r="IU6" s="208"/>
      <c r="IV6" s="208"/>
      <c r="IW6" s="208"/>
      <c r="IX6" s="208"/>
      <c r="IY6" s="208"/>
    </row>
    <row r="7" spans="1:1077" ht="15" customHeight="1" x14ac:dyDescent="0.2">
      <c r="A7" s="195">
        <v>0</v>
      </c>
      <c r="B7" s="196"/>
      <c r="C7" s="196"/>
      <c r="D7" s="197" t="s">
        <v>425</v>
      </c>
      <c r="E7" s="198">
        <v>1</v>
      </c>
      <c r="F7" s="197" t="s">
        <v>535</v>
      </c>
      <c r="G7" s="198">
        <v>1</v>
      </c>
      <c r="H7" s="209" t="s">
        <v>426</v>
      </c>
      <c r="I7" s="197">
        <v>2</v>
      </c>
      <c r="J7" s="197">
        <v>1</v>
      </c>
      <c r="K7" s="197">
        <v>1</v>
      </c>
      <c r="L7" s="198" t="s">
        <v>546</v>
      </c>
      <c r="M7" s="198"/>
      <c r="N7" s="200"/>
      <c r="O7" s="200" t="s">
        <v>536</v>
      </c>
      <c r="P7" s="210" t="s">
        <v>547</v>
      </c>
      <c r="Q7" s="197" t="s">
        <v>428</v>
      </c>
      <c r="R7" s="197" t="s">
        <v>428</v>
      </c>
      <c r="S7" s="197" t="s">
        <v>428</v>
      </c>
      <c r="T7" s="197" t="s">
        <v>428</v>
      </c>
      <c r="U7" s="197"/>
      <c r="V7" s="197"/>
      <c r="W7" s="197"/>
      <c r="X7" s="197"/>
      <c r="Y7" s="197"/>
      <c r="Z7" s="197"/>
      <c r="AA7" s="197" t="s">
        <v>1</v>
      </c>
      <c r="AB7" s="198" t="s">
        <v>2</v>
      </c>
      <c r="AC7" s="198" t="s">
        <v>540</v>
      </c>
      <c r="AD7" s="197" t="s">
        <v>428</v>
      </c>
      <c r="AE7" s="197" t="s">
        <v>428</v>
      </c>
      <c r="AF7" s="197" t="s">
        <v>428</v>
      </c>
      <c r="AG7" s="197" t="s">
        <v>428</v>
      </c>
      <c r="AH7" s="197" t="s">
        <v>428</v>
      </c>
      <c r="AI7" s="197" t="s">
        <v>428</v>
      </c>
      <c r="AJ7" s="197" t="s">
        <v>428</v>
      </c>
      <c r="AK7" s="197" t="s">
        <v>428</v>
      </c>
      <c r="AL7" s="197" t="s">
        <v>428</v>
      </c>
      <c r="AM7" s="197" t="s">
        <v>428</v>
      </c>
      <c r="AN7" s="197" t="s">
        <v>428</v>
      </c>
      <c r="AO7" s="202"/>
      <c r="AP7" s="207"/>
      <c r="AQ7" s="197"/>
      <c r="AR7" s="197"/>
      <c r="AS7" s="197"/>
      <c r="AT7" s="197"/>
      <c r="AU7" s="197"/>
      <c r="AV7" s="197"/>
      <c r="AW7" s="197"/>
      <c r="AX7" s="197"/>
      <c r="AY7" s="197"/>
      <c r="AZ7" s="197"/>
      <c r="BA7" s="197"/>
      <c r="BB7" s="197"/>
      <c r="BC7" s="197"/>
      <c r="BD7" s="197"/>
      <c r="BE7" s="197"/>
      <c r="BF7" s="197"/>
      <c r="BG7" s="197"/>
      <c r="BH7" s="197"/>
      <c r="BI7" s="197"/>
      <c r="BJ7" s="197"/>
      <c r="BK7" s="197"/>
      <c r="BL7" s="197"/>
      <c r="BM7" s="197"/>
      <c r="BN7" s="208"/>
      <c r="BO7" s="208"/>
      <c r="BP7" s="208"/>
      <c r="BQ7" s="208"/>
      <c r="BR7" s="208"/>
      <c r="BS7" s="208"/>
      <c r="BT7" s="208"/>
      <c r="BU7" s="208"/>
      <c r="BV7" s="208"/>
      <c r="BW7" s="208"/>
      <c r="BX7" s="208"/>
      <c r="BY7" s="208"/>
      <c r="BZ7" s="208"/>
      <c r="CA7" s="208"/>
      <c r="CB7" s="208"/>
      <c r="CC7" s="208"/>
      <c r="CD7" s="208"/>
      <c r="CE7" s="208"/>
      <c r="CF7" s="208"/>
      <c r="CG7" s="208"/>
      <c r="CH7" s="208"/>
      <c r="CI7" s="208"/>
      <c r="CJ7" s="208"/>
      <c r="CK7" s="208"/>
      <c r="CL7" s="208"/>
      <c r="CM7" s="208"/>
      <c r="CN7" s="208"/>
      <c r="CO7" s="208"/>
      <c r="CP7" s="208"/>
      <c r="CQ7" s="208"/>
      <c r="CR7" s="208"/>
      <c r="CS7" s="208"/>
      <c r="CT7" s="208"/>
      <c r="CU7" s="208"/>
      <c r="CV7" s="208"/>
      <c r="CW7" s="208"/>
      <c r="CX7" s="208"/>
      <c r="CY7" s="208"/>
      <c r="CZ7" s="208"/>
      <c r="DA7" s="208"/>
      <c r="DB7" s="208"/>
      <c r="DC7" s="208"/>
      <c r="DD7" s="208"/>
      <c r="DE7" s="208"/>
      <c r="DF7" s="208"/>
      <c r="DG7" s="208"/>
      <c r="DH7" s="208"/>
      <c r="DI7" s="208"/>
      <c r="DJ7" s="208"/>
      <c r="DK7" s="208"/>
      <c r="DL7" s="208"/>
      <c r="DM7" s="208"/>
      <c r="DN7" s="208"/>
      <c r="DO7" s="208"/>
      <c r="DP7" s="208"/>
      <c r="DQ7" s="208"/>
      <c r="DR7" s="208"/>
      <c r="DS7" s="208"/>
      <c r="DT7" s="208"/>
      <c r="DU7" s="208"/>
      <c r="DV7" s="208"/>
      <c r="DW7" s="208"/>
      <c r="DX7" s="208"/>
      <c r="DY7" s="208"/>
      <c r="DZ7" s="208"/>
      <c r="EA7" s="208"/>
      <c r="EB7" s="208"/>
      <c r="EC7" s="208"/>
      <c r="ED7" s="208"/>
      <c r="EE7" s="208"/>
      <c r="EF7" s="208"/>
      <c r="EG7" s="208"/>
      <c r="EH7" s="208"/>
      <c r="EI7" s="208"/>
      <c r="EJ7" s="208"/>
      <c r="EK7" s="208"/>
      <c r="EL7" s="208"/>
      <c r="EM7" s="208"/>
      <c r="EN7" s="208"/>
      <c r="EO7" s="208"/>
      <c r="EP7" s="208"/>
      <c r="EQ7" s="208"/>
      <c r="ER7" s="208"/>
      <c r="ES7" s="208"/>
      <c r="ET7" s="208"/>
      <c r="EU7" s="208"/>
      <c r="EV7" s="208"/>
      <c r="EW7" s="208"/>
      <c r="EX7" s="208"/>
      <c r="EY7" s="208"/>
      <c r="EZ7" s="208"/>
      <c r="FA7" s="208"/>
      <c r="FB7" s="208"/>
      <c r="FC7" s="208"/>
      <c r="FD7" s="208"/>
      <c r="FE7" s="208"/>
      <c r="FF7" s="208"/>
      <c r="FG7" s="208"/>
      <c r="FH7" s="208"/>
      <c r="FI7" s="208"/>
      <c r="FJ7" s="208"/>
      <c r="FK7" s="208"/>
      <c r="FL7" s="208"/>
      <c r="FM7" s="208"/>
      <c r="FN7" s="208"/>
      <c r="FO7" s="208"/>
      <c r="FP7" s="208"/>
      <c r="FQ7" s="208"/>
      <c r="FR7" s="208"/>
      <c r="FS7" s="208"/>
      <c r="FT7" s="208"/>
      <c r="FU7" s="208"/>
      <c r="FV7" s="208"/>
      <c r="FW7" s="208"/>
      <c r="FX7" s="208"/>
      <c r="FY7" s="208"/>
      <c r="FZ7" s="208"/>
      <c r="GA7" s="208"/>
      <c r="GB7" s="208"/>
      <c r="GC7" s="208"/>
      <c r="GD7" s="208"/>
      <c r="GE7" s="208"/>
      <c r="GF7" s="208"/>
      <c r="GG7" s="208"/>
      <c r="GH7" s="208"/>
      <c r="GI7" s="208"/>
      <c r="GJ7" s="208"/>
      <c r="GK7" s="208"/>
      <c r="GL7" s="208"/>
      <c r="GM7" s="208"/>
      <c r="GN7" s="208"/>
      <c r="GO7" s="208"/>
      <c r="GP7" s="208"/>
      <c r="GQ7" s="208"/>
      <c r="GR7" s="208"/>
      <c r="GS7" s="208"/>
      <c r="GT7" s="208"/>
      <c r="GU7" s="208"/>
      <c r="GV7" s="208"/>
      <c r="GW7" s="208"/>
      <c r="GX7" s="208"/>
      <c r="GY7" s="208"/>
      <c r="GZ7" s="208"/>
      <c r="HA7" s="208"/>
      <c r="HB7" s="208"/>
      <c r="HC7" s="208"/>
      <c r="HD7" s="208"/>
      <c r="HE7" s="208"/>
      <c r="HF7" s="208"/>
      <c r="HG7" s="208"/>
      <c r="HH7" s="208"/>
      <c r="HI7" s="208"/>
      <c r="HJ7" s="208"/>
      <c r="HK7" s="208"/>
      <c r="HL7" s="208"/>
      <c r="HM7" s="208"/>
      <c r="HN7" s="208"/>
      <c r="HO7" s="208"/>
      <c r="HP7" s="208"/>
      <c r="HQ7" s="208"/>
      <c r="HR7" s="208"/>
      <c r="HS7" s="208"/>
      <c r="HT7" s="208"/>
      <c r="HU7" s="208"/>
      <c r="HV7" s="208"/>
      <c r="HW7" s="208"/>
      <c r="HX7" s="208"/>
      <c r="HY7" s="208"/>
      <c r="HZ7" s="208"/>
      <c r="IA7" s="208"/>
      <c r="IB7" s="208"/>
      <c r="IC7" s="208"/>
      <c r="ID7" s="208"/>
      <c r="IE7" s="208"/>
      <c r="IF7" s="208"/>
      <c r="IG7" s="208"/>
      <c r="IH7" s="208"/>
      <c r="II7" s="208"/>
      <c r="IJ7" s="208"/>
      <c r="IK7" s="208"/>
      <c r="IL7" s="208"/>
      <c r="IM7" s="208"/>
      <c r="IN7" s="208"/>
      <c r="IO7" s="208"/>
      <c r="IP7" s="208"/>
      <c r="IQ7" s="208"/>
      <c r="IR7" s="208"/>
      <c r="IS7" s="208"/>
      <c r="IT7" s="208"/>
      <c r="IU7" s="208"/>
      <c r="IV7" s="208"/>
      <c r="IW7" s="208"/>
      <c r="IX7" s="208"/>
      <c r="IY7" s="208"/>
    </row>
    <row r="8" spans="1:1077" ht="15" customHeight="1" x14ac:dyDescent="0.2">
      <c r="A8" s="195">
        <v>0</v>
      </c>
      <c r="B8" s="196"/>
      <c r="C8" s="196"/>
      <c r="D8" s="197" t="s">
        <v>425</v>
      </c>
      <c r="E8" s="198">
        <v>1</v>
      </c>
      <c r="F8" s="197" t="s">
        <v>535</v>
      </c>
      <c r="G8" s="198">
        <v>1</v>
      </c>
      <c r="H8" s="209" t="s">
        <v>426</v>
      </c>
      <c r="I8" s="197">
        <v>2</v>
      </c>
      <c r="J8" s="197">
        <v>1</v>
      </c>
      <c r="K8" s="197">
        <v>1</v>
      </c>
      <c r="L8" s="198" t="s">
        <v>433</v>
      </c>
      <c r="M8" s="198"/>
      <c r="N8" s="200"/>
      <c r="O8" s="200" t="s">
        <v>536</v>
      </c>
      <c r="P8" s="210" t="s">
        <v>547</v>
      </c>
      <c r="Q8" s="197" t="s">
        <v>428</v>
      </c>
      <c r="R8" s="197" t="s">
        <v>428</v>
      </c>
      <c r="S8" s="197" t="s">
        <v>428</v>
      </c>
      <c r="T8" s="197" t="s">
        <v>428</v>
      </c>
      <c r="U8" s="197"/>
      <c r="V8" s="197"/>
      <c r="W8" s="197"/>
      <c r="X8" s="197"/>
      <c r="Y8" s="197"/>
      <c r="Z8" s="197"/>
      <c r="AA8" s="197" t="s">
        <v>1</v>
      </c>
      <c r="AB8" s="198" t="s">
        <v>2</v>
      </c>
      <c r="AC8" s="198" t="s">
        <v>540</v>
      </c>
      <c r="AD8" s="197" t="s">
        <v>428</v>
      </c>
      <c r="AE8" s="197" t="s">
        <v>428</v>
      </c>
      <c r="AF8" s="197" t="s">
        <v>428</v>
      </c>
      <c r="AG8" s="197" t="s">
        <v>428</v>
      </c>
      <c r="AH8" s="197" t="s">
        <v>428</v>
      </c>
      <c r="AI8" s="197" t="s">
        <v>428</v>
      </c>
      <c r="AJ8" s="197" t="s">
        <v>428</v>
      </c>
      <c r="AK8" s="197" t="s">
        <v>428</v>
      </c>
      <c r="AL8" s="197" t="s">
        <v>428</v>
      </c>
      <c r="AM8" s="197" t="s">
        <v>428</v>
      </c>
      <c r="AN8" s="197" t="s">
        <v>428</v>
      </c>
      <c r="AO8" s="202"/>
      <c r="AP8" s="207"/>
      <c r="AQ8" s="197"/>
      <c r="AR8" s="197"/>
      <c r="AS8" s="197"/>
      <c r="AT8" s="197"/>
      <c r="AU8" s="197"/>
      <c r="AV8" s="197"/>
      <c r="AW8" s="197"/>
      <c r="AX8" s="197"/>
      <c r="AY8" s="197"/>
      <c r="AZ8" s="197"/>
      <c r="BA8" s="197"/>
      <c r="BB8" s="197"/>
      <c r="BC8" s="197"/>
      <c r="BD8" s="197"/>
      <c r="BE8" s="197"/>
      <c r="BF8" s="197"/>
      <c r="BG8" s="197"/>
      <c r="BH8" s="197"/>
      <c r="BI8" s="197"/>
      <c r="BJ8" s="197"/>
      <c r="BK8" s="197"/>
      <c r="BL8" s="197"/>
      <c r="BM8" s="197"/>
      <c r="BN8" s="208"/>
      <c r="BO8" s="208"/>
      <c r="BP8" s="208"/>
      <c r="BQ8" s="208"/>
      <c r="BR8" s="208"/>
      <c r="BS8" s="208"/>
      <c r="BT8" s="208"/>
      <c r="BU8" s="208"/>
      <c r="BV8" s="208"/>
      <c r="BW8" s="208"/>
      <c r="BX8" s="208"/>
      <c r="BY8" s="208"/>
      <c r="BZ8" s="208"/>
      <c r="CA8" s="208"/>
      <c r="CB8" s="208"/>
      <c r="CC8" s="208"/>
      <c r="CD8" s="208"/>
      <c r="CE8" s="208"/>
      <c r="CF8" s="208"/>
      <c r="CG8" s="208"/>
      <c r="CH8" s="208"/>
      <c r="CI8" s="208"/>
      <c r="CJ8" s="208"/>
      <c r="CK8" s="208"/>
      <c r="CL8" s="208"/>
      <c r="CM8" s="208"/>
      <c r="CN8" s="208"/>
      <c r="CO8" s="208"/>
      <c r="CP8" s="208"/>
      <c r="CQ8" s="208"/>
      <c r="CR8" s="208"/>
      <c r="CS8" s="208"/>
      <c r="CT8" s="208"/>
      <c r="CU8" s="208"/>
      <c r="CV8" s="208"/>
      <c r="CW8" s="208"/>
      <c r="CX8" s="208"/>
      <c r="CY8" s="208"/>
      <c r="CZ8" s="208"/>
      <c r="DA8" s="208"/>
      <c r="DB8" s="208"/>
      <c r="DC8" s="208"/>
      <c r="DD8" s="208"/>
      <c r="DE8" s="208"/>
      <c r="DF8" s="208"/>
      <c r="DG8" s="208"/>
      <c r="DH8" s="208"/>
      <c r="DI8" s="208"/>
      <c r="DJ8" s="208"/>
      <c r="DK8" s="208"/>
      <c r="DL8" s="208"/>
      <c r="DM8" s="208"/>
      <c r="DN8" s="208"/>
      <c r="DO8" s="208"/>
      <c r="DP8" s="208"/>
      <c r="DQ8" s="208"/>
      <c r="DR8" s="208"/>
      <c r="DS8" s="208"/>
      <c r="DT8" s="208"/>
      <c r="DU8" s="208"/>
      <c r="DV8" s="208"/>
      <c r="DW8" s="208"/>
      <c r="DX8" s="208"/>
      <c r="DY8" s="208"/>
      <c r="DZ8" s="208"/>
      <c r="EA8" s="208"/>
      <c r="EB8" s="208"/>
      <c r="EC8" s="208"/>
      <c r="ED8" s="208"/>
      <c r="EE8" s="208"/>
      <c r="EF8" s="208"/>
      <c r="EG8" s="208"/>
      <c r="EH8" s="208"/>
      <c r="EI8" s="208"/>
      <c r="EJ8" s="208"/>
      <c r="EK8" s="208"/>
      <c r="EL8" s="208"/>
      <c r="EM8" s="208"/>
      <c r="EN8" s="208"/>
      <c r="EO8" s="208"/>
      <c r="EP8" s="208"/>
      <c r="EQ8" s="208"/>
      <c r="ER8" s="208"/>
      <c r="ES8" s="208"/>
      <c r="ET8" s="208"/>
      <c r="EU8" s="208"/>
      <c r="EV8" s="208"/>
      <c r="EW8" s="208"/>
      <c r="EX8" s="208"/>
      <c r="EY8" s="208"/>
      <c r="EZ8" s="208"/>
      <c r="FA8" s="208"/>
      <c r="FB8" s="208"/>
      <c r="FC8" s="208"/>
      <c r="FD8" s="208"/>
      <c r="FE8" s="208"/>
      <c r="FF8" s="208"/>
      <c r="FG8" s="208"/>
      <c r="FH8" s="208"/>
      <c r="FI8" s="208"/>
      <c r="FJ8" s="208"/>
      <c r="FK8" s="208"/>
      <c r="FL8" s="208"/>
      <c r="FM8" s="208"/>
      <c r="FN8" s="208"/>
      <c r="FO8" s="208"/>
      <c r="FP8" s="208"/>
      <c r="FQ8" s="208"/>
      <c r="FR8" s="208"/>
      <c r="FS8" s="208"/>
      <c r="FT8" s="208"/>
      <c r="FU8" s="208"/>
      <c r="FV8" s="208"/>
      <c r="FW8" s="208"/>
      <c r="FX8" s="208"/>
      <c r="FY8" s="208"/>
      <c r="FZ8" s="208"/>
      <c r="GA8" s="208"/>
      <c r="GB8" s="208"/>
      <c r="GC8" s="208"/>
      <c r="GD8" s="208"/>
      <c r="GE8" s="208"/>
      <c r="GF8" s="208"/>
      <c r="GG8" s="208"/>
      <c r="GH8" s="208"/>
      <c r="GI8" s="208"/>
      <c r="GJ8" s="208"/>
      <c r="GK8" s="208"/>
      <c r="GL8" s="208"/>
      <c r="GM8" s="208"/>
      <c r="GN8" s="208"/>
      <c r="GO8" s="208"/>
      <c r="GP8" s="208"/>
      <c r="GQ8" s="208"/>
      <c r="GR8" s="208"/>
      <c r="GS8" s="208"/>
      <c r="GT8" s="208"/>
      <c r="GU8" s="208"/>
      <c r="GV8" s="208"/>
      <c r="GW8" s="208"/>
      <c r="GX8" s="208"/>
      <c r="GY8" s="208"/>
      <c r="GZ8" s="208"/>
      <c r="HA8" s="208"/>
      <c r="HB8" s="208"/>
      <c r="HC8" s="208"/>
      <c r="HD8" s="208"/>
      <c r="HE8" s="208"/>
      <c r="HF8" s="208"/>
      <c r="HG8" s="208"/>
      <c r="HH8" s="208"/>
      <c r="HI8" s="208"/>
      <c r="HJ8" s="208"/>
      <c r="HK8" s="208"/>
      <c r="HL8" s="208"/>
      <c r="HM8" s="208"/>
      <c r="HN8" s="208"/>
      <c r="HO8" s="208"/>
      <c r="HP8" s="208"/>
      <c r="HQ8" s="208"/>
      <c r="HR8" s="208"/>
      <c r="HS8" s="208"/>
      <c r="HT8" s="208"/>
      <c r="HU8" s="208"/>
      <c r="HV8" s="208"/>
      <c r="HW8" s="208"/>
      <c r="HX8" s="208"/>
      <c r="HY8" s="208"/>
      <c r="HZ8" s="208"/>
      <c r="IA8" s="208"/>
      <c r="IB8" s="208"/>
      <c r="IC8" s="208"/>
      <c r="ID8" s="208"/>
      <c r="IE8" s="208"/>
      <c r="IF8" s="208"/>
      <c r="IG8" s="208"/>
      <c r="IH8" s="208"/>
      <c r="II8" s="208"/>
      <c r="IJ8" s="208"/>
      <c r="IK8" s="208"/>
      <c r="IL8" s="208"/>
      <c r="IM8" s="208"/>
      <c r="IN8" s="208"/>
      <c r="IO8" s="208"/>
      <c r="IP8" s="208"/>
      <c r="IQ8" s="208"/>
      <c r="IR8" s="208"/>
      <c r="IS8" s="208"/>
      <c r="IT8" s="208"/>
      <c r="IU8" s="208"/>
      <c r="IV8" s="208"/>
      <c r="IW8" s="208"/>
      <c r="IX8" s="208"/>
      <c r="IY8" s="208"/>
    </row>
    <row r="9" spans="1:1077" ht="15" customHeight="1" x14ac:dyDescent="0.2">
      <c r="A9" s="195">
        <v>0</v>
      </c>
      <c r="B9" s="196"/>
      <c r="C9" s="196"/>
      <c r="D9" s="197" t="s">
        <v>425</v>
      </c>
      <c r="E9" s="198">
        <v>1</v>
      </c>
      <c r="F9" s="197" t="s">
        <v>535</v>
      </c>
      <c r="G9" s="198">
        <v>1</v>
      </c>
      <c r="H9" s="199" t="s">
        <v>426</v>
      </c>
      <c r="I9" s="197">
        <v>2</v>
      </c>
      <c r="J9" s="197">
        <v>1</v>
      </c>
      <c r="K9" s="197">
        <v>1</v>
      </c>
      <c r="L9" s="198" t="s">
        <v>352</v>
      </c>
      <c r="M9" s="198"/>
      <c r="N9" s="200"/>
      <c r="O9" s="200" t="s">
        <v>536</v>
      </c>
      <c r="P9" s="201" t="s">
        <v>548</v>
      </c>
      <c r="Q9" s="197" t="s">
        <v>428</v>
      </c>
      <c r="R9" s="197" t="s">
        <v>428</v>
      </c>
      <c r="S9" s="197" t="s">
        <v>428</v>
      </c>
      <c r="T9" s="197" t="s">
        <v>428</v>
      </c>
      <c r="U9" s="197"/>
      <c r="V9" s="197"/>
      <c r="W9" s="197"/>
      <c r="X9" s="197"/>
      <c r="Y9" s="197"/>
      <c r="Z9" s="197"/>
      <c r="AA9" s="197" t="s">
        <v>1</v>
      </c>
      <c r="AB9" s="198" t="s">
        <v>2</v>
      </c>
      <c r="AC9" s="198" t="s">
        <v>540</v>
      </c>
      <c r="AD9" s="197" t="s">
        <v>428</v>
      </c>
      <c r="AE9" s="197" t="s">
        <v>428</v>
      </c>
      <c r="AF9" s="197" t="s">
        <v>428</v>
      </c>
      <c r="AG9" s="197" t="s">
        <v>428</v>
      </c>
      <c r="AH9" s="197" t="s">
        <v>428</v>
      </c>
      <c r="AI9" s="197" t="s">
        <v>428</v>
      </c>
      <c r="AJ9" s="197" t="s">
        <v>428</v>
      </c>
      <c r="AK9" s="197" t="s">
        <v>428</v>
      </c>
      <c r="AL9" s="197" t="s">
        <v>428</v>
      </c>
      <c r="AM9" s="197" t="s">
        <v>428</v>
      </c>
      <c r="AN9" s="197" t="s">
        <v>428</v>
      </c>
      <c r="AO9" s="202"/>
      <c r="AP9" s="207"/>
      <c r="AQ9" s="197"/>
      <c r="AR9" s="197"/>
      <c r="AS9" s="197"/>
      <c r="AT9" s="197"/>
      <c r="AU9" s="197"/>
      <c r="AV9" s="197"/>
      <c r="AW9" s="197"/>
      <c r="AX9" s="197"/>
      <c r="AY9" s="197"/>
      <c r="AZ9" s="197"/>
      <c r="BA9" s="197"/>
      <c r="BB9" s="197"/>
      <c r="BC9" s="197"/>
      <c r="BD9" s="197"/>
      <c r="BE9" s="197"/>
      <c r="BF9" s="197"/>
      <c r="BG9" s="197"/>
      <c r="BH9" s="197"/>
      <c r="BI9" s="197"/>
      <c r="BJ9" s="197"/>
      <c r="BK9" s="197"/>
      <c r="BL9" s="197"/>
      <c r="BM9" s="197"/>
      <c r="BN9" s="208"/>
      <c r="BO9" s="208"/>
      <c r="BP9" s="208"/>
      <c r="BQ9" s="208"/>
      <c r="BR9" s="208"/>
      <c r="BS9" s="208"/>
      <c r="BT9" s="208"/>
      <c r="BU9" s="208"/>
      <c r="BV9" s="208"/>
      <c r="BW9" s="208"/>
      <c r="BX9" s="208"/>
      <c r="BY9" s="208"/>
      <c r="BZ9" s="208"/>
      <c r="CA9" s="208"/>
      <c r="CB9" s="208"/>
      <c r="CC9" s="208"/>
      <c r="CD9" s="208"/>
      <c r="CE9" s="208"/>
      <c r="CF9" s="208"/>
      <c r="CG9" s="208"/>
      <c r="CH9" s="208"/>
      <c r="CI9" s="208"/>
      <c r="CJ9" s="208"/>
      <c r="CK9" s="208"/>
      <c r="CL9" s="208"/>
      <c r="CM9" s="208"/>
      <c r="CN9" s="208"/>
      <c r="CO9" s="208"/>
      <c r="CP9" s="208"/>
      <c r="CQ9" s="208"/>
      <c r="CR9" s="208"/>
      <c r="CS9" s="208"/>
      <c r="CT9" s="208"/>
      <c r="CU9" s="208"/>
      <c r="CV9" s="208"/>
      <c r="CW9" s="208"/>
      <c r="CX9" s="208"/>
      <c r="CY9" s="208"/>
      <c r="CZ9" s="208"/>
      <c r="DA9" s="208"/>
      <c r="DB9" s="208"/>
      <c r="DC9" s="208"/>
      <c r="DD9" s="208"/>
      <c r="DE9" s="208"/>
      <c r="DF9" s="208"/>
      <c r="DG9" s="208"/>
      <c r="DH9" s="208"/>
      <c r="DI9" s="208"/>
      <c r="DJ9" s="208"/>
      <c r="DK9" s="208"/>
      <c r="DL9" s="208"/>
      <c r="DM9" s="208"/>
      <c r="DN9" s="208"/>
      <c r="DO9" s="208"/>
      <c r="DP9" s="208"/>
      <c r="DQ9" s="208"/>
      <c r="DR9" s="208"/>
      <c r="DS9" s="208"/>
      <c r="DT9" s="208"/>
      <c r="DU9" s="208"/>
      <c r="DV9" s="208"/>
      <c r="DW9" s="208"/>
      <c r="DX9" s="208"/>
      <c r="DY9" s="208"/>
      <c r="DZ9" s="208"/>
      <c r="EA9" s="208"/>
      <c r="EB9" s="208"/>
      <c r="EC9" s="208"/>
      <c r="ED9" s="208"/>
      <c r="EE9" s="208"/>
      <c r="EF9" s="208"/>
      <c r="EG9" s="208"/>
      <c r="EH9" s="208"/>
      <c r="EI9" s="208"/>
      <c r="EJ9" s="208"/>
      <c r="EK9" s="208"/>
      <c r="EL9" s="208"/>
      <c r="EM9" s="208"/>
      <c r="EN9" s="208"/>
      <c r="EO9" s="208"/>
      <c r="EP9" s="208"/>
      <c r="EQ9" s="208"/>
      <c r="ER9" s="208"/>
      <c r="ES9" s="208"/>
      <c r="ET9" s="208"/>
      <c r="EU9" s="208"/>
      <c r="EV9" s="208"/>
      <c r="EW9" s="208"/>
      <c r="EX9" s="208"/>
      <c r="EY9" s="208"/>
      <c r="EZ9" s="208"/>
      <c r="FA9" s="208"/>
      <c r="FB9" s="208"/>
      <c r="FC9" s="208"/>
      <c r="FD9" s="208"/>
      <c r="FE9" s="208"/>
      <c r="FF9" s="208"/>
      <c r="FG9" s="208"/>
      <c r="FH9" s="208"/>
      <c r="FI9" s="208"/>
      <c r="FJ9" s="208"/>
      <c r="FK9" s="208"/>
      <c r="FL9" s="208"/>
      <c r="FM9" s="208"/>
      <c r="FN9" s="208"/>
      <c r="FO9" s="208"/>
      <c r="FP9" s="208"/>
      <c r="FQ9" s="208"/>
      <c r="FR9" s="208"/>
      <c r="FS9" s="208"/>
      <c r="FT9" s="208"/>
      <c r="FU9" s="208"/>
      <c r="FV9" s="208"/>
      <c r="FW9" s="208"/>
      <c r="FX9" s="208"/>
      <c r="FY9" s="208"/>
      <c r="FZ9" s="208"/>
      <c r="GA9" s="208"/>
      <c r="GB9" s="208"/>
      <c r="GC9" s="208"/>
      <c r="GD9" s="208"/>
      <c r="GE9" s="208"/>
      <c r="GF9" s="208"/>
      <c r="GG9" s="208"/>
      <c r="GH9" s="208"/>
      <c r="GI9" s="208"/>
      <c r="GJ9" s="208"/>
      <c r="GK9" s="208"/>
      <c r="GL9" s="208"/>
      <c r="GM9" s="208"/>
      <c r="GN9" s="208"/>
      <c r="GO9" s="208"/>
      <c r="GP9" s="208"/>
      <c r="GQ9" s="208"/>
      <c r="GR9" s="208"/>
      <c r="GS9" s="208"/>
      <c r="GT9" s="208"/>
      <c r="GU9" s="208"/>
      <c r="GV9" s="208"/>
      <c r="GW9" s="208"/>
      <c r="GX9" s="208"/>
      <c r="GY9" s="208"/>
      <c r="GZ9" s="208"/>
      <c r="HA9" s="208"/>
      <c r="HB9" s="208"/>
      <c r="HC9" s="208"/>
      <c r="HD9" s="208"/>
      <c r="HE9" s="208"/>
      <c r="HF9" s="208"/>
      <c r="HG9" s="208"/>
      <c r="HH9" s="208"/>
      <c r="HI9" s="208"/>
      <c r="HJ9" s="208"/>
      <c r="HK9" s="208"/>
      <c r="HL9" s="208"/>
      <c r="HM9" s="208"/>
      <c r="HN9" s="208"/>
      <c r="HO9" s="208"/>
      <c r="HP9" s="208"/>
      <c r="HQ9" s="208"/>
      <c r="HR9" s="208"/>
      <c r="HS9" s="208"/>
      <c r="HT9" s="208"/>
      <c r="HU9" s="208"/>
      <c r="HV9" s="208"/>
      <c r="HW9" s="208"/>
      <c r="HX9" s="208"/>
      <c r="HY9" s="208"/>
      <c r="HZ9" s="208"/>
      <c r="IA9" s="208"/>
      <c r="IB9" s="208"/>
      <c r="IC9" s="208"/>
      <c r="ID9" s="208"/>
      <c r="IE9" s="208"/>
      <c r="IF9" s="208"/>
      <c r="IG9" s="208"/>
      <c r="IH9" s="208"/>
      <c r="II9" s="208"/>
      <c r="IJ9" s="208"/>
      <c r="IK9" s="208"/>
      <c r="IL9" s="208"/>
      <c r="IM9" s="208"/>
      <c r="IN9" s="208"/>
      <c r="IO9" s="208"/>
      <c r="IP9" s="208"/>
      <c r="IQ9" s="208"/>
      <c r="IR9" s="208"/>
      <c r="IS9" s="208"/>
      <c r="IT9" s="208"/>
      <c r="IU9" s="208"/>
      <c r="IV9" s="208"/>
      <c r="IW9" s="208"/>
      <c r="IX9" s="208"/>
      <c r="IY9" s="208"/>
    </row>
    <row r="10" spans="1:1077" ht="15" customHeight="1" x14ac:dyDescent="0.2">
      <c r="A10" s="195">
        <v>0</v>
      </c>
      <c r="B10" s="196"/>
      <c r="C10" s="196"/>
      <c r="D10" s="197" t="s">
        <v>425</v>
      </c>
      <c r="E10" s="198">
        <v>1</v>
      </c>
      <c r="F10" s="197" t="s">
        <v>535</v>
      </c>
      <c r="G10" s="198">
        <v>1</v>
      </c>
      <c r="H10" s="199" t="s">
        <v>426</v>
      </c>
      <c r="I10" s="197">
        <v>2</v>
      </c>
      <c r="J10" s="197">
        <v>1</v>
      </c>
      <c r="K10" s="197">
        <v>1</v>
      </c>
      <c r="L10" s="198" t="s">
        <v>549</v>
      </c>
      <c r="M10" s="198"/>
      <c r="N10" s="200"/>
      <c r="O10" s="200" t="s">
        <v>536</v>
      </c>
      <c r="P10" s="201" t="s">
        <v>548</v>
      </c>
      <c r="Q10" s="197" t="s">
        <v>428</v>
      </c>
      <c r="R10" s="197" t="s">
        <v>428</v>
      </c>
      <c r="S10" s="197" t="s">
        <v>428</v>
      </c>
      <c r="T10" s="197" t="s">
        <v>428</v>
      </c>
      <c r="U10" s="197"/>
      <c r="V10" s="197"/>
      <c r="W10" s="197"/>
      <c r="X10" s="197"/>
      <c r="Y10" s="197"/>
      <c r="Z10" s="197"/>
      <c r="AA10" s="197" t="s">
        <v>1</v>
      </c>
      <c r="AB10" s="198" t="s">
        <v>2</v>
      </c>
      <c r="AC10" s="198" t="s">
        <v>540</v>
      </c>
      <c r="AD10" s="197" t="s">
        <v>428</v>
      </c>
      <c r="AE10" s="197" t="s">
        <v>428</v>
      </c>
      <c r="AF10" s="197" t="s">
        <v>428</v>
      </c>
      <c r="AG10" s="197" t="s">
        <v>428</v>
      </c>
      <c r="AH10" s="197" t="s">
        <v>428</v>
      </c>
      <c r="AI10" s="197" t="s">
        <v>428</v>
      </c>
      <c r="AJ10" s="197" t="s">
        <v>428</v>
      </c>
      <c r="AK10" s="197" t="s">
        <v>428</v>
      </c>
      <c r="AL10" s="197" t="s">
        <v>428</v>
      </c>
      <c r="AM10" s="197" t="s">
        <v>428</v>
      </c>
      <c r="AN10" s="197" t="s">
        <v>428</v>
      </c>
      <c r="AO10" s="202"/>
      <c r="AP10" s="207"/>
      <c r="AQ10" s="197"/>
      <c r="AR10" s="197"/>
      <c r="AS10" s="197"/>
      <c r="AT10" s="197"/>
      <c r="AU10" s="197"/>
      <c r="AV10" s="197"/>
      <c r="AW10" s="197"/>
      <c r="AX10" s="197"/>
      <c r="AY10" s="197"/>
      <c r="AZ10" s="197"/>
      <c r="BA10" s="197"/>
      <c r="BB10" s="197"/>
      <c r="BC10" s="197"/>
      <c r="BD10" s="197"/>
      <c r="BE10" s="197"/>
      <c r="BF10" s="197"/>
      <c r="BG10" s="197"/>
      <c r="BH10" s="197"/>
      <c r="BI10" s="197"/>
      <c r="BJ10" s="197"/>
      <c r="BK10" s="197"/>
      <c r="BL10" s="197"/>
      <c r="BM10" s="197"/>
      <c r="BN10" s="208"/>
      <c r="BO10" s="208"/>
      <c r="BP10" s="208"/>
      <c r="BQ10" s="208"/>
      <c r="BR10" s="208"/>
      <c r="BS10" s="208"/>
      <c r="BT10" s="208"/>
      <c r="BU10" s="208"/>
      <c r="BV10" s="208"/>
      <c r="BW10" s="208"/>
      <c r="BX10" s="208"/>
      <c r="BY10" s="208"/>
      <c r="BZ10" s="208"/>
      <c r="CA10" s="208"/>
      <c r="CB10" s="208"/>
      <c r="CC10" s="208"/>
      <c r="CD10" s="208"/>
      <c r="CE10" s="208"/>
      <c r="CF10" s="208"/>
      <c r="CG10" s="208"/>
      <c r="CH10" s="208"/>
      <c r="CI10" s="208"/>
      <c r="CJ10" s="208"/>
      <c r="CK10" s="208"/>
      <c r="CL10" s="208"/>
      <c r="CM10" s="208"/>
      <c r="CN10" s="208"/>
      <c r="CO10" s="208"/>
      <c r="CP10" s="208"/>
      <c r="CQ10" s="208"/>
      <c r="CR10" s="208"/>
      <c r="CS10" s="208"/>
      <c r="CT10" s="208"/>
      <c r="CU10" s="208"/>
      <c r="CV10" s="208"/>
      <c r="CW10" s="208"/>
      <c r="CX10" s="208"/>
      <c r="CY10" s="208"/>
      <c r="CZ10" s="208"/>
      <c r="DA10" s="208"/>
      <c r="DB10" s="208"/>
      <c r="DC10" s="208"/>
      <c r="DD10" s="208"/>
      <c r="DE10" s="208"/>
      <c r="DF10" s="208"/>
      <c r="DG10" s="208"/>
      <c r="DH10" s="208"/>
      <c r="DI10" s="208"/>
      <c r="DJ10" s="208"/>
      <c r="DK10" s="208"/>
      <c r="DL10" s="208"/>
      <c r="DM10" s="208"/>
      <c r="DN10" s="208"/>
      <c r="DO10" s="208"/>
      <c r="DP10" s="208"/>
      <c r="DQ10" s="208"/>
      <c r="DR10" s="208"/>
      <c r="DS10" s="208"/>
      <c r="DT10" s="208"/>
      <c r="DU10" s="208"/>
      <c r="DV10" s="208"/>
      <c r="DW10" s="208"/>
      <c r="DX10" s="208"/>
      <c r="DY10" s="208"/>
      <c r="DZ10" s="208"/>
      <c r="EA10" s="208"/>
      <c r="EB10" s="208"/>
      <c r="EC10" s="208"/>
      <c r="ED10" s="208"/>
      <c r="EE10" s="208"/>
      <c r="EF10" s="208"/>
      <c r="EG10" s="208"/>
      <c r="EH10" s="208"/>
      <c r="EI10" s="208"/>
      <c r="EJ10" s="208"/>
      <c r="EK10" s="208"/>
      <c r="EL10" s="208"/>
      <c r="EM10" s="208"/>
      <c r="EN10" s="208"/>
      <c r="EO10" s="208"/>
      <c r="EP10" s="208"/>
      <c r="EQ10" s="208"/>
      <c r="ER10" s="208"/>
      <c r="ES10" s="208"/>
      <c r="ET10" s="208"/>
      <c r="EU10" s="208"/>
      <c r="EV10" s="208"/>
      <c r="EW10" s="208"/>
      <c r="EX10" s="208"/>
      <c r="EY10" s="208"/>
      <c r="EZ10" s="208"/>
      <c r="FA10" s="208"/>
      <c r="FB10" s="208"/>
      <c r="FC10" s="208"/>
      <c r="FD10" s="208"/>
      <c r="FE10" s="208"/>
      <c r="FF10" s="208"/>
      <c r="FG10" s="208"/>
      <c r="FH10" s="208"/>
      <c r="FI10" s="208"/>
      <c r="FJ10" s="208"/>
      <c r="FK10" s="208"/>
      <c r="FL10" s="208"/>
      <c r="FM10" s="208"/>
      <c r="FN10" s="208"/>
      <c r="FO10" s="208"/>
      <c r="FP10" s="208"/>
      <c r="FQ10" s="208"/>
      <c r="FR10" s="208"/>
      <c r="FS10" s="208"/>
      <c r="FT10" s="208"/>
      <c r="FU10" s="208"/>
      <c r="FV10" s="208"/>
      <c r="FW10" s="208"/>
      <c r="FX10" s="208"/>
      <c r="FY10" s="208"/>
      <c r="FZ10" s="208"/>
      <c r="GA10" s="208"/>
      <c r="GB10" s="208"/>
      <c r="GC10" s="208"/>
      <c r="GD10" s="208"/>
      <c r="GE10" s="208"/>
      <c r="GF10" s="208"/>
      <c r="GG10" s="208"/>
      <c r="GH10" s="208"/>
      <c r="GI10" s="208"/>
      <c r="GJ10" s="208"/>
      <c r="GK10" s="208"/>
      <c r="GL10" s="208"/>
      <c r="GM10" s="208"/>
      <c r="GN10" s="208"/>
      <c r="GO10" s="208"/>
      <c r="GP10" s="208"/>
      <c r="GQ10" s="208"/>
      <c r="GR10" s="208"/>
      <c r="GS10" s="208"/>
      <c r="GT10" s="208"/>
      <c r="GU10" s="208"/>
      <c r="GV10" s="208"/>
      <c r="GW10" s="208"/>
      <c r="GX10" s="208"/>
      <c r="GY10" s="208"/>
      <c r="GZ10" s="208"/>
      <c r="HA10" s="208"/>
      <c r="HB10" s="208"/>
      <c r="HC10" s="208"/>
      <c r="HD10" s="208"/>
      <c r="HE10" s="208"/>
      <c r="HF10" s="208"/>
      <c r="HG10" s="208"/>
      <c r="HH10" s="208"/>
      <c r="HI10" s="208"/>
      <c r="HJ10" s="208"/>
      <c r="HK10" s="208"/>
      <c r="HL10" s="208"/>
      <c r="HM10" s="208"/>
      <c r="HN10" s="208"/>
      <c r="HO10" s="208"/>
      <c r="HP10" s="208"/>
      <c r="HQ10" s="208"/>
      <c r="HR10" s="208"/>
      <c r="HS10" s="208"/>
      <c r="HT10" s="208"/>
      <c r="HU10" s="208"/>
      <c r="HV10" s="208"/>
      <c r="HW10" s="208"/>
      <c r="HX10" s="208"/>
      <c r="HY10" s="208"/>
      <c r="HZ10" s="208"/>
      <c r="IA10" s="208"/>
      <c r="IB10" s="208"/>
      <c r="IC10" s="208"/>
      <c r="ID10" s="208"/>
      <c r="IE10" s="208"/>
      <c r="IF10" s="208"/>
      <c r="IG10" s="208"/>
      <c r="IH10" s="208"/>
      <c r="II10" s="208"/>
      <c r="IJ10" s="208"/>
      <c r="IK10" s="208"/>
      <c r="IL10" s="208"/>
      <c r="IM10" s="208"/>
      <c r="IN10" s="208"/>
      <c r="IO10" s="208"/>
      <c r="IP10" s="208"/>
      <c r="IQ10" s="208"/>
      <c r="IR10" s="208"/>
      <c r="IS10" s="208"/>
      <c r="IT10" s="208"/>
      <c r="IU10" s="208"/>
      <c r="IV10" s="208"/>
      <c r="IW10" s="208"/>
      <c r="IX10" s="208"/>
      <c r="IY10" s="208"/>
    </row>
    <row r="11" spans="1:1077" ht="15" customHeight="1" x14ac:dyDescent="0.2">
      <c r="A11" s="195">
        <v>0</v>
      </c>
      <c r="B11" s="196"/>
      <c r="C11" s="196"/>
      <c r="D11" s="197" t="s">
        <v>425</v>
      </c>
      <c r="E11" s="198">
        <v>1</v>
      </c>
      <c r="F11" s="197" t="s">
        <v>535</v>
      </c>
      <c r="G11" s="198">
        <v>1</v>
      </c>
      <c r="H11" s="199" t="s">
        <v>426</v>
      </c>
      <c r="I11" s="197">
        <v>2</v>
      </c>
      <c r="J11" s="197">
        <v>1</v>
      </c>
      <c r="K11" s="197">
        <v>1</v>
      </c>
      <c r="L11" s="198" t="s">
        <v>550</v>
      </c>
      <c r="M11" s="198"/>
      <c r="N11" s="200"/>
      <c r="O11" s="200" t="s">
        <v>536</v>
      </c>
      <c r="P11" s="201" t="s">
        <v>551</v>
      </c>
      <c r="Q11" s="197">
        <v>60</v>
      </c>
      <c r="R11" s="197" t="s">
        <v>538</v>
      </c>
      <c r="S11" s="197"/>
      <c r="T11" s="197"/>
      <c r="U11" s="197"/>
      <c r="V11" s="197"/>
      <c r="W11" s="197"/>
      <c r="X11" s="197"/>
      <c r="Y11" s="197"/>
      <c r="Z11" s="197"/>
      <c r="AA11" s="197" t="s">
        <v>1</v>
      </c>
      <c r="AB11" s="198" t="s">
        <v>2</v>
      </c>
      <c r="AC11" s="198" t="s">
        <v>540</v>
      </c>
      <c r="AD11" s="197" t="s">
        <v>428</v>
      </c>
      <c r="AE11" s="197" t="s">
        <v>428</v>
      </c>
      <c r="AF11" s="197" t="s">
        <v>428</v>
      </c>
      <c r="AG11" s="197" t="s">
        <v>428</v>
      </c>
      <c r="AH11" s="197" t="s">
        <v>428</v>
      </c>
      <c r="AI11" s="197" t="s">
        <v>428</v>
      </c>
      <c r="AJ11" s="197" t="s">
        <v>428</v>
      </c>
      <c r="AK11" s="197" t="s">
        <v>428</v>
      </c>
      <c r="AL11" s="197" t="s">
        <v>428</v>
      </c>
      <c r="AM11" s="197" t="s">
        <v>428</v>
      </c>
      <c r="AN11" s="197" t="s">
        <v>428</v>
      </c>
      <c r="AO11" s="202"/>
      <c r="AP11" s="207"/>
      <c r="AQ11" s="197"/>
      <c r="AR11" s="197"/>
      <c r="AS11" s="197"/>
      <c r="AT11" s="197"/>
      <c r="AU11" s="197"/>
      <c r="AV11" s="197"/>
      <c r="AW11" s="197"/>
      <c r="AX11" s="197"/>
      <c r="AY11" s="197"/>
      <c r="AZ11" s="197"/>
      <c r="BA11" s="197"/>
      <c r="BB11" s="197"/>
      <c r="BC11" s="197"/>
      <c r="BD11" s="197"/>
      <c r="BE11" s="197"/>
      <c r="BF11" s="197"/>
      <c r="BG11" s="197"/>
      <c r="BH11" s="197"/>
      <c r="BI11" s="197"/>
      <c r="BJ11" s="197"/>
      <c r="BK11" s="197"/>
      <c r="BL11" s="197"/>
      <c r="BM11" s="197"/>
      <c r="BN11" s="208"/>
      <c r="BO11" s="208"/>
      <c r="BP11" s="208"/>
      <c r="BQ11" s="208"/>
      <c r="BR11" s="208"/>
      <c r="BS11" s="208"/>
      <c r="BT11" s="208"/>
      <c r="BU11" s="208"/>
      <c r="BV11" s="208"/>
      <c r="BW11" s="208"/>
      <c r="BX11" s="208"/>
      <c r="BY11" s="208"/>
      <c r="BZ11" s="208"/>
      <c r="CA11" s="208"/>
      <c r="CB11" s="208"/>
      <c r="CC11" s="208"/>
      <c r="CD11" s="208"/>
      <c r="CE11" s="208"/>
      <c r="CF11" s="208"/>
      <c r="CG11" s="208"/>
      <c r="CH11" s="208"/>
      <c r="CI11" s="208"/>
      <c r="CJ11" s="208"/>
      <c r="CK11" s="208"/>
      <c r="CL11" s="208"/>
      <c r="CM11" s="208"/>
      <c r="CN11" s="208"/>
      <c r="CO11" s="208"/>
      <c r="CP11" s="208"/>
      <c r="CQ11" s="208"/>
      <c r="CR11" s="208"/>
      <c r="CS11" s="208"/>
      <c r="CT11" s="208"/>
      <c r="CU11" s="208"/>
      <c r="CV11" s="208"/>
      <c r="CW11" s="208"/>
      <c r="CX11" s="208"/>
      <c r="CY11" s="208"/>
      <c r="CZ11" s="208"/>
      <c r="DA11" s="208"/>
      <c r="DB11" s="208"/>
      <c r="DC11" s="208"/>
      <c r="DD11" s="208"/>
      <c r="DE11" s="208"/>
      <c r="DF11" s="208"/>
      <c r="DG11" s="208"/>
      <c r="DH11" s="208"/>
      <c r="DI11" s="208"/>
      <c r="DJ11" s="208"/>
      <c r="DK11" s="208"/>
      <c r="DL11" s="208"/>
      <c r="DM11" s="208"/>
      <c r="DN11" s="208"/>
      <c r="DO11" s="208"/>
      <c r="DP11" s="208"/>
      <c r="DQ11" s="208"/>
      <c r="DR11" s="208"/>
      <c r="DS11" s="208"/>
      <c r="DT11" s="208"/>
      <c r="DU11" s="208"/>
      <c r="DV11" s="208"/>
      <c r="DW11" s="208"/>
      <c r="DX11" s="208"/>
      <c r="DY11" s="208"/>
      <c r="DZ11" s="208"/>
      <c r="EA11" s="208"/>
      <c r="EB11" s="208"/>
      <c r="EC11" s="208"/>
      <c r="ED11" s="208"/>
      <c r="EE11" s="208"/>
      <c r="EF11" s="208"/>
      <c r="EG11" s="208"/>
      <c r="EH11" s="208"/>
      <c r="EI11" s="208"/>
      <c r="EJ11" s="208"/>
      <c r="EK11" s="208"/>
      <c r="EL11" s="208"/>
      <c r="EM11" s="208"/>
      <c r="EN11" s="208"/>
      <c r="EO11" s="208"/>
      <c r="EP11" s="208"/>
      <c r="EQ11" s="208"/>
      <c r="ER11" s="208"/>
      <c r="ES11" s="208"/>
      <c r="ET11" s="208"/>
      <c r="EU11" s="208"/>
      <c r="EV11" s="208"/>
      <c r="EW11" s="208"/>
      <c r="EX11" s="208"/>
      <c r="EY11" s="208"/>
      <c r="EZ11" s="208"/>
      <c r="FA11" s="208"/>
      <c r="FB11" s="208"/>
      <c r="FC11" s="208"/>
      <c r="FD11" s="208"/>
      <c r="FE11" s="208"/>
      <c r="FF11" s="208"/>
      <c r="FG11" s="208"/>
      <c r="FH11" s="208"/>
      <c r="FI11" s="208"/>
      <c r="FJ11" s="208"/>
      <c r="FK11" s="208"/>
      <c r="FL11" s="208"/>
      <c r="FM11" s="208"/>
      <c r="FN11" s="208"/>
      <c r="FO11" s="208"/>
      <c r="FP11" s="208"/>
      <c r="FQ11" s="208"/>
      <c r="FR11" s="208"/>
      <c r="FS11" s="208"/>
      <c r="FT11" s="208"/>
      <c r="FU11" s="208"/>
      <c r="FV11" s="208"/>
      <c r="FW11" s="208"/>
      <c r="FX11" s="208"/>
      <c r="FY11" s="208"/>
      <c r="FZ11" s="208"/>
      <c r="GA11" s="208"/>
      <c r="GB11" s="208"/>
      <c r="GC11" s="208"/>
      <c r="GD11" s="208"/>
      <c r="GE11" s="208"/>
      <c r="GF11" s="208"/>
      <c r="GG11" s="208"/>
      <c r="GH11" s="208"/>
      <c r="GI11" s="208"/>
      <c r="GJ11" s="208"/>
      <c r="GK11" s="208"/>
      <c r="GL11" s="208"/>
      <c r="GM11" s="208"/>
      <c r="GN11" s="208"/>
      <c r="GO11" s="208"/>
      <c r="GP11" s="208"/>
      <c r="GQ11" s="208"/>
      <c r="GR11" s="208"/>
      <c r="GS11" s="208"/>
      <c r="GT11" s="208"/>
      <c r="GU11" s="208"/>
      <c r="GV11" s="208"/>
      <c r="GW11" s="208"/>
      <c r="GX11" s="208"/>
      <c r="GY11" s="208"/>
      <c r="GZ11" s="208"/>
      <c r="HA11" s="208"/>
      <c r="HB11" s="208"/>
      <c r="HC11" s="208"/>
      <c r="HD11" s="208"/>
      <c r="HE11" s="208"/>
      <c r="HF11" s="208"/>
      <c r="HG11" s="208"/>
      <c r="HH11" s="208"/>
      <c r="HI11" s="208"/>
      <c r="HJ11" s="208"/>
      <c r="HK11" s="208"/>
      <c r="HL11" s="208"/>
      <c r="HM11" s="208"/>
      <c r="HN11" s="208"/>
      <c r="HO11" s="208"/>
      <c r="HP11" s="208"/>
      <c r="HQ11" s="208"/>
      <c r="HR11" s="208"/>
      <c r="HS11" s="208"/>
      <c r="HT11" s="208"/>
      <c r="HU11" s="208"/>
      <c r="HV11" s="208"/>
      <c r="HW11" s="208"/>
      <c r="HX11" s="208"/>
      <c r="HY11" s="208"/>
      <c r="HZ11" s="208"/>
      <c r="IA11" s="208"/>
      <c r="IB11" s="208"/>
      <c r="IC11" s="208"/>
      <c r="ID11" s="208"/>
      <c r="IE11" s="208"/>
      <c r="IF11" s="208"/>
      <c r="IG11" s="208"/>
      <c r="IH11" s="208"/>
      <c r="II11" s="208"/>
      <c r="IJ11" s="208"/>
      <c r="IK11" s="208"/>
      <c r="IL11" s="208"/>
      <c r="IM11" s="208"/>
      <c r="IN11" s="208"/>
      <c r="IO11" s="208"/>
      <c r="IP11" s="208"/>
      <c r="IQ11" s="208"/>
      <c r="IR11" s="208"/>
      <c r="IS11" s="208"/>
      <c r="IT11" s="208"/>
      <c r="IU11" s="208"/>
      <c r="IV11" s="208"/>
      <c r="IW11" s="208"/>
      <c r="IX11" s="208"/>
      <c r="IY11" s="208"/>
    </row>
    <row r="12" spans="1:1077" ht="15" customHeight="1" x14ac:dyDescent="0.2">
      <c r="A12" s="195">
        <v>0</v>
      </c>
      <c r="B12" s="196"/>
      <c r="C12" s="196"/>
      <c r="D12" s="197" t="s">
        <v>425</v>
      </c>
      <c r="E12" s="198">
        <v>1</v>
      </c>
      <c r="F12" s="197" t="s">
        <v>535</v>
      </c>
      <c r="G12" s="198">
        <v>1</v>
      </c>
      <c r="H12" s="199" t="s">
        <v>426</v>
      </c>
      <c r="I12" s="197">
        <v>2</v>
      </c>
      <c r="J12" s="197">
        <v>1</v>
      </c>
      <c r="K12" s="197">
        <v>1</v>
      </c>
      <c r="L12" s="198" t="s">
        <v>552</v>
      </c>
      <c r="M12" s="198"/>
      <c r="N12" s="200"/>
      <c r="O12" s="200" t="s">
        <v>536</v>
      </c>
      <c r="P12" s="201" t="s">
        <v>551</v>
      </c>
      <c r="Q12" s="197">
        <v>60</v>
      </c>
      <c r="R12" s="197" t="s">
        <v>538</v>
      </c>
      <c r="S12" s="197"/>
      <c r="T12" s="197"/>
      <c r="U12" s="197"/>
      <c r="V12" s="197"/>
      <c r="W12" s="197"/>
      <c r="X12" s="197"/>
      <c r="Y12" s="197"/>
      <c r="Z12" s="197"/>
      <c r="AA12" s="197" t="s">
        <v>1</v>
      </c>
      <c r="AB12" s="198" t="s">
        <v>2</v>
      </c>
      <c r="AC12" s="198" t="s">
        <v>540</v>
      </c>
      <c r="AD12" s="197" t="s">
        <v>428</v>
      </c>
      <c r="AE12" s="197" t="s">
        <v>428</v>
      </c>
      <c r="AF12" s="197" t="s">
        <v>428</v>
      </c>
      <c r="AG12" s="197" t="s">
        <v>428</v>
      </c>
      <c r="AH12" s="197" t="s">
        <v>428</v>
      </c>
      <c r="AI12" s="197" t="s">
        <v>428</v>
      </c>
      <c r="AJ12" s="197" t="s">
        <v>428</v>
      </c>
      <c r="AK12" s="197" t="s">
        <v>428</v>
      </c>
      <c r="AL12" s="197" t="s">
        <v>428</v>
      </c>
      <c r="AM12" s="197" t="s">
        <v>428</v>
      </c>
      <c r="AN12" s="197" t="s">
        <v>428</v>
      </c>
      <c r="AO12" s="202"/>
      <c r="AP12" s="207"/>
      <c r="AQ12" s="197"/>
      <c r="AR12" s="197"/>
      <c r="AS12" s="197"/>
      <c r="AT12" s="197"/>
      <c r="AU12" s="197"/>
      <c r="AV12" s="197"/>
      <c r="AW12" s="197"/>
      <c r="AX12" s="197"/>
      <c r="AY12" s="197"/>
      <c r="AZ12" s="197"/>
      <c r="BA12" s="197"/>
      <c r="BB12" s="197"/>
      <c r="BC12" s="197"/>
      <c r="BD12" s="197"/>
      <c r="BE12" s="197"/>
      <c r="BF12" s="197"/>
      <c r="BG12" s="197"/>
      <c r="BH12" s="197"/>
      <c r="BI12" s="197"/>
      <c r="BJ12" s="197"/>
      <c r="BK12" s="197"/>
      <c r="BL12" s="197"/>
      <c r="BM12" s="197"/>
      <c r="BN12" s="208"/>
      <c r="BO12" s="208"/>
      <c r="BP12" s="208"/>
      <c r="BQ12" s="208"/>
      <c r="BR12" s="208"/>
      <c r="BS12" s="208"/>
      <c r="BT12" s="208"/>
      <c r="BU12" s="208"/>
      <c r="BV12" s="208"/>
      <c r="BW12" s="208"/>
      <c r="BX12" s="208"/>
      <c r="BY12" s="208"/>
      <c r="BZ12" s="208"/>
      <c r="CA12" s="208"/>
      <c r="CB12" s="208"/>
      <c r="CC12" s="208"/>
      <c r="CD12" s="208"/>
      <c r="CE12" s="208"/>
      <c r="CF12" s="208"/>
      <c r="CG12" s="208"/>
      <c r="CH12" s="208"/>
      <c r="CI12" s="208"/>
      <c r="CJ12" s="208"/>
      <c r="CK12" s="208"/>
      <c r="CL12" s="208"/>
      <c r="CM12" s="208"/>
      <c r="CN12" s="208"/>
      <c r="CO12" s="208"/>
      <c r="CP12" s="208"/>
      <c r="CQ12" s="208"/>
      <c r="CR12" s="208"/>
      <c r="CS12" s="208"/>
      <c r="CT12" s="208"/>
      <c r="CU12" s="208"/>
      <c r="CV12" s="208"/>
      <c r="CW12" s="208"/>
      <c r="CX12" s="208"/>
      <c r="CY12" s="208"/>
      <c r="CZ12" s="208"/>
      <c r="DA12" s="208"/>
      <c r="DB12" s="208"/>
      <c r="DC12" s="208"/>
      <c r="DD12" s="208"/>
      <c r="DE12" s="208"/>
      <c r="DF12" s="208"/>
      <c r="DG12" s="208"/>
      <c r="DH12" s="208"/>
      <c r="DI12" s="208"/>
      <c r="DJ12" s="208"/>
      <c r="DK12" s="208"/>
      <c r="DL12" s="208"/>
      <c r="DM12" s="208"/>
      <c r="DN12" s="208"/>
      <c r="DO12" s="208"/>
      <c r="DP12" s="208"/>
      <c r="DQ12" s="208"/>
      <c r="DR12" s="208"/>
      <c r="DS12" s="208"/>
      <c r="DT12" s="208"/>
      <c r="DU12" s="208"/>
      <c r="DV12" s="208"/>
      <c r="DW12" s="208"/>
      <c r="DX12" s="208"/>
      <c r="DY12" s="208"/>
      <c r="DZ12" s="208"/>
      <c r="EA12" s="208"/>
      <c r="EB12" s="208"/>
      <c r="EC12" s="208"/>
      <c r="ED12" s="208"/>
      <c r="EE12" s="208"/>
      <c r="EF12" s="208"/>
      <c r="EG12" s="208"/>
      <c r="EH12" s="208"/>
      <c r="EI12" s="208"/>
      <c r="EJ12" s="208"/>
      <c r="EK12" s="208"/>
      <c r="EL12" s="208"/>
      <c r="EM12" s="208"/>
      <c r="EN12" s="208"/>
      <c r="EO12" s="208"/>
      <c r="EP12" s="208"/>
      <c r="EQ12" s="208"/>
      <c r="ER12" s="208"/>
      <c r="ES12" s="208"/>
      <c r="ET12" s="208"/>
      <c r="EU12" s="208"/>
      <c r="EV12" s="208"/>
      <c r="EW12" s="208"/>
      <c r="EX12" s="208"/>
      <c r="EY12" s="208"/>
      <c r="EZ12" s="208"/>
      <c r="FA12" s="208"/>
      <c r="FB12" s="208"/>
      <c r="FC12" s="208"/>
      <c r="FD12" s="208"/>
      <c r="FE12" s="208"/>
      <c r="FF12" s="208"/>
      <c r="FG12" s="208"/>
      <c r="FH12" s="208"/>
      <c r="FI12" s="208"/>
      <c r="FJ12" s="208"/>
      <c r="FK12" s="208"/>
      <c r="FL12" s="208"/>
      <c r="FM12" s="208"/>
      <c r="FN12" s="208"/>
      <c r="FO12" s="208"/>
      <c r="FP12" s="208"/>
      <c r="FQ12" s="208"/>
      <c r="FR12" s="208"/>
      <c r="FS12" s="208"/>
      <c r="FT12" s="208"/>
      <c r="FU12" s="208"/>
      <c r="FV12" s="208"/>
      <c r="FW12" s="208"/>
      <c r="FX12" s="208"/>
      <c r="FY12" s="208"/>
      <c r="FZ12" s="208"/>
      <c r="GA12" s="208"/>
      <c r="GB12" s="208"/>
      <c r="GC12" s="208"/>
      <c r="GD12" s="208"/>
      <c r="GE12" s="208"/>
      <c r="GF12" s="208"/>
      <c r="GG12" s="208"/>
      <c r="GH12" s="208"/>
      <c r="GI12" s="208"/>
      <c r="GJ12" s="208"/>
      <c r="GK12" s="208"/>
      <c r="GL12" s="208"/>
      <c r="GM12" s="208"/>
      <c r="GN12" s="208"/>
      <c r="GO12" s="208"/>
      <c r="GP12" s="208"/>
      <c r="GQ12" s="208"/>
      <c r="GR12" s="208"/>
      <c r="GS12" s="208"/>
      <c r="GT12" s="208"/>
      <c r="GU12" s="208"/>
      <c r="GV12" s="208"/>
      <c r="GW12" s="208"/>
      <c r="GX12" s="208"/>
      <c r="GY12" s="208"/>
      <c r="GZ12" s="208"/>
      <c r="HA12" s="208"/>
      <c r="HB12" s="208"/>
      <c r="HC12" s="208"/>
      <c r="HD12" s="208"/>
      <c r="HE12" s="208"/>
      <c r="HF12" s="208"/>
      <c r="HG12" s="208"/>
      <c r="HH12" s="208"/>
      <c r="HI12" s="208"/>
      <c r="HJ12" s="208"/>
      <c r="HK12" s="208"/>
      <c r="HL12" s="208"/>
      <c r="HM12" s="208"/>
      <c r="HN12" s="208"/>
      <c r="HO12" s="208"/>
      <c r="HP12" s="208"/>
      <c r="HQ12" s="208"/>
      <c r="HR12" s="208"/>
      <c r="HS12" s="208"/>
      <c r="HT12" s="208"/>
      <c r="HU12" s="208"/>
      <c r="HV12" s="208"/>
      <c r="HW12" s="208"/>
      <c r="HX12" s="208"/>
      <c r="HY12" s="208"/>
      <c r="HZ12" s="208"/>
      <c r="IA12" s="208"/>
      <c r="IB12" s="208"/>
      <c r="IC12" s="208"/>
      <c r="ID12" s="208"/>
      <c r="IE12" s="208"/>
      <c r="IF12" s="208"/>
      <c r="IG12" s="208"/>
      <c r="IH12" s="208"/>
      <c r="II12" s="208"/>
      <c r="IJ12" s="208"/>
      <c r="IK12" s="208"/>
      <c r="IL12" s="208"/>
      <c r="IM12" s="208"/>
      <c r="IN12" s="208"/>
      <c r="IO12" s="208"/>
      <c r="IP12" s="208"/>
      <c r="IQ12" s="208"/>
      <c r="IR12" s="208"/>
      <c r="IS12" s="208"/>
      <c r="IT12" s="208"/>
      <c r="IU12" s="208"/>
      <c r="IV12" s="208"/>
      <c r="IW12" s="208"/>
      <c r="IX12" s="208"/>
      <c r="IY12" s="208"/>
    </row>
    <row r="13" spans="1:1077" ht="21.6" customHeight="1" x14ac:dyDescent="0.2">
      <c r="A13" s="195">
        <v>0</v>
      </c>
      <c r="B13" s="196" t="s">
        <v>553</v>
      </c>
      <c r="C13" s="196"/>
      <c r="D13" s="197" t="s">
        <v>425</v>
      </c>
      <c r="E13" s="198">
        <v>1</v>
      </c>
      <c r="F13" s="197" t="s">
        <v>535</v>
      </c>
      <c r="G13" s="198">
        <v>1</v>
      </c>
      <c r="H13" s="199" t="s">
        <v>426</v>
      </c>
      <c r="I13" s="197">
        <v>2</v>
      </c>
      <c r="J13" s="197">
        <v>1</v>
      </c>
      <c r="K13" s="197">
        <v>1</v>
      </c>
      <c r="L13" s="198" t="s">
        <v>554</v>
      </c>
      <c r="M13" s="198"/>
      <c r="N13" s="200"/>
      <c r="O13" s="200" t="s">
        <v>536</v>
      </c>
      <c r="P13" s="201" t="s">
        <v>555</v>
      </c>
      <c r="Q13" s="197" t="s">
        <v>428</v>
      </c>
      <c r="R13" s="197" t="s">
        <v>428</v>
      </c>
      <c r="S13" s="197" t="s">
        <v>428</v>
      </c>
      <c r="T13" s="197" t="s">
        <v>428</v>
      </c>
      <c r="U13" s="197"/>
      <c r="V13" s="197"/>
      <c r="W13" s="197"/>
      <c r="X13" s="197"/>
      <c r="Y13" s="197"/>
      <c r="Z13" s="197"/>
      <c r="AA13" s="197" t="s">
        <v>1</v>
      </c>
      <c r="AB13" s="198" t="s">
        <v>2</v>
      </c>
      <c r="AC13" s="198" t="s">
        <v>540</v>
      </c>
      <c r="AD13" s="197" t="s">
        <v>428</v>
      </c>
      <c r="AE13" s="197" t="s">
        <v>428</v>
      </c>
      <c r="AF13" s="197" t="s">
        <v>428</v>
      </c>
      <c r="AG13" s="197" t="s">
        <v>428</v>
      </c>
      <c r="AH13" s="197" t="s">
        <v>428</v>
      </c>
      <c r="AI13" s="197" t="s">
        <v>428</v>
      </c>
      <c r="AJ13" s="197" t="s">
        <v>428</v>
      </c>
      <c r="AK13" s="197" t="s">
        <v>428</v>
      </c>
      <c r="AL13" s="197" t="s">
        <v>428</v>
      </c>
      <c r="AM13" s="197" t="s">
        <v>428</v>
      </c>
      <c r="AN13" s="197" t="s">
        <v>428</v>
      </c>
      <c r="AO13" s="202"/>
      <c r="AP13" s="207"/>
      <c r="AQ13" s="197"/>
      <c r="AR13" s="197"/>
      <c r="AS13" s="197"/>
      <c r="AT13" s="197"/>
      <c r="AU13" s="197"/>
      <c r="AV13" s="197"/>
      <c r="AW13" s="197"/>
      <c r="AX13" s="197"/>
      <c r="AY13" s="197"/>
      <c r="AZ13" s="197"/>
      <c r="BA13" s="197"/>
      <c r="BB13" s="197"/>
      <c r="BC13" s="197"/>
      <c r="BD13" s="197"/>
      <c r="BE13" s="197"/>
      <c r="BF13" s="197"/>
      <c r="BG13" s="197"/>
      <c r="BH13" s="197"/>
      <c r="BI13" s="197"/>
      <c r="BJ13" s="197"/>
      <c r="BK13" s="197"/>
      <c r="BL13" s="197"/>
      <c r="BM13" s="197"/>
      <c r="BN13" s="208"/>
      <c r="BO13" s="208"/>
      <c r="BP13" s="208"/>
      <c r="BQ13" s="208"/>
      <c r="BR13" s="208"/>
      <c r="BS13" s="208"/>
      <c r="BT13" s="208"/>
      <c r="BU13" s="208"/>
      <c r="BV13" s="208"/>
      <c r="BW13" s="208"/>
      <c r="BX13" s="208"/>
      <c r="BY13" s="208"/>
      <c r="BZ13" s="208"/>
      <c r="CA13" s="208"/>
      <c r="CB13" s="208"/>
      <c r="CC13" s="208"/>
      <c r="CD13" s="208"/>
      <c r="CE13" s="208"/>
      <c r="CF13" s="208"/>
      <c r="CG13" s="208"/>
      <c r="CH13" s="208"/>
      <c r="CI13" s="208"/>
      <c r="CJ13" s="208"/>
      <c r="CK13" s="208"/>
      <c r="CL13" s="208"/>
      <c r="CM13" s="208"/>
      <c r="CN13" s="208"/>
      <c r="CO13" s="208"/>
      <c r="CP13" s="208"/>
      <c r="CQ13" s="208"/>
      <c r="CR13" s="208"/>
      <c r="CS13" s="208"/>
      <c r="CT13" s="208"/>
      <c r="CU13" s="208"/>
      <c r="CV13" s="208"/>
      <c r="CW13" s="208"/>
      <c r="CX13" s="208"/>
      <c r="CY13" s="208"/>
      <c r="CZ13" s="208"/>
      <c r="DA13" s="208"/>
      <c r="DB13" s="208"/>
      <c r="DC13" s="208"/>
      <c r="DD13" s="208"/>
      <c r="DE13" s="208"/>
      <c r="DF13" s="208"/>
      <c r="DG13" s="208"/>
      <c r="DH13" s="208"/>
      <c r="DI13" s="208"/>
      <c r="DJ13" s="208"/>
      <c r="DK13" s="208"/>
      <c r="DL13" s="208"/>
      <c r="DM13" s="208"/>
      <c r="DN13" s="208"/>
      <c r="DO13" s="208"/>
      <c r="DP13" s="208"/>
      <c r="DQ13" s="208"/>
      <c r="DR13" s="208"/>
      <c r="DS13" s="208"/>
      <c r="DT13" s="208"/>
      <c r="DU13" s="208"/>
      <c r="DV13" s="208"/>
      <c r="DW13" s="208"/>
      <c r="DX13" s="208"/>
      <c r="DY13" s="208"/>
      <c r="DZ13" s="208"/>
      <c r="EA13" s="208"/>
      <c r="EB13" s="208"/>
      <c r="EC13" s="208"/>
      <c r="ED13" s="208"/>
      <c r="EE13" s="208"/>
      <c r="EF13" s="208"/>
      <c r="EG13" s="208"/>
      <c r="EH13" s="208"/>
      <c r="EI13" s="208"/>
      <c r="EJ13" s="208"/>
      <c r="EK13" s="208"/>
      <c r="EL13" s="208"/>
      <c r="EM13" s="208"/>
      <c r="EN13" s="208"/>
      <c r="EO13" s="208"/>
      <c r="EP13" s="208"/>
      <c r="EQ13" s="208"/>
      <c r="ER13" s="208"/>
      <c r="ES13" s="208"/>
      <c r="ET13" s="208"/>
      <c r="EU13" s="208"/>
      <c r="EV13" s="208"/>
      <c r="EW13" s="208"/>
      <c r="EX13" s="208"/>
      <c r="EY13" s="208"/>
      <c r="EZ13" s="208"/>
      <c r="FA13" s="208"/>
      <c r="FB13" s="208"/>
      <c r="FC13" s="208"/>
      <c r="FD13" s="208"/>
      <c r="FE13" s="208"/>
      <c r="FF13" s="208"/>
      <c r="FG13" s="208"/>
      <c r="FH13" s="208"/>
      <c r="FI13" s="208"/>
      <c r="FJ13" s="208"/>
      <c r="FK13" s="208"/>
      <c r="FL13" s="208"/>
      <c r="FM13" s="208"/>
      <c r="FN13" s="208"/>
      <c r="FO13" s="208"/>
      <c r="FP13" s="208"/>
      <c r="FQ13" s="208"/>
      <c r="FR13" s="208"/>
      <c r="FS13" s="208"/>
      <c r="FT13" s="208"/>
      <c r="FU13" s="208"/>
      <c r="FV13" s="208"/>
      <c r="FW13" s="208"/>
      <c r="FX13" s="208"/>
      <c r="FY13" s="208"/>
      <c r="FZ13" s="208"/>
      <c r="GA13" s="208"/>
      <c r="GB13" s="208"/>
      <c r="GC13" s="208"/>
      <c r="GD13" s="208"/>
      <c r="GE13" s="208"/>
      <c r="GF13" s="208"/>
      <c r="GG13" s="208"/>
      <c r="GH13" s="208"/>
      <c r="GI13" s="208"/>
      <c r="GJ13" s="208"/>
      <c r="GK13" s="208"/>
      <c r="GL13" s="208"/>
      <c r="GM13" s="208"/>
      <c r="GN13" s="208"/>
      <c r="GO13" s="208"/>
      <c r="GP13" s="208"/>
      <c r="GQ13" s="208"/>
      <c r="GR13" s="208"/>
      <c r="GS13" s="208"/>
      <c r="GT13" s="208"/>
      <c r="GU13" s="208"/>
      <c r="GV13" s="208"/>
      <c r="GW13" s="208"/>
      <c r="GX13" s="208"/>
      <c r="GY13" s="208"/>
      <c r="GZ13" s="208"/>
      <c r="HA13" s="208"/>
      <c r="HB13" s="208"/>
      <c r="HC13" s="208"/>
      <c r="HD13" s="208"/>
      <c r="HE13" s="208"/>
      <c r="HF13" s="208"/>
      <c r="HG13" s="208"/>
      <c r="HH13" s="208"/>
      <c r="HI13" s="208"/>
      <c r="HJ13" s="208"/>
      <c r="HK13" s="208"/>
      <c r="HL13" s="208"/>
      <c r="HM13" s="208"/>
      <c r="HN13" s="208"/>
      <c r="HO13" s="208"/>
      <c r="HP13" s="208"/>
      <c r="HQ13" s="208"/>
      <c r="HR13" s="208"/>
      <c r="HS13" s="208"/>
      <c r="HT13" s="208"/>
      <c r="HU13" s="208"/>
      <c r="HV13" s="208"/>
      <c r="HW13" s="208"/>
      <c r="HX13" s="208"/>
      <c r="HY13" s="208"/>
      <c r="HZ13" s="208"/>
      <c r="IA13" s="208"/>
      <c r="IB13" s="208"/>
      <c r="IC13" s="208"/>
      <c r="ID13" s="208"/>
      <c r="IE13" s="208"/>
      <c r="IF13" s="208"/>
      <c r="IG13" s="208"/>
      <c r="IH13" s="208"/>
      <c r="II13" s="208"/>
      <c r="IJ13" s="208"/>
      <c r="IK13" s="208"/>
      <c r="IL13" s="208"/>
      <c r="IM13" s="208"/>
      <c r="IN13" s="208"/>
      <c r="IO13" s="208"/>
      <c r="IP13" s="208"/>
      <c r="IQ13" s="208"/>
      <c r="IR13" s="208"/>
      <c r="IS13" s="208"/>
      <c r="IT13" s="208"/>
      <c r="IU13" s="208"/>
      <c r="IV13" s="208"/>
      <c r="IW13" s="208"/>
      <c r="IX13" s="208"/>
      <c r="IY13" s="208"/>
    </row>
    <row r="14" spans="1:1077" ht="21.6" customHeight="1" x14ac:dyDescent="0.2">
      <c r="A14" s="195">
        <v>0</v>
      </c>
      <c r="B14" s="196" t="s">
        <v>553</v>
      </c>
      <c r="C14" s="196"/>
      <c r="D14" s="197" t="s">
        <v>425</v>
      </c>
      <c r="E14" s="198">
        <v>1</v>
      </c>
      <c r="F14" s="197" t="s">
        <v>535</v>
      </c>
      <c r="G14" s="198">
        <v>1</v>
      </c>
      <c r="H14" s="199" t="s">
        <v>426</v>
      </c>
      <c r="I14" s="197">
        <v>2</v>
      </c>
      <c r="J14" s="197">
        <v>1</v>
      </c>
      <c r="K14" s="197">
        <v>1</v>
      </c>
      <c r="L14" s="198" t="s">
        <v>556</v>
      </c>
      <c r="M14" s="198"/>
      <c r="N14" s="200"/>
      <c r="O14" s="200" t="s">
        <v>536</v>
      </c>
      <c r="P14" s="201" t="s">
        <v>555</v>
      </c>
      <c r="Q14" s="197" t="s">
        <v>428</v>
      </c>
      <c r="R14" s="197" t="s">
        <v>428</v>
      </c>
      <c r="S14" s="197" t="s">
        <v>428</v>
      </c>
      <c r="T14" s="197" t="s">
        <v>428</v>
      </c>
      <c r="U14" s="197"/>
      <c r="V14" s="197"/>
      <c r="W14" s="197"/>
      <c r="X14" s="197"/>
      <c r="Y14" s="197"/>
      <c r="Z14" s="197"/>
      <c r="AA14" s="197" t="s">
        <v>1</v>
      </c>
      <c r="AB14" s="198" t="s">
        <v>2</v>
      </c>
      <c r="AC14" s="198" t="s">
        <v>540</v>
      </c>
      <c r="AD14" s="197" t="s">
        <v>428</v>
      </c>
      <c r="AE14" s="197" t="s">
        <v>428</v>
      </c>
      <c r="AF14" s="197" t="s">
        <v>428</v>
      </c>
      <c r="AG14" s="197" t="s">
        <v>428</v>
      </c>
      <c r="AH14" s="197" t="s">
        <v>428</v>
      </c>
      <c r="AI14" s="197" t="s">
        <v>428</v>
      </c>
      <c r="AJ14" s="197" t="s">
        <v>428</v>
      </c>
      <c r="AK14" s="197" t="s">
        <v>428</v>
      </c>
      <c r="AL14" s="197" t="s">
        <v>428</v>
      </c>
      <c r="AM14" s="197" t="s">
        <v>428</v>
      </c>
      <c r="AN14" s="197" t="s">
        <v>428</v>
      </c>
      <c r="AO14" s="202"/>
    </row>
    <row r="15" spans="1:1077" ht="15" customHeight="1" x14ac:dyDescent="0.2">
      <c r="A15" s="195">
        <v>0</v>
      </c>
      <c r="B15" s="196" t="s">
        <v>425</v>
      </c>
      <c r="C15" s="196"/>
      <c r="D15" s="197" t="s">
        <v>425</v>
      </c>
      <c r="E15" s="198">
        <v>1</v>
      </c>
      <c r="F15" s="197" t="s">
        <v>535</v>
      </c>
      <c r="G15" s="198">
        <v>1</v>
      </c>
      <c r="H15" s="199" t="s">
        <v>426</v>
      </c>
      <c r="I15" s="197">
        <v>2</v>
      </c>
      <c r="J15" s="197">
        <v>1</v>
      </c>
      <c r="K15" s="197">
        <v>1</v>
      </c>
      <c r="L15" s="198" t="s">
        <v>557</v>
      </c>
      <c r="M15" s="198"/>
      <c r="N15" s="200"/>
      <c r="O15" s="200" t="s">
        <v>536</v>
      </c>
      <c r="P15" s="201" t="s">
        <v>558</v>
      </c>
      <c r="Q15" s="197" t="s">
        <v>428</v>
      </c>
      <c r="R15" s="197" t="s">
        <v>428</v>
      </c>
      <c r="S15" s="197" t="s">
        <v>428</v>
      </c>
      <c r="T15" s="197" t="s">
        <v>428</v>
      </c>
      <c r="U15" s="197"/>
      <c r="V15" s="197"/>
      <c r="W15" s="197"/>
      <c r="X15" s="197"/>
      <c r="Y15" s="197"/>
      <c r="Z15" s="197"/>
      <c r="AA15" s="197" t="s">
        <v>1</v>
      </c>
      <c r="AB15" s="198" t="s">
        <v>2</v>
      </c>
      <c r="AC15" s="198" t="s">
        <v>540</v>
      </c>
      <c r="AD15" s="197" t="s">
        <v>428</v>
      </c>
      <c r="AE15" s="197" t="s">
        <v>428</v>
      </c>
      <c r="AF15" s="197" t="s">
        <v>428</v>
      </c>
      <c r="AG15" s="197" t="s">
        <v>428</v>
      </c>
      <c r="AH15" s="197" t="s">
        <v>428</v>
      </c>
      <c r="AI15" s="197" t="s">
        <v>428</v>
      </c>
      <c r="AJ15" s="197" t="s">
        <v>428</v>
      </c>
      <c r="AK15" s="197" t="s">
        <v>428</v>
      </c>
      <c r="AL15" s="197" t="s">
        <v>428</v>
      </c>
      <c r="AM15" s="197" t="s">
        <v>428</v>
      </c>
      <c r="AN15" s="197" t="s">
        <v>428</v>
      </c>
      <c r="AO15" s="202"/>
      <c r="AP15" s="207"/>
      <c r="AQ15" s="197"/>
      <c r="AR15" s="197"/>
      <c r="AS15" s="197"/>
      <c r="AT15" s="197"/>
      <c r="AU15" s="197"/>
      <c r="AV15" s="197"/>
      <c r="AW15" s="197"/>
      <c r="AX15" s="197"/>
      <c r="AY15" s="197"/>
      <c r="AZ15" s="197"/>
      <c r="BA15" s="197"/>
      <c r="BB15" s="197"/>
      <c r="BC15" s="197"/>
      <c r="BD15" s="197"/>
      <c r="BE15" s="197"/>
      <c r="BF15" s="197"/>
      <c r="BG15" s="197"/>
      <c r="BH15" s="197"/>
      <c r="BI15" s="197"/>
      <c r="BJ15" s="197"/>
      <c r="BK15" s="197"/>
      <c r="BL15" s="197"/>
      <c r="BM15" s="197"/>
      <c r="BN15" s="208"/>
      <c r="BO15" s="208"/>
      <c r="BP15" s="208"/>
      <c r="BQ15" s="208"/>
      <c r="BR15" s="208"/>
      <c r="BS15" s="208"/>
      <c r="BT15" s="208"/>
      <c r="BU15" s="208"/>
      <c r="BV15" s="208"/>
      <c r="BW15" s="208"/>
      <c r="BX15" s="208"/>
      <c r="BY15" s="208"/>
      <c r="BZ15" s="208"/>
      <c r="CA15" s="208"/>
      <c r="CB15" s="208"/>
      <c r="CC15" s="208"/>
      <c r="CD15" s="208"/>
      <c r="CE15" s="208"/>
      <c r="CF15" s="208"/>
      <c r="CG15" s="208"/>
      <c r="CH15" s="208"/>
      <c r="CI15" s="208"/>
      <c r="CJ15" s="208"/>
      <c r="CK15" s="208"/>
      <c r="CL15" s="208"/>
      <c r="CM15" s="208"/>
      <c r="CN15" s="208"/>
      <c r="CO15" s="208"/>
      <c r="CP15" s="208"/>
      <c r="CQ15" s="208"/>
      <c r="CR15" s="208"/>
      <c r="CS15" s="208"/>
      <c r="CT15" s="208"/>
      <c r="CU15" s="208"/>
      <c r="CV15" s="208"/>
      <c r="CW15" s="208"/>
      <c r="CX15" s="208"/>
      <c r="CY15" s="208"/>
      <c r="CZ15" s="208"/>
      <c r="DA15" s="208"/>
      <c r="DB15" s="208"/>
      <c r="DC15" s="208"/>
      <c r="DD15" s="208"/>
      <c r="DE15" s="208"/>
      <c r="DF15" s="208"/>
      <c r="DG15" s="208"/>
      <c r="DH15" s="208"/>
      <c r="DI15" s="208"/>
      <c r="DJ15" s="208"/>
      <c r="DK15" s="208"/>
      <c r="DL15" s="208"/>
      <c r="DM15" s="208"/>
      <c r="DN15" s="208"/>
      <c r="DO15" s="208"/>
      <c r="DP15" s="208"/>
      <c r="DQ15" s="208"/>
      <c r="DR15" s="208"/>
      <c r="DS15" s="208"/>
      <c r="DT15" s="208"/>
      <c r="DU15" s="208"/>
      <c r="DV15" s="208"/>
      <c r="DW15" s="208"/>
      <c r="DX15" s="208"/>
      <c r="DY15" s="208"/>
      <c r="DZ15" s="208"/>
      <c r="EA15" s="208"/>
      <c r="EB15" s="208"/>
      <c r="EC15" s="208"/>
      <c r="ED15" s="208"/>
      <c r="EE15" s="208"/>
      <c r="EF15" s="208"/>
      <c r="EG15" s="208"/>
      <c r="EH15" s="208"/>
      <c r="EI15" s="208"/>
      <c r="EJ15" s="208"/>
      <c r="EK15" s="208"/>
      <c r="EL15" s="208"/>
      <c r="EM15" s="208"/>
      <c r="EN15" s="208"/>
      <c r="EO15" s="208"/>
      <c r="EP15" s="208"/>
      <c r="EQ15" s="208"/>
      <c r="ER15" s="208"/>
      <c r="ES15" s="208"/>
      <c r="ET15" s="208"/>
      <c r="EU15" s="208"/>
      <c r="EV15" s="208"/>
      <c r="EW15" s="208"/>
      <c r="EX15" s="208"/>
      <c r="EY15" s="208"/>
      <c r="EZ15" s="208"/>
      <c r="FA15" s="208"/>
      <c r="FB15" s="208"/>
      <c r="FC15" s="208"/>
      <c r="FD15" s="208"/>
      <c r="FE15" s="208"/>
      <c r="FF15" s="208"/>
      <c r="FG15" s="208"/>
      <c r="FH15" s="208"/>
      <c r="FI15" s="208"/>
      <c r="FJ15" s="208"/>
      <c r="FK15" s="208"/>
      <c r="FL15" s="208"/>
      <c r="FM15" s="208"/>
      <c r="FN15" s="208"/>
      <c r="FO15" s="208"/>
      <c r="FP15" s="208"/>
      <c r="FQ15" s="208"/>
      <c r="FR15" s="208"/>
      <c r="FS15" s="208"/>
      <c r="FT15" s="208"/>
      <c r="FU15" s="208"/>
      <c r="FV15" s="208"/>
      <c r="FW15" s="208"/>
      <c r="FX15" s="208"/>
      <c r="FY15" s="208"/>
      <c r="FZ15" s="208"/>
      <c r="GA15" s="208"/>
      <c r="GB15" s="208"/>
      <c r="GC15" s="208"/>
      <c r="GD15" s="208"/>
      <c r="GE15" s="208"/>
      <c r="GF15" s="208"/>
      <c r="GG15" s="208"/>
      <c r="GH15" s="208"/>
      <c r="GI15" s="208"/>
      <c r="GJ15" s="208"/>
      <c r="GK15" s="208"/>
      <c r="GL15" s="208"/>
      <c r="GM15" s="208"/>
      <c r="GN15" s="208"/>
      <c r="GO15" s="208"/>
      <c r="GP15" s="208"/>
      <c r="GQ15" s="208"/>
      <c r="GR15" s="208"/>
      <c r="GS15" s="208"/>
      <c r="GT15" s="208"/>
      <c r="GU15" s="208"/>
      <c r="GV15" s="208"/>
      <c r="GW15" s="208"/>
      <c r="GX15" s="208"/>
      <c r="GY15" s="208"/>
      <c r="GZ15" s="208"/>
      <c r="HA15" s="208"/>
      <c r="HB15" s="208"/>
      <c r="HC15" s="208"/>
      <c r="HD15" s="208"/>
      <c r="HE15" s="208"/>
      <c r="HF15" s="208"/>
      <c r="HG15" s="208"/>
      <c r="HH15" s="208"/>
      <c r="HI15" s="208"/>
      <c r="HJ15" s="208"/>
      <c r="HK15" s="208"/>
      <c r="HL15" s="208"/>
      <c r="HM15" s="208"/>
      <c r="HN15" s="208"/>
      <c r="HO15" s="208"/>
      <c r="HP15" s="208"/>
      <c r="HQ15" s="208"/>
      <c r="HR15" s="208"/>
      <c r="HS15" s="208"/>
      <c r="HT15" s="208"/>
      <c r="HU15" s="208"/>
      <c r="HV15" s="208"/>
      <c r="HW15" s="208"/>
      <c r="HX15" s="208"/>
      <c r="HY15" s="208"/>
      <c r="HZ15" s="208"/>
      <c r="IA15" s="208"/>
      <c r="IB15" s="208"/>
      <c r="IC15" s="208"/>
      <c r="ID15" s="208"/>
      <c r="IE15" s="208"/>
      <c r="IF15" s="208"/>
      <c r="IG15" s="208"/>
      <c r="IH15" s="208"/>
      <c r="II15" s="208"/>
      <c r="IJ15" s="208"/>
      <c r="IK15" s="208"/>
      <c r="IL15" s="208"/>
      <c r="IM15" s="208"/>
      <c r="IN15" s="208"/>
      <c r="IO15" s="208"/>
      <c r="IP15" s="208"/>
      <c r="IQ15" s="208"/>
      <c r="IR15" s="208"/>
      <c r="IS15" s="208"/>
      <c r="IT15" s="208"/>
      <c r="IU15" s="208"/>
      <c r="IV15" s="208"/>
      <c r="IW15" s="208"/>
      <c r="IX15" s="208"/>
      <c r="IY15" s="208"/>
    </row>
    <row r="16" spans="1:1077" ht="15" customHeight="1" x14ac:dyDescent="0.2">
      <c r="A16" s="195">
        <v>0</v>
      </c>
      <c r="B16" s="196" t="s">
        <v>425</v>
      </c>
      <c r="C16" s="196"/>
      <c r="D16" s="197" t="s">
        <v>425</v>
      </c>
      <c r="E16" s="198">
        <v>1</v>
      </c>
      <c r="F16" s="197" t="s">
        <v>535</v>
      </c>
      <c r="G16" s="198">
        <v>1</v>
      </c>
      <c r="H16" s="199" t="s">
        <v>426</v>
      </c>
      <c r="I16" s="197">
        <v>2</v>
      </c>
      <c r="J16" s="197">
        <v>1</v>
      </c>
      <c r="K16" s="197">
        <v>1</v>
      </c>
      <c r="L16" s="198" t="s">
        <v>559</v>
      </c>
      <c r="M16" s="198"/>
      <c r="N16" s="200"/>
      <c r="O16" s="200" t="s">
        <v>536</v>
      </c>
      <c r="P16" s="201" t="s">
        <v>558</v>
      </c>
      <c r="Q16" s="197" t="s">
        <v>428</v>
      </c>
      <c r="R16" s="197" t="s">
        <v>428</v>
      </c>
      <c r="S16" s="197" t="s">
        <v>428</v>
      </c>
      <c r="T16" s="197" t="s">
        <v>428</v>
      </c>
      <c r="U16" s="197"/>
      <c r="V16" s="197"/>
      <c r="W16" s="197"/>
      <c r="X16" s="197"/>
      <c r="Y16" s="197"/>
      <c r="Z16" s="197"/>
      <c r="AA16" s="197" t="s">
        <v>1</v>
      </c>
      <c r="AB16" s="198" t="s">
        <v>2</v>
      </c>
      <c r="AC16" s="198" t="s">
        <v>540</v>
      </c>
      <c r="AD16" s="197" t="s">
        <v>428</v>
      </c>
      <c r="AE16" s="197" t="s">
        <v>428</v>
      </c>
      <c r="AF16" s="197" t="s">
        <v>428</v>
      </c>
      <c r="AG16" s="197" t="s">
        <v>428</v>
      </c>
      <c r="AH16" s="197" t="s">
        <v>428</v>
      </c>
      <c r="AI16" s="197" t="s">
        <v>428</v>
      </c>
      <c r="AJ16" s="197" t="s">
        <v>428</v>
      </c>
      <c r="AK16" s="197" t="s">
        <v>428</v>
      </c>
      <c r="AL16" s="197" t="s">
        <v>428</v>
      </c>
      <c r="AM16" s="197" t="s">
        <v>428</v>
      </c>
      <c r="AN16" s="197" t="s">
        <v>428</v>
      </c>
      <c r="AO16" s="202"/>
    </row>
    <row r="17" spans="1:1077" ht="15" customHeight="1" x14ac:dyDescent="0.2">
      <c r="A17" s="195">
        <v>0</v>
      </c>
      <c r="B17" s="196" t="s">
        <v>425</v>
      </c>
      <c r="C17" s="196"/>
      <c r="D17" s="197" t="s">
        <v>425</v>
      </c>
      <c r="E17" s="198">
        <v>1</v>
      </c>
      <c r="F17" s="197" t="s">
        <v>535</v>
      </c>
      <c r="G17" s="198">
        <v>1</v>
      </c>
      <c r="H17" s="199" t="s">
        <v>426</v>
      </c>
      <c r="I17" s="197">
        <v>2</v>
      </c>
      <c r="J17" s="197">
        <v>1</v>
      </c>
      <c r="K17" s="197">
        <v>1</v>
      </c>
      <c r="L17" s="198" t="s">
        <v>560</v>
      </c>
      <c r="M17" s="198"/>
      <c r="N17" s="200"/>
      <c r="O17" s="200" t="s">
        <v>536</v>
      </c>
      <c r="P17" s="201" t="s">
        <v>561</v>
      </c>
      <c r="Q17" s="197" t="s">
        <v>428</v>
      </c>
      <c r="R17" s="197" t="s">
        <v>428</v>
      </c>
      <c r="S17" s="197" t="s">
        <v>428</v>
      </c>
      <c r="T17" s="197" t="s">
        <v>428</v>
      </c>
      <c r="U17" s="197"/>
      <c r="V17" s="197"/>
      <c r="W17" s="197"/>
      <c r="X17" s="197"/>
      <c r="Y17" s="197"/>
      <c r="Z17" s="197"/>
      <c r="AA17" s="197" t="s">
        <v>1</v>
      </c>
      <c r="AB17" s="198" t="s">
        <v>2</v>
      </c>
      <c r="AC17" s="198" t="s">
        <v>540</v>
      </c>
      <c r="AD17" s="197" t="s">
        <v>428</v>
      </c>
      <c r="AE17" s="197" t="s">
        <v>428</v>
      </c>
      <c r="AF17" s="197" t="s">
        <v>428</v>
      </c>
      <c r="AG17" s="197" t="s">
        <v>428</v>
      </c>
      <c r="AH17" s="197" t="s">
        <v>428</v>
      </c>
      <c r="AI17" s="197" t="s">
        <v>428</v>
      </c>
      <c r="AJ17" s="197" t="s">
        <v>428</v>
      </c>
      <c r="AK17" s="197" t="s">
        <v>428</v>
      </c>
      <c r="AL17" s="197" t="s">
        <v>428</v>
      </c>
      <c r="AM17" s="197" t="s">
        <v>428</v>
      </c>
      <c r="AN17" s="197" t="s">
        <v>428</v>
      </c>
      <c r="AO17" s="202"/>
      <c r="AP17" s="207"/>
      <c r="AQ17" s="197"/>
      <c r="AR17" s="197"/>
      <c r="AS17" s="197"/>
      <c r="AT17" s="197"/>
      <c r="AU17" s="197"/>
      <c r="AV17" s="197"/>
      <c r="AW17" s="197"/>
      <c r="AX17" s="197"/>
      <c r="AY17" s="197"/>
      <c r="AZ17" s="197"/>
      <c r="BA17" s="197"/>
      <c r="BB17" s="197"/>
      <c r="BC17" s="197"/>
      <c r="BD17" s="197"/>
      <c r="BE17" s="197"/>
      <c r="BF17" s="197"/>
      <c r="BG17" s="197"/>
      <c r="BH17" s="197"/>
      <c r="BI17" s="197"/>
      <c r="BJ17" s="197"/>
      <c r="BK17" s="197"/>
      <c r="BL17" s="197"/>
      <c r="BM17" s="197"/>
      <c r="BN17" s="208"/>
      <c r="BO17" s="208"/>
      <c r="BP17" s="208"/>
      <c r="BQ17" s="208"/>
      <c r="BR17" s="208"/>
      <c r="BS17" s="208"/>
      <c r="BT17" s="208"/>
      <c r="BU17" s="208"/>
      <c r="BV17" s="208"/>
      <c r="BW17" s="208"/>
      <c r="BX17" s="208"/>
      <c r="BY17" s="208"/>
      <c r="BZ17" s="208"/>
      <c r="CA17" s="208"/>
      <c r="CB17" s="208"/>
      <c r="CC17" s="208"/>
      <c r="CD17" s="208"/>
      <c r="CE17" s="208"/>
      <c r="CF17" s="208"/>
      <c r="CG17" s="208"/>
      <c r="CH17" s="208"/>
      <c r="CI17" s="208"/>
      <c r="CJ17" s="208"/>
      <c r="CK17" s="208"/>
      <c r="CL17" s="208"/>
      <c r="CM17" s="208"/>
      <c r="CN17" s="208"/>
      <c r="CO17" s="208"/>
      <c r="CP17" s="208"/>
      <c r="CQ17" s="208"/>
      <c r="CR17" s="208"/>
      <c r="CS17" s="208"/>
      <c r="CT17" s="208"/>
      <c r="CU17" s="208"/>
      <c r="CV17" s="208"/>
      <c r="CW17" s="208"/>
      <c r="CX17" s="208"/>
      <c r="CY17" s="208"/>
      <c r="CZ17" s="208"/>
      <c r="DA17" s="208"/>
      <c r="DB17" s="208"/>
      <c r="DC17" s="208"/>
      <c r="DD17" s="208"/>
      <c r="DE17" s="208"/>
      <c r="DF17" s="208"/>
      <c r="DG17" s="208"/>
      <c r="DH17" s="208"/>
      <c r="DI17" s="208"/>
      <c r="DJ17" s="208"/>
      <c r="DK17" s="208"/>
      <c r="DL17" s="208"/>
      <c r="DM17" s="208"/>
      <c r="DN17" s="208"/>
      <c r="DO17" s="208"/>
      <c r="DP17" s="208"/>
      <c r="DQ17" s="208"/>
      <c r="DR17" s="208"/>
      <c r="DS17" s="208"/>
      <c r="DT17" s="208"/>
      <c r="DU17" s="208"/>
      <c r="DV17" s="208"/>
      <c r="DW17" s="208"/>
      <c r="DX17" s="208"/>
      <c r="DY17" s="208"/>
      <c r="DZ17" s="208"/>
      <c r="EA17" s="208"/>
      <c r="EB17" s="208"/>
      <c r="EC17" s="208"/>
      <c r="ED17" s="208"/>
      <c r="EE17" s="208"/>
      <c r="EF17" s="208"/>
      <c r="EG17" s="208"/>
      <c r="EH17" s="208"/>
      <c r="EI17" s="208"/>
      <c r="EJ17" s="208"/>
      <c r="EK17" s="208"/>
      <c r="EL17" s="208"/>
      <c r="EM17" s="208"/>
      <c r="EN17" s="208"/>
      <c r="EO17" s="208"/>
      <c r="EP17" s="208"/>
      <c r="EQ17" s="208"/>
      <c r="ER17" s="208"/>
      <c r="ES17" s="208"/>
      <c r="ET17" s="208"/>
      <c r="EU17" s="208"/>
      <c r="EV17" s="208"/>
      <c r="EW17" s="208"/>
      <c r="EX17" s="208"/>
      <c r="EY17" s="208"/>
      <c r="EZ17" s="208"/>
      <c r="FA17" s="208"/>
      <c r="FB17" s="208"/>
      <c r="FC17" s="208"/>
      <c r="FD17" s="208"/>
      <c r="FE17" s="208"/>
      <c r="FF17" s="208"/>
      <c r="FG17" s="208"/>
      <c r="FH17" s="208"/>
      <c r="FI17" s="208"/>
      <c r="FJ17" s="208"/>
      <c r="FK17" s="208"/>
      <c r="FL17" s="208"/>
      <c r="FM17" s="208"/>
      <c r="FN17" s="208"/>
      <c r="FO17" s="208"/>
      <c r="FP17" s="208"/>
      <c r="FQ17" s="208"/>
      <c r="FR17" s="208"/>
      <c r="FS17" s="208"/>
      <c r="FT17" s="208"/>
      <c r="FU17" s="208"/>
      <c r="FV17" s="208"/>
      <c r="FW17" s="208"/>
      <c r="FX17" s="208"/>
      <c r="FY17" s="208"/>
      <c r="FZ17" s="208"/>
      <c r="GA17" s="208"/>
      <c r="GB17" s="208"/>
      <c r="GC17" s="208"/>
      <c r="GD17" s="208"/>
      <c r="GE17" s="208"/>
      <c r="GF17" s="208"/>
      <c r="GG17" s="208"/>
      <c r="GH17" s="208"/>
      <c r="GI17" s="208"/>
      <c r="GJ17" s="208"/>
      <c r="GK17" s="208"/>
      <c r="GL17" s="208"/>
      <c r="GM17" s="208"/>
      <c r="GN17" s="208"/>
      <c r="GO17" s="208"/>
      <c r="GP17" s="208"/>
      <c r="GQ17" s="208"/>
      <c r="GR17" s="208"/>
      <c r="GS17" s="208"/>
      <c r="GT17" s="208"/>
      <c r="GU17" s="208"/>
      <c r="GV17" s="208"/>
      <c r="GW17" s="208"/>
      <c r="GX17" s="208"/>
      <c r="GY17" s="208"/>
      <c r="GZ17" s="208"/>
      <c r="HA17" s="208"/>
      <c r="HB17" s="208"/>
      <c r="HC17" s="208"/>
      <c r="HD17" s="208"/>
      <c r="HE17" s="208"/>
      <c r="HF17" s="208"/>
      <c r="HG17" s="208"/>
      <c r="HH17" s="208"/>
      <c r="HI17" s="208"/>
      <c r="HJ17" s="208"/>
      <c r="HK17" s="208"/>
      <c r="HL17" s="208"/>
      <c r="HM17" s="208"/>
      <c r="HN17" s="208"/>
      <c r="HO17" s="208"/>
      <c r="HP17" s="208"/>
      <c r="HQ17" s="208"/>
      <c r="HR17" s="208"/>
      <c r="HS17" s="208"/>
      <c r="HT17" s="208"/>
      <c r="HU17" s="208"/>
      <c r="HV17" s="208"/>
      <c r="HW17" s="208"/>
      <c r="HX17" s="208"/>
      <c r="HY17" s="208"/>
      <c r="HZ17" s="208"/>
      <c r="IA17" s="208"/>
      <c r="IB17" s="208"/>
      <c r="IC17" s="208"/>
      <c r="ID17" s="208"/>
      <c r="IE17" s="208"/>
      <c r="IF17" s="208"/>
      <c r="IG17" s="208"/>
      <c r="IH17" s="208"/>
      <c r="II17" s="208"/>
      <c r="IJ17" s="208"/>
      <c r="IK17" s="208"/>
      <c r="IL17" s="208"/>
      <c r="IM17" s="208"/>
      <c r="IN17" s="208"/>
      <c r="IO17" s="208"/>
      <c r="IP17" s="208"/>
      <c r="IQ17" s="208"/>
      <c r="IR17" s="208"/>
      <c r="IS17" s="208"/>
      <c r="IT17" s="208"/>
      <c r="IU17" s="208"/>
      <c r="IV17" s="208"/>
      <c r="IW17" s="208"/>
      <c r="IX17" s="208"/>
      <c r="IY17" s="208"/>
    </row>
    <row r="18" spans="1:1077" ht="15" customHeight="1" x14ac:dyDescent="0.2">
      <c r="A18" s="195">
        <v>0</v>
      </c>
      <c r="B18" s="196"/>
      <c r="C18" s="196"/>
      <c r="D18" s="197" t="s">
        <v>425</v>
      </c>
      <c r="E18" s="198">
        <v>1</v>
      </c>
      <c r="F18" s="197" t="s">
        <v>535</v>
      </c>
      <c r="G18" s="198">
        <v>1</v>
      </c>
      <c r="H18" s="199" t="s">
        <v>426</v>
      </c>
      <c r="I18" s="197">
        <v>2</v>
      </c>
      <c r="J18" s="197">
        <v>1</v>
      </c>
      <c r="K18" s="197">
        <v>1</v>
      </c>
      <c r="L18" s="198" t="s">
        <v>562</v>
      </c>
      <c r="M18" s="198"/>
      <c r="N18" s="200"/>
      <c r="O18" s="200" t="s">
        <v>536</v>
      </c>
      <c r="P18" s="201" t="s">
        <v>561</v>
      </c>
      <c r="Q18" s="197" t="s">
        <v>428</v>
      </c>
      <c r="R18" s="197" t="s">
        <v>428</v>
      </c>
      <c r="S18" s="197" t="s">
        <v>428</v>
      </c>
      <c r="T18" s="197" t="s">
        <v>428</v>
      </c>
      <c r="U18" s="197"/>
      <c r="V18" s="197"/>
      <c r="W18" s="197"/>
      <c r="X18" s="197"/>
      <c r="Y18" s="197"/>
      <c r="Z18" s="197"/>
      <c r="AA18" s="197" t="s">
        <v>1</v>
      </c>
      <c r="AB18" s="198" t="s">
        <v>2</v>
      </c>
      <c r="AC18" s="198" t="s">
        <v>540</v>
      </c>
      <c r="AD18" s="197" t="s">
        <v>428</v>
      </c>
      <c r="AE18" s="197" t="s">
        <v>428</v>
      </c>
      <c r="AF18" s="197" t="s">
        <v>428</v>
      </c>
      <c r="AG18" s="197" t="s">
        <v>428</v>
      </c>
      <c r="AH18" s="197" t="s">
        <v>428</v>
      </c>
      <c r="AI18" s="197" t="s">
        <v>428</v>
      </c>
      <c r="AJ18" s="197" t="s">
        <v>428</v>
      </c>
      <c r="AK18" s="197" t="s">
        <v>428</v>
      </c>
      <c r="AL18" s="197" t="s">
        <v>428</v>
      </c>
      <c r="AM18" s="197" t="s">
        <v>428</v>
      </c>
      <c r="AN18" s="197" t="s">
        <v>428</v>
      </c>
      <c r="AO18" s="202"/>
      <c r="AP18" s="207"/>
      <c r="AQ18" s="197"/>
      <c r="AR18" s="197"/>
      <c r="AS18" s="197"/>
      <c r="AT18" s="197"/>
      <c r="AU18" s="197"/>
      <c r="AV18" s="197"/>
      <c r="AW18" s="197"/>
      <c r="AX18" s="197"/>
      <c r="AY18" s="197"/>
      <c r="AZ18" s="197"/>
      <c r="BA18" s="197"/>
      <c r="BB18" s="197"/>
      <c r="BC18" s="197"/>
      <c r="BD18" s="197"/>
      <c r="BE18" s="197"/>
      <c r="BF18" s="197"/>
      <c r="BG18" s="197"/>
      <c r="BH18" s="197"/>
      <c r="BI18" s="197"/>
      <c r="BJ18" s="197"/>
      <c r="BK18" s="197"/>
      <c r="BL18" s="197"/>
      <c r="BM18" s="197"/>
      <c r="BN18" s="208"/>
      <c r="BO18" s="208"/>
      <c r="BP18" s="208"/>
      <c r="BQ18" s="208"/>
      <c r="BR18" s="208"/>
      <c r="BS18" s="208"/>
      <c r="BT18" s="208"/>
      <c r="BU18" s="208"/>
      <c r="BV18" s="208"/>
      <c r="BW18" s="208"/>
      <c r="BX18" s="208"/>
      <c r="BY18" s="208"/>
      <c r="BZ18" s="208"/>
      <c r="CA18" s="208"/>
      <c r="CB18" s="208"/>
      <c r="CC18" s="208"/>
      <c r="CD18" s="208"/>
      <c r="CE18" s="208"/>
      <c r="CF18" s="208"/>
      <c r="CG18" s="208"/>
      <c r="CH18" s="208"/>
      <c r="CI18" s="208"/>
      <c r="CJ18" s="208"/>
      <c r="CK18" s="208"/>
      <c r="CL18" s="208"/>
      <c r="CM18" s="208"/>
      <c r="CN18" s="208"/>
      <c r="CO18" s="208"/>
      <c r="CP18" s="208"/>
      <c r="CQ18" s="208"/>
      <c r="CR18" s="208"/>
      <c r="CS18" s="208"/>
      <c r="CT18" s="208"/>
      <c r="CU18" s="208"/>
      <c r="CV18" s="208"/>
      <c r="CW18" s="208"/>
      <c r="CX18" s="208"/>
      <c r="CY18" s="208"/>
      <c r="CZ18" s="208"/>
      <c r="DA18" s="208"/>
      <c r="DB18" s="208"/>
      <c r="DC18" s="208"/>
      <c r="DD18" s="208"/>
      <c r="DE18" s="208"/>
      <c r="DF18" s="208"/>
      <c r="DG18" s="208"/>
      <c r="DH18" s="208"/>
      <c r="DI18" s="208"/>
      <c r="DJ18" s="208"/>
      <c r="DK18" s="208"/>
      <c r="DL18" s="208"/>
      <c r="DM18" s="208"/>
      <c r="DN18" s="208"/>
      <c r="DO18" s="208"/>
      <c r="DP18" s="208"/>
      <c r="DQ18" s="208"/>
      <c r="DR18" s="208"/>
      <c r="DS18" s="208"/>
      <c r="DT18" s="208"/>
      <c r="DU18" s="208"/>
      <c r="DV18" s="208"/>
      <c r="DW18" s="208"/>
      <c r="DX18" s="208"/>
      <c r="DY18" s="208"/>
      <c r="DZ18" s="208"/>
      <c r="EA18" s="208"/>
      <c r="EB18" s="208"/>
      <c r="EC18" s="208"/>
      <c r="ED18" s="208"/>
      <c r="EE18" s="208"/>
      <c r="EF18" s="208"/>
      <c r="EG18" s="208"/>
      <c r="EH18" s="208"/>
      <c r="EI18" s="208"/>
      <c r="EJ18" s="208"/>
      <c r="EK18" s="208"/>
      <c r="EL18" s="208"/>
      <c r="EM18" s="208"/>
      <c r="EN18" s="208"/>
      <c r="EO18" s="208"/>
      <c r="EP18" s="208"/>
      <c r="EQ18" s="208"/>
      <c r="ER18" s="208"/>
      <c r="ES18" s="208"/>
      <c r="ET18" s="208"/>
      <c r="EU18" s="208"/>
      <c r="EV18" s="208"/>
      <c r="EW18" s="208"/>
      <c r="EX18" s="208"/>
      <c r="EY18" s="208"/>
      <c r="EZ18" s="208"/>
      <c r="FA18" s="208"/>
      <c r="FB18" s="208"/>
      <c r="FC18" s="208"/>
      <c r="FD18" s="208"/>
      <c r="FE18" s="208"/>
      <c r="FF18" s="208"/>
      <c r="FG18" s="208"/>
      <c r="FH18" s="208"/>
      <c r="FI18" s="208"/>
      <c r="FJ18" s="208"/>
      <c r="FK18" s="208"/>
      <c r="FL18" s="208"/>
      <c r="FM18" s="208"/>
      <c r="FN18" s="208"/>
      <c r="FO18" s="208"/>
      <c r="FP18" s="208"/>
      <c r="FQ18" s="208"/>
      <c r="FR18" s="208"/>
      <c r="FS18" s="208"/>
      <c r="FT18" s="208"/>
      <c r="FU18" s="208"/>
      <c r="FV18" s="208"/>
      <c r="FW18" s="208"/>
      <c r="FX18" s="208"/>
      <c r="FY18" s="208"/>
      <c r="FZ18" s="208"/>
      <c r="GA18" s="208"/>
      <c r="GB18" s="208"/>
      <c r="GC18" s="208"/>
      <c r="GD18" s="208"/>
      <c r="GE18" s="208"/>
      <c r="GF18" s="208"/>
      <c r="GG18" s="208"/>
      <c r="GH18" s="208"/>
      <c r="GI18" s="208"/>
      <c r="GJ18" s="208"/>
      <c r="GK18" s="208"/>
      <c r="GL18" s="208"/>
      <c r="GM18" s="208"/>
      <c r="GN18" s="208"/>
      <c r="GO18" s="208"/>
      <c r="GP18" s="208"/>
      <c r="GQ18" s="208"/>
      <c r="GR18" s="208"/>
      <c r="GS18" s="208"/>
      <c r="GT18" s="208"/>
      <c r="GU18" s="208"/>
      <c r="GV18" s="208"/>
      <c r="GW18" s="208"/>
      <c r="GX18" s="208"/>
      <c r="GY18" s="208"/>
      <c r="GZ18" s="208"/>
      <c r="HA18" s="208"/>
      <c r="HB18" s="208"/>
      <c r="HC18" s="208"/>
      <c r="HD18" s="208"/>
      <c r="HE18" s="208"/>
      <c r="HF18" s="208"/>
      <c r="HG18" s="208"/>
      <c r="HH18" s="208"/>
      <c r="HI18" s="208"/>
      <c r="HJ18" s="208"/>
      <c r="HK18" s="208"/>
      <c r="HL18" s="208"/>
      <c r="HM18" s="208"/>
      <c r="HN18" s="208"/>
      <c r="HO18" s="208"/>
      <c r="HP18" s="208"/>
      <c r="HQ18" s="208"/>
      <c r="HR18" s="208"/>
      <c r="HS18" s="208"/>
      <c r="HT18" s="208"/>
      <c r="HU18" s="208"/>
      <c r="HV18" s="208"/>
      <c r="HW18" s="208"/>
      <c r="HX18" s="208"/>
      <c r="HY18" s="208"/>
      <c r="HZ18" s="208"/>
      <c r="IA18" s="208"/>
      <c r="IB18" s="208"/>
      <c r="IC18" s="208"/>
      <c r="ID18" s="208"/>
      <c r="IE18" s="208"/>
      <c r="IF18" s="208"/>
      <c r="IG18" s="208"/>
      <c r="IH18" s="208"/>
      <c r="II18" s="208"/>
      <c r="IJ18" s="208"/>
      <c r="IK18" s="208"/>
      <c r="IL18" s="208"/>
      <c r="IM18" s="208"/>
      <c r="IN18" s="208"/>
      <c r="IO18" s="208"/>
      <c r="IP18" s="208"/>
      <c r="IQ18" s="208"/>
      <c r="IR18" s="208"/>
      <c r="IS18" s="208"/>
      <c r="IT18" s="208"/>
      <c r="IU18" s="208"/>
      <c r="IV18" s="208"/>
      <c r="IW18" s="208"/>
      <c r="IX18" s="208"/>
      <c r="IY18" s="208"/>
    </row>
    <row r="19" spans="1:1077" ht="15" customHeight="1" x14ac:dyDescent="0.2">
      <c r="A19" s="195">
        <v>0</v>
      </c>
      <c r="B19" s="196"/>
      <c r="C19" s="196"/>
      <c r="D19" s="197" t="s">
        <v>425</v>
      </c>
      <c r="E19" s="198">
        <v>1</v>
      </c>
      <c r="F19" s="197" t="s">
        <v>535</v>
      </c>
      <c r="G19" s="198">
        <v>1</v>
      </c>
      <c r="H19" s="199" t="s">
        <v>563</v>
      </c>
      <c r="I19" s="197">
        <v>2</v>
      </c>
      <c r="J19" s="197">
        <v>1</v>
      </c>
      <c r="K19" s="197">
        <v>1</v>
      </c>
      <c r="L19" s="198" t="s">
        <v>349</v>
      </c>
      <c r="M19" s="198"/>
      <c r="N19" s="200"/>
      <c r="O19" s="200" t="s">
        <v>536</v>
      </c>
      <c r="P19" s="201" t="s">
        <v>564</v>
      </c>
      <c r="Q19" s="197" t="s">
        <v>428</v>
      </c>
      <c r="R19" s="197" t="s">
        <v>428</v>
      </c>
      <c r="S19" s="197" t="s">
        <v>428</v>
      </c>
      <c r="T19" s="197" t="s">
        <v>428</v>
      </c>
      <c r="U19" s="197"/>
      <c r="V19" s="197"/>
      <c r="W19" s="197"/>
      <c r="X19" s="197"/>
      <c r="Y19" s="197"/>
      <c r="Z19" s="197"/>
      <c r="AA19" s="197" t="s">
        <v>1</v>
      </c>
      <c r="AB19" s="198" t="s">
        <v>2</v>
      </c>
      <c r="AC19" s="198" t="s">
        <v>540</v>
      </c>
      <c r="AD19" s="197" t="s">
        <v>438</v>
      </c>
      <c r="AE19" s="197" t="s">
        <v>438</v>
      </c>
      <c r="AF19" s="197" t="s">
        <v>438</v>
      </c>
      <c r="AG19" s="197" t="s">
        <v>438</v>
      </c>
      <c r="AH19" s="197" t="s">
        <v>438</v>
      </c>
      <c r="AI19" s="197" t="s">
        <v>438</v>
      </c>
      <c r="AJ19" s="197" t="s">
        <v>438</v>
      </c>
      <c r="AK19" s="197" t="s">
        <v>438</v>
      </c>
      <c r="AL19" s="197" t="s">
        <v>438</v>
      </c>
      <c r="AM19" s="197" t="s">
        <v>428</v>
      </c>
      <c r="AN19" s="197" t="s">
        <v>428</v>
      </c>
      <c r="AO19" s="202"/>
      <c r="AP19" s="207"/>
      <c r="AQ19" s="197"/>
      <c r="AR19" s="197"/>
      <c r="AS19" s="197"/>
      <c r="AT19" s="197"/>
      <c r="AU19" s="197"/>
      <c r="AV19" s="197"/>
      <c r="AW19" s="197"/>
      <c r="AX19" s="197"/>
      <c r="AY19" s="197"/>
      <c r="AZ19" s="197"/>
      <c r="BA19" s="197"/>
      <c r="BB19" s="197"/>
      <c r="BC19" s="197"/>
      <c r="BD19" s="197"/>
      <c r="BE19" s="197"/>
      <c r="BF19" s="197"/>
      <c r="BG19" s="197"/>
      <c r="BH19" s="197"/>
      <c r="BI19" s="197"/>
      <c r="BJ19" s="197"/>
      <c r="BK19" s="197"/>
      <c r="BL19" s="197"/>
      <c r="BM19" s="197"/>
      <c r="BN19" s="208"/>
      <c r="BO19" s="208"/>
      <c r="BP19" s="208"/>
      <c r="BQ19" s="208"/>
      <c r="BR19" s="208"/>
      <c r="BS19" s="208"/>
      <c r="BT19" s="208"/>
      <c r="BU19" s="208"/>
      <c r="BV19" s="208"/>
      <c r="BW19" s="208"/>
      <c r="BX19" s="208"/>
      <c r="BY19" s="208"/>
      <c r="BZ19" s="208"/>
      <c r="CA19" s="208"/>
      <c r="CB19" s="208"/>
      <c r="CC19" s="208"/>
      <c r="CD19" s="208"/>
      <c r="CE19" s="208"/>
      <c r="CF19" s="208"/>
      <c r="CG19" s="208"/>
      <c r="CH19" s="208"/>
      <c r="CI19" s="208"/>
      <c r="CJ19" s="208"/>
      <c r="CK19" s="208"/>
      <c r="CL19" s="208"/>
      <c r="CM19" s="208"/>
      <c r="CN19" s="208"/>
      <c r="CO19" s="208"/>
      <c r="CP19" s="208"/>
      <c r="CQ19" s="208"/>
      <c r="CR19" s="208"/>
      <c r="CS19" s="208"/>
      <c r="CT19" s="208"/>
      <c r="CU19" s="208"/>
      <c r="CV19" s="208"/>
      <c r="CW19" s="208"/>
      <c r="CX19" s="208"/>
      <c r="CY19" s="208"/>
      <c r="CZ19" s="208"/>
      <c r="DA19" s="208"/>
      <c r="DB19" s="208"/>
      <c r="DC19" s="208"/>
      <c r="DD19" s="208"/>
      <c r="DE19" s="208"/>
      <c r="DF19" s="208"/>
      <c r="DG19" s="208"/>
      <c r="DH19" s="208"/>
      <c r="DI19" s="208"/>
      <c r="DJ19" s="208"/>
      <c r="DK19" s="208"/>
      <c r="DL19" s="208"/>
      <c r="DM19" s="208"/>
      <c r="DN19" s="208"/>
      <c r="DO19" s="208"/>
      <c r="DP19" s="208"/>
      <c r="DQ19" s="208"/>
      <c r="DR19" s="208"/>
      <c r="DS19" s="208"/>
      <c r="DT19" s="208"/>
      <c r="DU19" s="208"/>
      <c r="DV19" s="208"/>
      <c r="DW19" s="208"/>
      <c r="DX19" s="208"/>
      <c r="DY19" s="208"/>
      <c r="DZ19" s="208"/>
      <c r="EA19" s="208"/>
      <c r="EB19" s="208"/>
      <c r="EC19" s="208"/>
      <c r="ED19" s="208"/>
      <c r="EE19" s="208"/>
      <c r="EF19" s="208"/>
      <c r="EG19" s="208"/>
      <c r="EH19" s="208"/>
      <c r="EI19" s="208"/>
      <c r="EJ19" s="208"/>
      <c r="EK19" s="208"/>
      <c r="EL19" s="208"/>
      <c r="EM19" s="208"/>
      <c r="EN19" s="208"/>
      <c r="EO19" s="208"/>
      <c r="EP19" s="208"/>
      <c r="EQ19" s="208"/>
      <c r="ER19" s="208"/>
      <c r="ES19" s="208"/>
      <c r="ET19" s="208"/>
      <c r="EU19" s="208"/>
      <c r="EV19" s="208"/>
      <c r="EW19" s="208"/>
      <c r="EX19" s="208"/>
      <c r="EY19" s="208"/>
      <c r="EZ19" s="208"/>
      <c r="FA19" s="208"/>
      <c r="FB19" s="208"/>
      <c r="FC19" s="208"/>
      <c r="FD19" s="208"/>
      <c r="FE19" s="208"/>
      <c r="FF19" s="208"/>
      <c r="FG19" s="208"/>
      <c r="FH19" s="208"/>
      <c r="FI19" s="208"/>
      <c r="FJ19" s="208"/>
      <c r="FK19" s="208"/>
      <c r="FL19" s="208"/>
      <c r="FM19" s="208"/>
      <c r="FN19" s="208"/>
      <c r="FO19" s="208"/>
      <c r="FP19" s="208"/>
      <c r="FQ19" s="208"/>
      <c r="FR19" s="208"/>
      <c r="FS19" s="208"/>
      <c r="FT19" s="208"/>
      <c r="FU19" s="208"/>
      <c r="FV19" s="208"/>
      <c r="FW19" s="208"/>
      <c r="FX19" s="208"/>
      <c r="FY19" s="208"/>
      <c r="FZ19" s="208"/>
      <c r="GA19" s="208"/>
      <c r="GB19" s="208"/>
      <c r="GC19" s="208"/>
      <c r="GD19" s="208"/>
      <c r="GE19" s="208"/>
      <c r="GF19" s="208"/>
      <c r="GG19" s="208"/>
      <c r="GH19" s="208"/>
      <c r="GI19" s="208"/>
      <c r="GJ19" s="208"/>
      <c r="GK19" s="208"/>
      <c r="GL19" s="208"/>
      <c r="GM19" s="208"/>
      <c r="GN19" s="208"/>
      <c r="GO19" s="208"/>
      <c r="GP19" s="208"/>
      <c r="GQ19" s="208"/>
      <c r="GR19" s="208"/>
      <c r="GS19" s="208"/>
      <c r="GT19" s="208"/>
      <c r="GU19" s="208"/>
      <c r="GV19" s="208"/>
      <c r="GW19" s="208"/>
      <c r="GX19" s="208"/>
      <c r="GY19" s="208"/>
      <c r="GZ19" s="208"/>
      <c r="HA19" s="208"/>
      <c r="HB19" s="208"/>
      <c r="HC19" s="208"/>
      <c r="HD19" s="208"/>
      <c r="HE19" s="208"/>
      <c r="HF19" s="208"/>
      <c r="HG19" s="208"/>
      <c r="HH19" s="208"/>
      <c r="HI19" s="208"/>
      <c r="HJ19" s="208"/>
      <c r="HK19" s="208"/>
      <c r="HL19" s="208"/>
      <c r="HM19" s="208"/>
      <c r="HN19" s="208"/>
      <c r="HO19" s="208"/>
      <c r="HP19" s="208"/>
      <c r="HQ19" s="208"/>
      <c r="HR19" s="208"/>
      <c r="HS19" s="208"/>
      <c r="HT19" s="208"/>
      <c r="HU19" s="208"/>
      <c r="HV19" s="208"/>
      <c r="HW19" s="208"/>
      <c r="HX19" s="208"/>
      <c r="HY19" s="208"/>
      <c r="HZ19" s="208"/>
      <c r="IA19" s="208"/>
      <c r="IB19" s="208"/>
      <c r="IC19" s="208"/>
      <c r="ID19" s="208"/>
      <c r="IE19" s="208"/>
      <c r="IF19" s="208"/>
      <c r="IG19" s="208"/>
      <c r="IH19" s="208"/>
      <c r="II19" s="208"/>
      <c r="IJ19" s="208"/>
      <c r="IK19" s="208"/>
      <c r="IL19" s="208"/>
      <c r="IM19" s="208"/>
      <c r="IN19" s="208"/>
      <c r="IO19" s="208"/>
      <c r="IP19" s="208"/>
      <c r="IQ19" s="208"/>
      <c r="IR19" s="208"/>
      <c r="IS19" s="208"/>
      <c r="IT19" s="208"/>
      <c r="IU19" s="208"/>
      <c r="IV19" s="208"/>
      <c r="IW19" s="208"/>
      <c r="IX19" s="208"/>
      <c r="IY19" s="208"/>
    </row>
    <row r="20" spans="1:1077" s="206" customFormat="1" ht="15" customHeight="1" x14ac:dyDescent="0.2">
      <c r="A20" s="195">
        <v>0</v>
      </c>
      <c r="B20" s="196"/>
      <c r="C20" s="196"/>
      <c r="D20" s="197" t="s">
        <v>425</v>
      </c>
      <c r="E20" s="198">
        <v>1</v>
      </c>
      <c r="F20" s="197" t="s">
        <v>535</v>
      </c>
      <c r="G20" s="198">
        <v>1</v>
      </c>
      <c r="H20" s="199" t="s">
        <v>563</v>
      </c>
      <c r="I20" s="197">
        <v>2</v>
      </c>
      <c r="J20" s="197">
        <v>1</v>
      </c>
      <c r="K20" s="197">
        <v>1</v>
      </c>
      <c r="L20" s="198" t="s">
        <v>352</v>
      </c>
      <c r="M20" s="198"/>
      <c r="N20" s="200"/>
      <c r="O20" s="200" t="s">
        <v>536</v>
      </c>
      <c r="P20" s="201" t="s">
        <v>564</v>
      </c>
      <c r="Q20" s="197" t="s">
        <v>428</v>
      </c>
      <c r="R20" s="197" t="s">
        <v>428</v>
      </c>
      <c r="S20" s="197" t="s">
        <v>428</v>
      </c>
      <c r="T20" s="197" t="s">
        <v>428</v>
      </c>
      <c r="U20" s="197"/>
      <c r="V20" s="197"/>
      <c r="W20" s="197"/>
      <c r="X20" s="197"/>
      <c r="Y20" s="197"/>
      <c r="Z20" s="197"/>
      <c r="AA20" s="197" t="s">
        <v>1</v>
      </c>
      <c r="AB20" s="198" t="s">
        <v>2</v>
      </c>
      <c r="AC20" s="198" t="s">
        <v>540</v>
      </c>
      <c r="AD20" s="197" t="s">
        <v>438</v>
      </c>
      <c r="AE20" s="197" t="s">
        <v>438</v>
      </c>
      <c r="AF20" s="197" t="s">
        <v>438</v>
      </c>
      <c r="AG20" s="197" t="s">
        <v>438</v>
      </c>
      <c r="AH20" s="197" t="s">
        <v>438</v>
      </c>
      <c r="AI20" s="197" t="s">
        <v>438</v>
      </c>
      <c r="AJ20" s="197" t="s">
        <v>438</v>
      </c>
      <c r="AK20" s="197" t="s">
        <v>438</v>
      </c>
      <c r="AL20" s="197" t="s">
        <v>438</v>
      </c>
      <c r="AM20" s="197" t="s">
        <v>428</v>
      </c>
      <c r="AN20" s="197" t="s">
        <v>428</v>
      </c>
      <c r="AO20" s="202"/>
      <c r="AP20" s="203"/>
      <c r="AQ20" s="204"/>
      <c r="AR20" s="204"/>
      <c r="AS20" s="204"/>
      <c r="AT20" s="204"/>
      <c r="AU20" s="204"/>
      <c r="AV20" s="204"/>
      <c r="AW20" s="204"/>
      <c r="AX20" s="204"/>
      <c r="AY20" s="204"/>
      <c r="AZ20" s="204"/>
      <c r="BA20" s="204"/>
      <c r="BB20" s="204"/>
      <c r="BC20" s="204"/>
      <c r="BD20" s="204"/>
      <c r="BE20" s="204"/>
      <c r="BF20" s="204"/>
      <c r="BG20" s="204"/>
      <c r="BH20" s="204"/>
      <c r="BI20" s="204"/>
      <c r="BJ20" s="204"/>
      <c r="BK20" s="204"/>
      <c r="BL20" s="204"/>
      <c r="BM20" s="204"/>
      <c r="BN20" s="205"/>
      <c r="BO20" s="205"/>
      <c r="BP20" s="205"/>
      <c r="BQ20" s="205"/>
      <c r="BR20" s="205"/>
      <c r="BS20" s="205"/>
      <c r="BT20" s="205"/>
      <c r="BU20" s="205"/>
      <c r="BV20" s="205"/>
      <c r="BW20" s="205"/>
      <c r="BX20" s="205"/>
      <c r="BY20" s="205"/>
      <c r="BZ20" s="205"/>
      <c r="CA20" s="205"/>
      <c r="CB20" s="205"/>
      <c r="CC20" s="205"/>
      <c r="CD20" s="205"/>
      <c r="CE20" s="205"/>
      <c r="CF20" s="205"/>
      <c r="CG20" s="205"/>
      <c r="CH20" s="205"/>
      <c r="CI20" s="205"/>
      <c r="CJ20" s="205"/>
      <c r="CK20" s="205"/>
      <c r="CL20" s="205"/>
      <c r="CM20" s="205"/>
      <c r="CN20" s="205"/>
      <c r="CO20" s="205"/>
      <c r="CP20" s="205"/>
      <c r="CQ20" s="205"/>
      <c r="CR20" s="205"/>
      <c r="CS20" s="205"/>
      <c r="CT20" s="205"/>
      <c r="CU20" s="205"/>
      <c r="CV20" s="205"/>
      <c r="CW20" s="205"/>
      <c r="CX20" s="205"/>
      <c r="CY20" s="205"/>
      <c r="CZ20" s="205"/>
      <c r="DA20" s="205"/>
      <c r="DB20" s="205"/>
      <c r="DC20" s="205"/>
      <c r="DD20" s="205"/>
      <c r="DE20" s="205"/>
      <c r="DF20" s="205"/>
      <c r="DG20" s="205"/>
      <c r="DH20" s="205"/>
      <c r="DI20" s="205"/>
      <c r="DJ20" s="205"/>
      <c r="DK20" s="205"/>
      <c r="DL20" s="205"/>
      <c r="DM20" s="205"/>
      <c r="DN20" s="205"/>
      <c r="DO20" s="205"/>
      <c r="DP20" s="205"/>
      <c r="DQ20" s="205"/>
      <c r="DR20" s="205"/>
      <c r="DS20" s="205"/>
      <c r="DT20" s="205"/>
      <c r="DU20" s="205"/>
      <c r="DV20" s="205"/>
      <c r="DW20" s="205"/>
      <c r="DX20" s="205"/>
      <c r="DY20" s="205"/>
      <c r="DZ20" s="205"/>
      <c r="EA20" s="205"/>
      <c r="EB20" s="205"/>
      <c r="EC20" s="205"/>
      <c r="ED20" s="205"/>
      <c r="EE20" s="205"/>
      <c r="EF20" s="205"/>
      <c r="EG20" s="205"/>
      <c r="EH20" s="205"/>
      <c r="EI20" s="205"/>
      <c r="EJ20" s="205"/>
      <c r="EK20" s="205"/>
      <c r="EL20" s="205"/>
      <c r="EM20" s="205"/>
      <c r="EN20" s="205"/>
      <c r="EO20" s="205"/>
      <c r="EP20" s="205"/>
      <c r="EQ20" s="205"/>
      <c r="ER20" s="205"/>
      <c r="ES20" s="205"/>
      <c r="ET20" s="205"/>
      <c r="EU20" s="205"/>
      <c r="EV20" s="205"/>
      <c r="EW20" s="205"/>
      <c r="EX20" s="205"/>
      <c r="EY20" s="205"/>
      <c r="EZ20" s="205"/>
      <c r="FA20" s="205"/>
      <c r="FB20" s="205"/>
      <c r="FC20" s="205"/>
      <c r="FD20" s="205"/>
      <c r="FE20" s="205"/>
      <c r="FF20" s="205"/>
      <c r="FG20" s="205"/>
      <c r="FH20" s="205"/>
      <c r="FI20" s="205"/>
      <c r="FJ20" s="205"/>
      <c r="FK20" s="205"/>
      <c r="FL20" s="205"/>
      <c r="FM20" s="205"/>
      <c r="FN20" s="205"/>
      <c r="FO20" s="205"/>
      <c r="FP20" s="205"/>
      <c r="FQ20" s="205"/>
      <c r="FR20" s="205"/>
      <c r="FS20" s="205"/>
      <c r="FT20" s="205"/>
      <c r="FU20" s="205"/>
      <c r="FV20" s="205"/>
      <c r="FW20" s="205"/>
      <c r="FX20" s="205"/>
      <c r="FY20" s="205"/>
      <c r="FZ20" s="205"/>
      <c r="GA20" s="205"/>
      <c r="GB20" s="205"/>
      <c r="GC20" s="205"/>
      <c r="GD20" s="205"/>
      <c r="GE20" s="205"/>
      <c r="GF20" s="205"/>
      <c r="GG20" s="205"/>
      <c r="GH20" s="205"/>
      <c r="GI20" s="205"/>
      <c r="GJ20" s="205"/>
      <c r="GK20" s="205"/>
      <c r="GL20" s="205"/>
      <c r="GM20" s="205"/>
      <c r="GN20" s="205"/>
      <c r="GO20" s="205"/>
      <c r="GP20" s="205"/>
      <c r="GQ20" s="205"/>
      <c r="GR20" s="205"/>
      <c r="GS20" s="205"/>
      <c r="GT20" s="205"/>
      <c r="GU20" s="205"/>
      <c r="GV20" s="205"/>
      <c r="GW20" s="205"/>
      <c r="GX20" s="205"/>
      <c r="GY20" s="205"/>
      <c r="GZ20" s="205"/>
      <c r="HA20" s="205"/>
      <c r="HB20" s="205"/>
      <c r="HC20" s="205"/>
      <c r="HD20" s="205"/>
      <c r="HE20" s="205"/>
      <c r="HF20" s="205"/>
      <c r="HG20" s="205"/>
      <c r="HH20" s="205"/>
      <c r="HI20" s="205"/>
      <c r="HJ20" s="205"/>
      <c r="HK20" s="205"/>
      <c r="HL20" s="205"/>
      <c r="HM20" s="205"/>
      <c r="HN20" s="205"/>
      <c r="HO20" s="205"/>
      <c r="HP20" s="205"/>
      <c r="HQ20" s="205"/>
      <c r="HR20" s="205"/>
      <c r="HS20" s="205"/>
      <c r="HT20" s="205"/>
      <c r="HU20" s="205"/>
      <c r="HV20" s="205"/>
      <c r="HW20" s="205"/>
      <c r="HX20" s="205"/>
      <c r="HY20" s="205"/>
      <c r="HZ20" s="205"/>
      <c r="IA20" s="205"/>
      <c r="IB20" s="205"/>
      <c r="IC20" s="205"/>
      <c r="ID20" s="205"/>
      <c r="IE20" s="205"/>
      <c r="IF20" s="205"/>
      <c r="IG20" s="205"/>
      <c r="IH20" s="205"/>
      <c r="II20" s="205"/>
      <c r="IJ20" s="205"/>
      <c r="IK20" s="205"/>
      <c r="IL20" s="205"/>
      <c r="IM20" s="205"/>
      <c r="IN20" s="205"/>
      <c r="IO20" s="205"/>
      <c r="IP20" s="205"/>
      <c r="IQ20" s="205"/>
      <c r="IR20" s="205"/>
      <c r="IS20" s="205"/>
      <c r="IT20" s="205"/>
      <c r="IU20" s="205"/>
      <c r="IV20" s="205"/>
      <c r="IW20" s="205"/>
      <c r="IX20" s="205"/>
      <c r="IY20" s="205"/>
      <c r="IZ20" s="3"/>
      <c r="JA20" s="3"/>
      <c r="JB20" s="3"/>
      <c r="JC20" s="3"/>
      <c r="JD20" s="3"/>
      <c r="JE20" s="3"/>
      <c r="JF20" s="3"/>
      <c r="JG20" s="3"/>
      <c r="JH20" s="3"/>
      <c r="JI20" s="3"/>
      <c r="JJ20" s="3"/>
      <c r="JK20" s="3"/>
      <c r="JL20" s="3"/>
      <c r="JM20" s="3"/>
      <c r="JN20" s="3"/>
      <c r="JO20" s="3"/>
      <c r="JP20" s="3"/>
      <c r="JQ20" s="3"/>
      <c r="JR20" s="3"/>
      <c r="JS20" s="3"/>
      <c r="JT20" s="3"/>
      <c r="JU20" s="3"/>
      <c r="JV20" s="3"/>
      <c r="JW20" s="3"/>
      <c r="JX20" s="3"/>
      <c r="JY20" s="3"/>
      <c r="JZ20" s="3"/>
      <c r="KA20" s="3"/>
      <c r="KB20" s="3"/>
      <c r="KC20" s="3"/>
      <c r="KD20" s="3"/>
      <c r="KE20" s="3"/>
      <c r="KF20" s="3"/>
      <c r="KG20" s="3"/>
      <c r="KH20" s="3"/>
      <c r="KI20" s="3"/>
      <c r="KJ20" s="3"/>
      <c r="KK20" s="3"/>
      <c r="KL20" s="3"/>
      <c r="KM20" s="3"/>
      <c r="KN20" s="3"/>
      <c r="KO20" s="3"/>
      <c r="KP20" s="3"/>
      <c r="KQ20" s="3"/>
      <c r="KR20" s="3"/>
      <c r="KS20" s="3"/>
      <c r="KT20" s="3"/>
      <c r="KU20" s="3"/>
      <c r="KV20" s="3"/>
      <c r="KW20" s="3"/>
      <c r="KX20" s="3"/>
      <c r="KY20" s="3"/>
      <c r="KZ20" s="3"/>
      <c r="LA20" s="3"/>
      <c r="LB20" s="3"/>
      <c r="LC20" s="3"/>
      <c r="LD20" s="3"/>
      <c r="LE20" s="3"/>
      <c r="LF20" s="3"/>
      <c r="LG20" s="3"/>
      <c r="LH20" s="3"/>
      <c r="LI20" s="3"/>
      <c r="LJ20" s="3"/>
      <c r="LK20" s="3"/>
      <c r="LL20" s="3"/>
      <c r="LM20" s="3"/>
      <c r="LN20" s="3"/>
      <c r="LO20" s="3"/>
      <c r="LP20" s="3"/>
      <c r="LQ20" s="3"/>
      <c r="LR20" s="3"/>
      <c r="LS20" s="3"/>
      <c r="LT20" s="3"/>
      <c r="LU20" s="3"/>
      <c r="LV20" s="3"/>
      <c r="LW20" s="3"/>
      <c r="LX20" s="3"/>
      <c r="LY20" s="3"/>
      <c r="LZ20" s="3"/>
      <c r="MA20" s="3"/>
      <c r="MB20" s="3"/>
      <c r="MC20" s="3"/>
      <c r="MD20" s="3"/>
      <c r="ME20" s="3"/>
      <c r="MF20" s="3"/>
      <c r="MG20" s="3"/>
      <c r="MH20" s="3"/>
      <c r="MI20" s="3"/>
      <c r="MJ20" s="3"/>
      <c r="MK20" s="3"/>
      <c r="ML20" s="3"/>
      <c r="MM20" s="3"/>
      <c r="MN20" s="3"/>
      <c r="MO20" s="3"/>
      <c r="MP20" s="3"/>
      <c r="MQ20" s="3"/>
      <c r="MR20" s="3"/>
      <c r="MS20" s="3"/>
      <c r="MT20" s="3"/>
      <c r="MU20" s="3"/>
      <c r="MV20" s="3"/>
      <c r="MW20" s="3"/>
      <c r="MX20" s="3"/>
      <c r="MY20" s="3"/>
      <c r="MZ20" s="3"/>
      <c r="NA20" s="3"/>
      <c r="NB20" s="3"/>
      <c r="NC20" s="3"/>
      <c r="ND20" s="3"/>
      <c r="NE20" s="3"/>
      <c r="NF20" s="3"/>
      <c r="NG20" s="3"/>
      <c r="NH20" s="3"/>
      <c r="NI20" s="3"/>
      <c r="NJ20" s="3"/>
      <c r="NK20" s="3"/>
      <c r="NL20" s="3"/>
      <c r="NM20" s="3"/>
      <c r="NN20" s="3"/>
      <c r="NO20" s="3"/>
      <c r="NP20" s="3"/>
      <c r="NQ20" s="3"/>
      <c r="NR20" s="3"/>
      <c r="NS20" s="3"/>
      <c r="NT20" s="3"/>
      <c r="NU20" s="3"/>
      <c r="NV20" s="3"/>
      <c r="NW20" s="3"/>
      <c r="NX20" s="3"/>
      <c r="NY20" s="3"/>
      <c r="NZ20" s="3"/>
      <c r="OA20" s="3"/>
      <c r="OB20" s="3"/>
      <c r="OC20" s="3"/>
      <c r="OD20" s="3"/>
      <c r="OE20" s="3"/>
      <c r="OF20" s="3"/>
      <c r="OG20" s="3"/>
      <c r="OH20" s="3"/>
      <c r="OI20" s="3"/>
      <c r="OJ20" s="3"/>
      <c r="OK20" s="3"/>
      <c r="OL20" s="3"/>
      <c r="OM20" s="3"/>
      <c r="ON20" s="3"/>
      <c r="OO20" s="3"/>
      <c r="OP20" s="3"/>
      <c r="OQ20" s="3"/>
      <c r="OR20" s="3"/>
      <c r="OS20" s="3"/>
      <c r="OT20" s="3"/>
      <c r="OU20" s="3"/>
      <c r="OV20" s="3"/>
      <c r="OW20" s="3"/>
      <c r="OX20" s="3"/>
      <c r="OY20" s="3"/>
      <c r="OZ20" s="3"/>
      <c r="PA20" s="3"/>
      <c r="PB20" s="3"/>
      <c r="PC20" s="3"/>
      <c r="PD20" s="3"/>
      <c r="PE20" s="3"/>
      <c r="PF20" s="3"/>
      <c r="PG20" s="3"/>
      <c r="PH20" s="3"/>
      <c r="PI20" s="3"/>
      <c r="PJ20" s="3"/>
      <c r="PK20" s="3"/>
      <c r="PL20" s="3"/>
      <c r="PM20" s="3"/>
      <c r="PN20" s="3"/>
      <c r="PO20" s="3"/>
      <c r="PP20" s="3"/>
      <c r="PQ20" s="3"/>
      <c r="PR20" s="3"/>
      <c r="PS20" s="3"/>
      <c r="PT20" s="3"/>
      <c r="PU20" s="3"/>
      <c r="PV20" s="3"/>
      <c r="PW20" s="3"/>
      <c r="PX20" s="3"/>
      <c r="PY20" s="3"/>
      <c r="PZ20" s="3"/>
      <c r="QA20" s="3"/>
      <c r="QB20" s="3"/>
      <c r="QC20" s="3"/>
      <c r="QD20" s="3"/>
      <c r="QE20" s="3"/>
      <c r="QF20" s="3"/>
      <c r="QG20" s="3"/>
      <c r="QH20" s="3"/>
      <c r="QI20" s="3"/>
      <c r="QJ20" s="3"/>
      <c r="QK20" s="3"/>
      <c r="QL20" s="3"/>
      <c r="QM20" s="3"/>
      <c r="QN20" s="3"/>
      <c r="QO20" s="3"/>
      <c r="QP20" s="3"/>
      <c r="QQ20" s="3"/>
      <c r="QR20" s="3"/>
      <c r="QS20" s="3"/>
      <c r="QT20" s="3"/>
      <c r="QU20" s="3"/>
      <c r="QV20" s="3"/>
      <c r="QW20" s="3"/>
      <c r="QX20" s="3"/>
      <c r="QY20" s="3"/>
      <c r="QZ20" s="3"/>
      <c r="RA20" s="3"/>
      <c r="RB20" s="3"/>
      <c r="RC20" s="3"/>
      <c r="RD20" s="3"/>
      <c r="RE20" s="3"/>
      <c r="RF20" s="3"/>
      <c r="RG20" s="3"/>
      <c r="RH20" s="3"/>
      <c r="RI20" s="3"/>
      <c r="RJ20" s="3"/>
      <c r="RK20" s="3"/>
      <c r="RL20" s="3"/>
      <c r="RM20" s="3"/>
      <c r="RN20" s="3"/>
      <c r="RO20" s="3"/>
      <c r="RP20" s="3"/>
      <c r="RQ20" s="3"/>
      <c r="RR20" s="3"/>
      <c r="RS20" s="3"/>
      <c r="RT20" s="3"/>
      <c r="RU20" s="3"/>
      <c r="RV20" s="3"/>
      <c r="RW20" s="3"/>
      <c r="RX20" s="3"/>
      <c r="RY20" s="3"/>
      <c r="RZ20" s="3"/>
      <c r="SA20" s="3"/>
      <c r="SB20" s="3"/>
      <c r="SC20" s="3"/>
      <c r="SD20" s="3"/>
      <c r="SE20" s="3"/>
      <c r="SF20" s="3"/>
      <c r="SG20" s="3"/>
      <c r="SH20" s="3"/>
      <c r="SI20" s="3"/>
      <c r="SJ20" s="3"/>
      <c r="SK20" s="3"/>
      <c r="SL20" s="3"/>
      <c r="SM20" s="3"/>
      <c r="SN20" s="3"/>
      <c r="SO20" s="3"/>
      <c r="SP20" s="3"/>
      <c r="SQ20" s="3"/>
      <c r="SR20" s="3"/>
      <c r="SS20" s="3"/>
      <c r="ST20" s="3"/>
      <c r="SU20" s="3"/>
      <c r="SV20" s="3"/>
      <c r="SW20" s="3"/>
      <c r="SX20" s="3"/>
      <c r="SY20" s="3"/>
      <c r="SZ20" s="3"/>
      <c r="TA20" s="3"/>
      <c r="TB20" s="3"/>
      <c r="TC20" s="3"/>
      <c r="TD20" s="3"/>
      <c r="TE20" s="3"/>
      <c r="TF20" s="3"/>
      <c r="TG20" s="3"/>
      <c r="TH20" s="3"/>
      <c r="TI20" s="3"/>
      <c r="TJ20" s="3"/>
      <c r="TK20" s="3"/>
      <c r="TL20" s="3"/>
      <c r="TM20" s="3"/>
      <c r="TN20" s="3"/>
      <c r="TO20" s="3"/>
      <c r="TP20" s="3"/>
      <c r="TQ20" s="3"/>
      <c r="TR20" s="3"/>
      <c r="TS20" s="3"/>
      <c r="TT20" s="3"/>
      <c r="TU20" s="3"/>
      <c r="TV20" s="3"/>
      <c r="TW20" s="3"/>
      <c r="TX20" s="3"/>
      <c r="TY20" s="3"/>
      <c r="TZ20" s="3"/>
      <c r="UA20" s="3"/>
      <c r="UB20" s="3"/>
      <c r="UC20" s="3"/>
      <c r="UD20" s="3"/>
      <c r="UE20" s="3"/>
      <c r="UF20" s="3"/>
      <c r="UG20" s="3"/>
      <c r="UH20" s="3"/>
      <c r="UI20" s="3"/>
      <c r="UJ20" s="3"/>
      <c r="UK20" s="3"/>
      <c r="UL20" s="3"/>
      <c r="UM20" s="3"/>
      <c r="UN20" s="3"/>
      <c r="UO20" s="3"/>
      <c r="UP20" s="3"/>
      <c r="UQ20" s="3"/>
      <c r="UR20" s="3"/>
      <c r="US20" s="3"/>
      <c r="UT20" s="3"/>
      <c r="UU20" s="3"/>
      <c r="UV20" s="3"/>
      <c r="UW20" s="3"/>
      <c r="UX20" s="3"/>
      <c r="UY20" s="3"/>
      <c r="UZ20" s="3"/>
      <c r="VA20" s="3"/>
      <c r="VB20" s="3"/>
      <c r="VC20" s="3"/>
      <c r="VD20" s="3"/>
      <c r="VE20" s="3"/>
      <c r="VF20" s="3"/>
      <c r="VG20" s="3"/>
      <c r="VH20" s="3"/>
      <c r="VI20" s="3"/>
      <c r="VJ20" s="3"/>
      <c r="VK20" s="3"/>
      <c r="VL20" s="3"/>
      <c r="VM20" s="3"/>
      <c r="VN20" s="3"/>
      <c r="VO20" s="3"/>
      <c r="VP20" s="3"/>
      <c r="VQ20" s="3"/>
      <c r="VR20" s="3"/>
      <c r="VS20" s="3"/>
      <c r="VT20" s="3"/>
      <c r="VU20" s="3"/>
      <c r="VV20" s="3"/>
      <c r="VW20" s="3"/>
      <c r="VX20" s="3"/>
      <c r="VY20" s="3"/>
      <c r="VZ20" s="3"/>
      <c r="WA20" s="3"/>
      <c r="WB20" s="3"/>
      <c r="WC20" s="3"/>
      <c r="WD20" s="3"/>
      <c r="WE20" s="3"/>
      <c r="WF20" s="3"/>
      <c r="WG20" s="3"/>
      <c r="WH20" s="3"/>
      <c r="WI20" s="3"/>
      <c r="WJ20" s="3"/>
      <c r="WK20" s="3"/>
      <c r="WL20" s="3"/>
      <c r="WM20" s="3"/>
      <c r="WN20" s="3"/>
      <c r="WO20" s="3"/>
      <c r="WP20" s="3"/>
      <c r="WQ20" s="3"/>
      <c r="WR20" s="3"/>
      <c r="WS20" s="3"/>
      <c r="WT20" s="3"/>
      <c r="WU20" s="3"/>
      <c r="WV20" s="3"/>
      <c r="WW20" s="3"/>
      <c r="WX20" s="3"/>
      <c r="WY20" s="3"/>
      <c r="WZ20" s="3"/>
      <c r="XA20" s="3"/>
      <c r="XB20" s="3"/>
      <c r="XC20" s="3"/>
      <c r="XD20" s="3"/>
      <c r="XE20" s="3"/>
      <c r="XF20" s="3"/>
      <c r="XG20" s="3"/>
      <c r="XH20" s="3"/>
      <c r="XI20" s="3"/>
      <c r="XJ20" s="3"/>
      <c r="XK20" s="3"/>
      <c r="XL20" s="3"/>
      <c r="XM20" s="3"/>
      <c r="XN20" s="3"/>
      <c r="XO20" s="3"/>
      <c r="XP20" s="3"/>
      <c r="XQ20" s="3"/>
      <c r="XR20" s="3"/>
      <c r="XS20" s="3"/>
      <c r="XT20" s="3"/>
      <c r="XU20" s="3"/>
      <c r="XV20" s="3"/>
      <c r="XW20" s="3"/>
      <c r="XX20" s="3"/>
      <c r="XY20" s="3"/>
      <c r="XZ20" s="3"/>
      <c r="YA20" s="3"/>
      <c r="YB20" s="3"/>
      <c r="YC20" s="3"/>
      <c r="YD20" s="3"/>
      <c r="YE20" s="3"/>
      <c r="YF20" s="3"/>
      <c r="YG20" s="3"/>
      <c r="YH20" s="3"/>
      <c r="YI20" s="3"/>
      <c r="YJ20" s="3"/>
      <c r="YK20" s="3"/>
      <c r="YL20" s="3"/>
      <c r="YM20" s="3"/>
      <c r="YN20" s="3"/>
      <c r="YO20" s="3"/>
      <c r="YP20" s="3"/>
      <c r="YQ20" s="3"/>
      <c r="YR20" s="3"/>
      <c r="YS20" s="3"/>
      <c r="YT20" s="3"/>
      <c r="YU20" s="3"/>
      <c r="YV20" s="3"/>
      <c r="YW20" s="3"/>
      <c r="YX20" s="3"/>
      <c r="YY20" s="3"/>
      <c r="YZ20" s="3"/>
      <c r="ZA20" s="3"/>
      <c r="ZB20" s="3"/>
      <c r="ZC20" s="3"/>
      <c r="ZD20" s="3"/>
      <c r="ZE20" s="3"/>
      <c r="ZF20" s="3"/>
      <c r="ZG20" s="3"/>
      <c r="ZH20" s="3"/>
      <c r="ZI20" s="3"/>
      <c r="ZJ20" s="3"/>
      <c r="ZK20" s="3"/>
      <c r="ZL20" s="3"/>
      <c r="ZM20" s="3"/>
      <c r="ZN20" s="3"/>
      <c r="ZO20" s="3"/>
      <c r="ZP20" s="3"/>
      <c r="ZQ20" s="3"/>
      <c r="ZR20" s="3"/>
      <c r="ZS20" s="3"/>
      <c r="ZT20" s="3"/>
      <c r="ZU20" s="3"/>
      <c r="ZV20" s="3"/>
      <c r="ZW20" s="3"/>
      <c r="ZX20" s="3"/>
      <c r="ZY20" s="3"/>
      <c r="ZZ20" s="3"/>
      <c r="AAA20" s="3"/>
      <c r="AAB20" s="3"/>
      <c r="AAC20" s="3"/>
      <c r="AAD20" s="3"/>
      <c r="AAE20" s="3"/>
      <c r="AAF20" s="3"/>
      <c r="AAG20" s="3"/>
      <c r="AAH20" s="3"/>
      <c r="AAI20" s="3"/>
      <c r="AAJ20" s="3"/>
      <c r="AAK20" s="3"/>
      <c r="AAL20" s="3"/>
      <c r="AAM20" s="3"/>
      <c r="AAN20" s="3"/>
      <c r="AAO20" s="3"/>
      <c r="AAP20" s="3"/>
      <c r="AAQ20" s="3"/>
      <c r="AAR20" s="3"/>
      <c r="AAS20" s="3"/>
      <c r="AAT20" s="3"/>
      <c r="AAU20" s="3"/>
      <c r="AAV20" s="3"/>
      <c r="AAW20" s="3"/>
      <c r="AAX20" s="3"/>
      <c r="AAY20" s="3"/>
      <c r="AAZ20" s="3"/>
      <c r="ABA20" s="3"/>
      <c r="ABB20" s="3"/>
      <c r="ABC20" s="3"/>
      <c r="ABD20" s="3"/>
      <c r="ABE20" s="3"/>
      <c r="ABF20" s="3"/>
      <c r="ABG20" s="3"/>
      <c r="ABH20" s="3"/>
      <c r="ABI20" s="3"/>
      <c r="ABJ20" s="3"/>
      <c r="ABK20" s="3"/>
      <c r="ABL20" s="3"/>
      <c r="ABM20" s="3"/>
      <c r="ABN20" s="3"/>
      <c r="ABO20" s="3"/>
      <c r="ABP20" s="3"/>
      <c r="ABQ20" s="3"/>
      <c r="ABR20" s="3"/>
      <c r="ABS20" s="3"/>
      <c r="ABT20" s="3"/>
      <c r="ABU20" s="3"/>
      <c r="ABV20" s="3"/>
      <c r="ABW20" s="3"/>
      <c r="ABX20" s="3"/>
      <c r="ABY20" s="3"/>
      <c r="ABZ20" s="3"/>
      <c r="ACA20" s="3"/>
      <c r="ACB20" s="3"/>
      <c r="ACC20" s="3"/>
      <c r="ACD20" s="3"/>
      <c r="ACE20" s="3"/>
      <c r="ACF20" s="3"/>
      <c r="ACG20" s="3"/>
      <c r="ACH20" s="3"/>
      <c r="ACI20" s="3"/>
      <c r="ACJ20" s="3"/>
      <c r="ACK20" s="3"/>
      <c r="ACL20" s="3"/>
      <c r="ACM20" s="3"/>
      <c r="ACN20" s="3"/>
      <c r="ACO20" s="3"/>
      <c r="ACP20" s="3"/>
      <c r="ACQ20" s="3"/>
      <c r="ACR20" s="3"/>
      <c r="ACS20" s="3"/>
      <c r="ACT20" s="3"/>
      <c r="ACU20" s="3"/>
      <c r="ACV20" s="3"/>
      <c r="ACW20" s="3"/>
      <c r="ACX20" s="3"/>
      <c r="ACY20" s="3"/>
      <c r="ACZ20" s="3"/>
      <c r="ADA20" s="3"/>
      <c r="ADB20" s="3"/>
      <c r="ADC20" s="3"/>
      <c r="ADD20" s="3"/>
      <c r="ADE20" s="3"/>
      <c r="ADF20" s="3"/>
      <c r="ADG20" s="3"/>
      <c r="ADH20" s="3"/>
      <c r="ADI20" s="3"/>
      <c r="ADJ20" s="3"/>
      <c r="ADK20" s="3"/>
      <c r="ADL20" s="3"/>
      <c r="ADM20" s="3"/>
      <c r="ADN20" s="3"/>
      <c r="ADO20" s="3"/>
      <c r="ADP20" s="3"/>
      <c r="ADQ20" s="3"/>
      <c r="ADR20" s="3"/>
      <c r="ADS20" s="3"/>
      <c r="ADT20" s="3"/>
      <c r="ADU20" s="3"/>
      <c r="ADV20" s="3"/>
      <c r="ADW20" s="3"/>
      <c r="ADX20" s="3"/>
      <c r="ADY20" s="3"/>
      <c r="ADZ20" s="3"/>
      <c r="AEA20" s="3"/>
      <c r="AEB20" s="3"/>
      <c r="AEC20" s="3"/>
      <c r="AED20" s="3"/>
      <c r="AEE20" s="3"/>
      <c r="AEF20" s="3"/>
      <c r="AEG20" s="3"/>
      <c r="AEH20" s="3"/>
      <c r="AEI20" s="3"/>
      <c r="AEJ20" s="3"/>
      <c r="AEK20" s="3"/>
      <c r="AEL20" s="3"/>
      <c r="AEM20" s="3"/>
      <c r="AEN20" s="3"/>
      <c r="AEO20" s="3"/>
      <c r="AEP20" s="3"/>
      <c r="AEQ20" s="3"/>
      <c r="AER20" s="3"/>
      <c r="AES20" s="3"/>
      <c r="AET20" s="3"/>
      <c r="AEU20" s="3"/>
      <c r="AEV20" s="3"/>
      <c r="AEW20" s="3"/>
      <c r="AEX20" s="3"/>
      <c r="AEY20" s="3"/>
      <c r="AEZ20" s="3"/>
      <c r="AFA20" s="3"/>
      <c r="AFB20" s="3"/>
      <c r="AFC20" s="3"/>
      <c r="AFD20" s="3"/>
      <c r="AFE20" s="3"/>
      <c r="AFF20" s="3"/>
      <c r="AFG20" s="3"/>
      <c r="AFH20" s="3"/>
      <c r="AFI20" s="3"/>
      <c r="AFJ20" s="3"/>
      <c r="AFK20" s="3"/>
      <c r="AFL20" s="3"/>
      <c r="AFM20" s="3"/>
      <c r="AFN20" s="3"/>
      <c r="AFO20" s="3"/>
      <c r="AFP20" s="3"/>
      <c r="AFQ20" s="3"/>
      <c r="AFR20" s="3"/>
      <c r="AFS20" s="3"/>
      <c r="AFT20" s="3"/>
      <c r="AFU20" s="3"/>
      <c r="AFV20" s="3"/>
      <c r="AFW20" s="3"/>
      <c r="AFX20" s="3"/>
      <c r="AFY20" s="3"/>
      <c r="AFZ20" s="3"/>
      <c r="AGA20" s="3"/>
      <c r="AGB20" s="3"/>
      <c r="AGC20" s="3"/>
      <c r="AGD20" s="3"/>
      <c r="AGE20" s="3"/>
      <c r="AGF20" s="3"/>
      <c r="AGG20" s="3"/>
      <c r="AGH20" s="3"/>
      <c r="AGI20" s="3"/>
      <c r="AGJ20" s="3"/>
      <c r="AGK20" s="3"/>
      <c r="AGL20" s="3"/>
      <c r="AGM20" s="3"/>
      <c r="AGN20" s="3"/>
      <c r="AGO20" s="3"/>
      <c r="AGP20" s="3"/>
      <c r="AGQ20" s="3"/>
      <c r="AGR20" s="3"/>
      <c r="AGS20" s="3"/>
      <c r="AGT20" s="3"/>
      <c r="AGU20" s="3"/>
      <c r="AGV20" s="3"/>
      <c r="AGW20" s="3"/>
      <c r="AGX20" s="3"/>
      <c r="AGY20" s="3"/>
      <c r="AGZ20" s="3"/>
      <c r="AHA20" s="3"/>
      <c r="AHB20" s="3"/>
      <c r="AHC20" s="3"/>
      <c r="AHD20" s="3"/>
      <c r="AHE20" s="3"/>
      <c r="AHF20" s="3"/>
      <c r="AHG20" s="3"/>
      <c r="AHH20" s="3"/>
      <c r="AHI20" s="3"/>
      <c r="AHJ20" s="3"/>
      <c r="AHK20" s="3"/>
      <c r="AHL20" s="3"/>
      <c r="AHM20" s="3"/>
      <c r="AHN20" s="3"/>
      <c r="AHO20" s="3"/>
      <c r="AHP20" s="3"/>
      <c r="AHQ20" s="3"/>
      <c r="AHR20" s="3"/>
      <c r="AHS20" s="3"/>
      <c r="AHT20" s="3"/>
      <c r="AHU20" s="3"/>
      <c r="AHV20" s="3"/>
      <c r="AHW20" s="3"/>
      <c r="AHX20" s="3"/>
      <c r="AHY20" s="3"/>
      <c r="AHZ20" s="3"/>
      <c r="AIA20" s="3"/>
      <c r="AIB20" s="3"/>
      <c r="AIC20" s="3"/>
      <c r="AID20" s="3"/>
      <c r="AIE20" s="3"/>
      <c r="AIF20" s="3"/>
      <c r="AIG20" s="3"/>
      <c r="AIH20" s="3"/>
      <c r="AII20" s="3"/>
      <c r="AIJ20" s="3"/>
      <c r="AIK20" s="3"/>
      <c r="AIL20" s="3"/>
      <c r="AIM20" s="3"/>
      <c r="AIN20" s="3"/>
      <c r="AIO20" s="3"/>
      <c r="AIP20" s="3"/>
      <c r="AIQ20" s="3"/>
      <c r="AIR20" s="3"/>
      <c r="AIS20" s="3"/>
      <c r="AIT20" s="3"/>
      <c r="AIU20" s="3"/>
      <c r="AIV20" s="3"/>
      <c r="AIW20" s="3"/>
      <c r="AIX20" s="3"/>
      <c r="AIY20" s="3"/>
      <c r="AIZ20" s="3"/>
      <c r="AJA20" s="3"/>
      <c r="AJB20" s="3"/>
      <c r="AJC20" s="3"/>
      <c r="AJD20" s="3"/>
      <c r="AJE20" s="3"/>
      <c r="AJF20" s="3"/>
      <c r="AJG20" s="3"/>
      <c r="AJH20" s="3"/>
      <c r="AJI20" s="3"/>
      <c r="AJJ20" s="3"/>
      <c r="AJK20" s="3"/>
      <c r="AJL20" s="3"/>
      <c r="AJM20" s="3"/>
      <c r="AJN20" s="3"/>
      <c r="AJO20" s="3"/>
      <c r="AJP20" s="3"/>
      <c r="AJQ20" s="3"/>
      <c r="AJR20" s="3"/>
      <c r="AJS20" s="3"/>
      <c r="AJT20" s="3"/>
      <c r="AJU20" s="3"/>
      <c r="AJV20" s="3"/>
      <c r="AJW20" s="3"/>
      <c r="AJX20" s="3"/>
      <c r="AJY20" s="3"/>
      <c r="AJZ20" s="3"/>
      <c r="AKA20" s="3"/>
      <c r="AKB20" s="3"/>
      <c r="AKC20" s="3"/>
      <c r="AKD20" s="3"/>
      <c r="AKE20" s="3"/>
      <c r="AKF20" s="3"/>
      <c r="AKG20" s="3"/>
      <c r="AKH20" s="3"/>
      <c r="AKI20" s="3"/>
      <c r="AKJ20" s="3"/>
      <c r="AKK20" s="3"/>
      <c r="AKL20" s="3"/>
      <c r="AKM20" s="3"/>
      <c r="AKN20" s="3"/>
      <c r="AKO20" s="3"/>
      <c r="AKP20" s="3"/>
      <c r="AKQ20" s="3"/>
      <c r="AKR20" s="3"/>
      <c r="AKS20" s="3"/>
      <c r="AKT20" s="3"/>
      <c r="AKU20" s="3"/>
      <c r="AKV20" s="3"/>
      <c r="AKW20" s="3"/>
      <c r="AKX20" s="3"/>
      <c r="AKY20" s="3"/>
      <c r="AKZ20" s="3"/>
      <c r="ALA20" s="3"/>
      <c r="ALB20" s="3"/>
      <c r="ALC20" s="3"/>
      <c r="ALD20" s="3"/>
      <c r="ALE20" s="3"/>
      <c r="ALF20" s="3"/>
      <c r="ALG20" s="3"/>
      <c r="ALH20" s="3"/>
      <c r="ALI20" s="3"/>
      <c r="ALJ20" s="3"/>
      <c r="ALK20" s="3"/>
      <c r="ALL20" s="3"/>
      <c r="ALM20" s="3"/>
      <c r="ALN20" s="3"/>
      <c r="ALO20" s="3"/>
      <c r="ALP20" s="3"/>
      <c r="ALQ20" s="3"/>
      <c r="ALR20" s="3"/>
      <c r="ALS20" s="3"/>
      <c r="ALT20" s="3"/>
      <c r="ALU20" s="3"/>
      <c r="ALV20" s="3"/>
      <c r="ALW20" s="3"/>
      <c r="ALX20" s="3"/>
      <c r="ALY20" s="3"/>
      <c r="ALZ20" s="3"/>
      <c r="AMA20" s="3"/>
      <c r="AMB20" s="3"/>
      <c r="AMC20" s="3"/>
      <c r="AMD20" s="3"/>
      <c r="AME20" s="3"/>
      <c r="AMF20" s="3"/>
      <c r="AMG20" s="3"/>
      <c r="AMH20" s="3"/>
      <c r="AMI20" s="3"/>
      <c r="AMJ20" s="3"/>
      <c r="AMK20" s="3"/>
      <c r="AML20" s="3"/>
      <c r="AMM20" s="3"/>
      <c r="AMN20" s="3"/>
      <c r="AMO20" s="3"/>
      <c r="AMP20" s="3"/>
      <c r="AMQ20" s="3"/>
      <c r="AMR20" s="3"/>
      <c r="AMS20" s="3"/>
      <c r="AMT20" s="3"/>
      <c r="AMU20" s="3"/>
      <c r="AMV20" s="3"/>
      <c r="AMW20" s="3"/>
      <c r="AMX20" s="3"/>
      <c r="AMY20" s="3"/>
      <c r="AMZ20" s="3"/>
      <c r="ANA20" s="3"/>
      <c r="ANB20" s="3"/>
      <c r="ANC20" s="3"/>
      <c r="AND20" s="3"/>
      <c r="ANE20" s="3"/>
      <c r="ANF20" s="3"/>
      <c r="ANG20" s="3"/>
      <c r="ANH20" s="3"/>
      <c r="ANI20" s="3"/>
      <c r="ANJ20" s="3"/>
      <c r="ANK20" s="3"/>
      <c r="ANL20" s="3"/>
      <c r="ANM20" s="3"/>
      <c r="ANN20" s="3"/>
      <c r="ANO20" s="3"/>
      <c r="ANP20" s="3"/>
      <c r="ANQ20" s="3"/>
      <c r="ANR20" s="3"/>
      <c r="ANS20" s="3"/>
      <c r="ANT20" s="3"/>
      <c r="ANU20" s="3"/>
      <c r="ANV20" s="3"/>
      <c r="ANW20" s="3"/>
      <c r="ANX20" s="3"/>
      <c r="ANY20" s="3"/>
      <c r="ANZ20" s="3"/>
      <c r="AOA20" s="3"/>
      <c r="AOB20" s="3"/>
      <c r="AOC20" s="3"/>
      <c r="AOD20" s="3"/>
      <c r="AOE20" s="3"/>
      <c r="AOF20" s="3"/>
      <c r="AOG20" s="3"/>
      <c r="AOH20" s="3"/>
      <c r="AOI20" s="3"/>
      <c r="AOJ20" s="3"/>
      <c r="AOK20" s="3"/>
    </row>
    <row r="21" spans="1:1077" s="206" customFormat="1" ht="15" customHeight="1" x14ac:dyDescent="0.2">
      <c r="A21" s="195">
        <v>0</v>
      </c>
      <c r="B21" s="196"/>
      <c r="C21" s="196"/>
      <c r="D21" s="197" t="s">
        <v>425</v>
      </c>
      <c r="E21" s="198">
        <v>1</v>
      </c>
      <c r="F21" s="197" t="s">
        <v>535</v>
      </c>
      <c r="G21" s="198">
        <v>1</v>
      </c>
      <c r="H21" s="199" t="s">
        <v>563</v>
      </c>
      <c r="I21" s="197">
        <v>2</v>
      </c>
      <c r="J21" s="197">
        <v>1</v>
      </c>
      <c r="K21" s="197">
        <v>1</v>
      </c>
      <c r="L21" s="198" t="s">
        <v>549</v>
      </c>
      <c r="M21" s="198"/>
      <c r="N21" s="200"/>
      <c r="O21" s="200" t="s">
        <v>536</v>
      </c>
      <c r="P21" s="201" t="s">
        <v>564</v>
      </c>
      <c r="Q21" s="197" t="s">
        <v>428</v>
      </c>
      <c r="R21" s="197" t="s">
        <v>428</v>
      </c>
      <c r="S21" s="197" t="s">
        <v>428</v>
      </c>
      <c r="T21" s="197" t="s">
        <v>428</v>
      </c>
      <c r="U21" s="197"/>
      <c r="V21" s="197"/>
      <c r="W21" s="197"/>
      <c r="X21" s="197"/>
      <c r="Y21" s="197"/>
      <c r="Z21" s="197"/>
      <c r="AA21" s="197" t="s">
        <v>1</v>
      </c>
      <c r="AB21" s="198" t="s">
        <v>2</v>
      </c>
      <c r="AC21" s="198" t="s">
        <v>540</v>
      </c>
      <c r="AD21" s="197" t="s">
        <v>438</v>
      </c>
      <c r="AE21" s="197" t="s">
        <v>438</v>
      </c>
      <c r="AF21" s="197" t="s">
        <v>438</v>
      </c>
      <c r="AG21" s="197" t="s">
        <v>438</v>
      </c>
      <c r="AH21" s="197" t="s">
        <v>438</v>
      </c>
      <c r="AI21" s="197" t="s">
        <v>438</v>
      </c>
      <c r="AJ21" s="197" t="s">
        <v>438</v>
      </c>
      <c r="AK21" s="197" t="s">
        <v>438</v>
      </c>
      <c r="AL21" s="197" t="s">
        <v>438</v>
      </c>
      <c r="AM21" s="197" t="s">
        <v>428</v>
      </c>
      <c r="AN21" s="197" t="s">
        <v>428</v>
      </c>
      <c r="AO21" s="202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  <c r="GZ21" s="3"/>
      <c r="HA21" s="3"/>
      <c r="HB21" s="3"/>
      <c r="HC21" s="3"/>
      <c r="HD21" s="3"/>
      <c r="HE21" s="3"/>
      <c r="HF21" s="3"/>
      <c r="HG21" s="3"/>
      <c r="HH21" s="3"/>
      <c r="HI21" s="3"/>
      <c r="HJ21" s="3"/>
      <c r="HK21" s="3"/>
      <c r="HL21" s="3"/>
      <c r="HM21" s="3"/>
      <c r="HN21" s="3"/>
      <c r="HO21" s="3"/>
      <c r="HP21" s="3"/>
      <c r="HQ21" s="3"/>
      <c r="HR21" s="3"/>
      <c r="HS21" s="3"/>
      <c r="HT21" s="3"/>
      <c r="HU21" s="3"/>
      <c r="HV21" s="3"/>
      <c r="HW21" s="3"/>
      <c r="HX21" s="3"/>
      <c r="HY21" s="3"/>
      <c r="HZ21" s="3"/>
      <c r="IA21" s="3"/>
      <c r="IB21" s="3"/>
      <c r="IC21" s="3"/>
      <c r="ID21" s="3"/>
      <c r="IE21" s="3"/>
      <c r="IF21" s="3"/>
      <c r="IG21" s="3"/>
      <c r="IH21" s="3"/>
      <c r="II21" s="3"/>
      <c r="IJ21" s="3"/>
      <c r="IK21" s="3"/>
      <c r="IL21" s="3"/>
      <c r="IM21" s="3"/>
      <c r="IN21" s="3"/>
      <c r="IO21" s="3"/>
      <c r="IP21" s="3"/>
      <c r="IQ21" s="3"/>
      <c r="IR21" s="3"/>
      <c r="IS21" s="3"/>
      <c r="IT21" s="3"/>
      <c r="IU21" s="3"/>
      <c r="IV21" s="3"/>
      <c r="IW21" s="3"/>
      <c r="IX21" s="3"/>
      <c r="IY21" s="3"/>
      <c r="IZ21" s="3"/>
      <c r="JA21" s="3"/>
      <c r="JB21" s="3"/>
      <c r="JC21" s="3"/>
      <c r="JD21" s="3"/>
      <c r="JE21" s="3"/>
      <c r="JF21" s="3"/>
      <c r="JG21" s="3"/>
      <c r="JH21" s="3"/>
      <c r="JI21" s="3"/>
      <c r="JJ21" s="3"/>
      <c r="JK21" s="3"/>
      <c r="JL21" s="3"/>
      <c r="JM21" s="3"/>
      <c r="JN21" s="3"/>
      <c r="JO21" s="3"/>
      <c r="JP21" s="3"/>
      <c r="JQ21" s="3"/>
      <c r="JR21" s="3"/>
      <c r="JS21" s="3"/>
      <c r="JT21" s="3"/>
      <c r="JU21" s="3"/>
      <c r="JV21" s="3"/>
      <c r="JW21" s="3"/>
      <c r="JX21" s="3"/>
      <c r="JY21" s="3"/>
      <c r="JZ21" s="3"/>
      <c r="KA21" s="3"/>
      <c r="KB21" s="3"/>
      <c r="KC21" s="3"/>
      <c r="KD21" s="3"/>
      <c r="KE21" s="3"/>
      <c r="KF21" s="3"/>
      <c r="KG21" s="3"/>
      <c r="KH21" s="3"/>
      <c r="KI21" s="3"/>
      <c r="KJ21" s="3"/>
      <c r="KK21" s="3"/>
      <c r="KL21" s="3"/>
      <c r="KM21" s="3"/>
      <c r="KN21" s="3"/>
      <c r="KO21" s="3"/>
      <c r="KP21" s="3"/>
      <c r="KQ21" s="3"/>
      <c r="KR21" s="3"/>
      <c r="KS21" s="3"/>
      <c r="KT21" s="3"/>
      <c r="KU21" s="3"/>
      <c r="KV21" s="3"/>
      <c r="KW21" s="3"/>
      <c r="KX21" s="3"/>
      <c r="KY21" s="3"/>
      <c r="KZ21" s="3"/>
      <c r="LA21" s="3"/>
      <c r="LB21" s="3"/>
      <c r="LC21" s="3"/>
      <c r="LD21" s="3"/>
      <c r="LE21" s="3"/>
      <c r="LF21" s="3"/>
      <c r="LG21" s="3"/>
      <c r="LH21" s="3"/>
      <c r="LI21" s="3"/>
      <c r="LJ21" s="3"/>
      <c r="LK21" s="3"/>
      <c r="LL21" s="3"/>
      <c r="LM21" s="3"/>
      <c r="LN21" s="3"/>
      <c r="LO21" s="3"/>
      <c r="LP21" s="3"/>
      <c r="LQ21" s="3"/>
      <c r="LR21" s="3"/>
      <c r="LS21" s="3"/>
      <c r="LT21" s="3"/>
      <c r="LU21" s="3"/>
      <c r="LV21" s="3"/>
      <c r="LW21" s="3"/>
      <c r="LX21" s="3"/>
      <c r="LY21" s="3"/>
      <c r="LZ21" s="3"/>
      <c r="MA21" s="3"/>
      <c r="MB21" s="3"/>
      <c r="MC21" s="3"/>
      <c r="MD21" s="3"/>
      <c r="ME21" s="3"/>
      <c r="MF21" s="3"/>
      <c r="MG21" s="3"/>
      <c r="MH21" s="3"/>
      <c r="MI21" s="3"/>
      <c r="MJ21" s="3"/>
      <c r="MK21" s="3"/>
      <c r="ML21" s="3"/>
      <c r="MM21" s="3"/>
      <c r="MN21" s="3"/>
      <c r="MO21" s="3"/>
      <c r="MP21" s="3"/>
      <c r="MQ21" s="3"/>
      <c r="MR21" s="3"/>
      <c r="MS21" s="3"/>
      <c r="MT21" s="3"/>
      <c r="MU21" s="3"/>
      <c r="MV21" s="3"/>
      <c r="MW21" s="3"/>
      <c r="MX21" s="3"/>
      <c r="MY21" s="3"/>
      <c r="MZ21" s="3"/>
      <c r="NA21" s="3"/>
      <c r="NB21" s="3"/>
      <c r="NC21" s="3"/>
      <c r="ND21" s="3"/>
      <c r="NE21" s="3"/>
      <c r="NF21" s="3"/>
      <c r="NG21" s="3"/>
      <c r="NH21" s="3"/>
      <c r="NI21" s="3"/>
      <c r="NJ21" s="3"/>
      <c r="NK21" s="3"/>
      <c r="NL21" s="3"/>
      <c r="NM21" s="3"/>
      <c r="NN21" s="3"/>
      <c r="NO21" s="3"/>
      <c r="NP21" s="3"/>
      <c r="NQ21" s="3"/>
      <c r="NR21" s="3"/>
      <c r="NS21" s="3"/>
      <c r="NT21" s="3"/>
      <c r="NU21" s="3"/>
      <c r="NV21" s="3"/>
      <c r="NW21" s="3"/>
      <c r="NX21" s="3"/>
      <c r="NY21" s="3"/>
      <c r="NZ21" s="3"/>
      <c r="OA21" s="3"/>
      <c r="OB21" s="3"/>
      <c r="OC21" s="3"/>
      <c r="OD21" s="3"/>
      <c r="OE21" s="3"/>
      <c r="OF21" s="3"/>
      <c r="OG21" s="3"/>
      <c r="OH21" s="3"/>
      <c r="OI21" s="3"/>
      <c r="OJ21" s="3"/>
      <c r="OK21" s="3"/>
      <c r="OL21" s="3"/>
      <c r="OM21" s="3"/>
      <c r="ON21" s="3"/>
      <c r="OO21" s="3"/>
      <c r="OP21" s="3"/>
      <c r="OQ21" s="3"/>
      <c r="OR21" s="3"/>
      <c r="OS21" s="3"/>
      <c r="OT21" s="3"/>
      <c r="OU21" s="3"/>
      <c r="OV21" s="3"/>
      <c r="OW21" s="3"/>
      <c r="OX21" s="3"/>
      <c r="OY21" s="3"/>
      <c r="OZ21" s="3"/>
      <c r="PA21" s="3"/>
      <c r="PB21" s="3"/>
      <c r="PC21" s="3"/>
      <c r="PD21" s="3"/>
      <c r="PE21" s="3"/>
      <c r="PF21" s="3"/>
      <c r="PG21" s="3"/>
      <c r="PH21" s="3"/>
      <c r="PI21" s="3"/>
      <c r="PJ21" s="3"/>
      <c r="PK21" s="3"/>
      <c r="PL21" s="3"/>
      <c r="PM21" s="3"/>
      <c r="PN21" s="3"/>
      <c r="PO21" s="3"/>
      <c r="PP21" s="3"/>
      <c r="PQ21" s="3"/>
      <c r="PR21" s="3"/>
      <c r="PS21" s="3"/>
      <c r="PT21" s="3"/>
      <c r="PU21" s="3"/>
      <c r="PV21" s="3"/>
      <c r="PW21" s="3"/>
      <c r="PX21" s="3"/>
      <c r="PY21" s="3"/>
      <c r="PZ21" s="3"/>
      <c r="QA21" s="3"/>
      <c r="QB21" s="3"/>
      <c r="QC21" s="3"/>
      <c r="QD21" s="3"/>
      <c r="QE21" s="3"/>
      <c r="QF21" s="3"/>
      <c r="QG21" s="3"/>
      <c r="QH21" s="3"/>
      <c r="QI21" s="3"/>
      <c r="QJ21" s="3"/>
      <c r="QK21" s="3"/>
      <c r="QL21" s="3"/>
      <c r="QM21" s="3"/>
      <c r="QN21" s="3"/>
      <c r="QO21" s="3"/>
      <c r="QP21" s="3"/>
      <c r="QQ21" s="3"/>
      <c r="QR21" s="3"/>
      <c r="QS21" s="3"/>
      <c r="QT21" s="3"/>
      <c r="QU21" s="3"/>
      <c r="QV21" s="3"/>
      <c r="QW21" s="3"/>
      <c r="QX21" s="3"/>
      <c r="QY21" s="3"/>
      <c r="QZ21" s="3"/>
      <c r="RA21" s="3"/>
      <c r="RB21" s="3"/>
      <c r="RC21" s="3"/>
      <c r="RD21" s="3"/>
      <c r="RE21" s="3"/>
      <c r="RF21" s="3"/>
      <c r="RG21" s="3"/>
      <c r="RH21" s="3"/>
      <c r="RI21" s="3"/>
      <c r="RJ21" s="3"/>
      <c r="RK21" s="3"/>
      <c r="RL21" s="3"/>
      <c r="RM21" s="3"/>
      <c r="RN21" s="3"/>
      <c r="RO21" s="3"/>
      <c r="RP21" s="3"/>
      <c r="RQ21" s="3"/>
      <c r="RR21" s="3"/>
      <c r="RS21" s="3"/>
      <c r="RT21" s="3"/>
      <c r="RU21" s="3"/>
      <c r="RV21" s="3"/>
      <c r="RW21" s="3"/>
      <c r="RX21" s="3"/>
      <c r="RY21" s="3"/>
      <c r="RZ21" s="3"/>
      <c r="SA21" s="3"/>
      <c r="SB21" s="3"/>
      <c r="SC21" s="3"/>
      <c r="SD21" s="3"/>
      <c r="SE21" s="3"/>
      <c r="SF21" s="3"/>
      <c r="SG21" s="3"/>
      <c r="SH21" s="3"/>
      <c r="SI21" s="3"/>
      <c r="SJ21" s="3"/>
      <c r="SK21" s="3"/>
      <c r="SL21" s="3"/>
      <c r="SM21" s="3"/>
      <c r="SN21" s="3"/>
      <c r="SO21" s="3"/>
      <c r="SP21" s="3"/>
      <c r="SQ21" s="3"/>
      <c r="SR21" s="3"/>
      <c r="SS21" s="3"/>
      <c r="ST21" s="3"/>
      <c r="SU21" s="3"/>
      <c r="SV21" s="3"/>
      <c r="SW21" s="3"/>
      <c r="SX21" s="3"/>
      <c r="SY21" s="3"/>
      <c r="SZ21" s="3"/>
      <c r="TA21" s="3"/>
      <c r="TB21" s="3"/>
      <c r="TC21" s="3"/>
      <c r="TD21" s="3"/>
      <c r="TE21" s="3"/>
      <c r="TF21" s="3"/>
      <c r="TG21" s="3"/>
      <c r="TH21" s="3"/>
      <c r="TI21" s="3"/>
      <c r="TJ21" s="3"/>
      <c r="TK21" s="3"/>
      <c r="TL21" s="3"/>
      <c r="TM21" s="3"/>
      <c r="TN21" s="3"/>
      <c r="TO21" s="3"/>
      <c r="TP21" s="3"/>
      <c r="TQ21" s="3"/>
      <c r="TR21" s="3"/>
      <c r="TS21" s="3"/>
      <c r="TT21" s="3"/>
      <c r="TU21" s="3"/>
      <c r="TV21" s="3"/>
      <c r="TW21" s="3"/>
      <c r="TX21" s="3"/>
      <c r="TY21" s="3"/>
      <c r="TZ21" s="3"/>
      <c r="UA21" s="3"/>
      <c r="UB21" s="3"/>
      <c r="UC21" s="3"/>
      <c r="UD21" s="3"/>
      <c r="UE21" s="3"/>
      <c r="UF21" s="3"/>
      <c r="UG21" s="3"/>
      <c r="UH21" s="3"/>
      <c r="UI21" s="3"/>
      <c r="UJ21" s="3"/>
      <c r="UK21" s="3"/>
      <c r="UL21" s="3"/>
      <c r="UM21" s="3"/>
      <c r="UN21" s="3"/>
      <c r="UO21" s="3"/>
      <c r="UP21" s="3"/>
      <c r="UQ21" s="3"/>
      <c r="UR21" s="3"/>
      <c r="US21" s="3"/>
      <c r="UT21" s="3"/>
      <c r="UU21" s="3"/>
      <c r="UV21" s="3"/>
      <c r="UW21" s="3"/>
      <c r="UX21" s="3"/>
      <c r="UY21" s="3"/>
      <c r="UZ21" s="3"/>
      <c r="VA21" s="3"/>
      <c r="VB21" s="3"/>
      <c r="VC21" s="3"/>
      <c r="VD21" s="3"/>
      <c r="VE21" s="3"/>
      <c r="VF21" s="3"/>
      <c r="VG21" s="3"/>
      <c r="VH21" s="3"/>
      <c r="VI21" s="3"/>
      <c r="VJ21" s="3"/>
      <c r="VK21" s="3"/>
      <c r="VL21" s="3"/>
      <c r="VM21" s="3"/>
      <c r="VN21" s="3"/>
      <c r="VO21" s="3"/>
      <c r="VP21" s="3"/>
      <c r="VQ21" s="3"/>
      <c r="VR21" s="3"/>
      <c r="VS21" s="3"/>
      <c r="VT21" s="3"/>
      <c r="VU21" s="3"/>
      <c r="VV21" s="3"/>
      <c r="VW21" s="3"/>
      <c r="VX21" s="3"/>
      <c r="VY21" s="3"/>
      <c r="VZ21" s="3"/>
      <c r="WA21" s="3"/>
      <c r="WB21" s="3"/>
      <c r="WC21" s="3"/>
      <c r="WD21" s="3"/>
      <c r="WE21" s="3"/>
      <c r="WF21" s="3"/>
      <c r="WG21" s="3"/>
      <c r="WH21" s="3"/>
      <c r="WI21" s="3"/>
      <c r="WJ21" s="3"/>
      <c r="WK21" s="3"/>
      <c r="WL21" s="3"/>
      <c r="WM21" s="3"/>
      <c r="WN21" s="3"/>
      <c r="WO21" s="3"/>
      <c r="WP21" s="3"/>
      <c r="WQ21" s="3"/>
      <c r="WR21" s="3"/>
      <c r="WS21" s="3"/>
      <c r="WT21" s="3"/>
      <c r="WU21" s="3"/>
      <c r="WV21" s="3"/>
      <c r="WW21" s="3"/>
      <c r="WX21" s="3"/>
      <c r="WY21" s="3"/>
      <c r="WZ21" s="3"/>
      <c r="XA21" s="3"/>
      <c r="XB21" s="3"/>
      <c r="XC21" s="3"/>
      <c r="XD21" s="3"/>
      <c r="XE21" s="3"/>
      <c r="XF21" s="3"/>
      <c r="XG21" s="3"/>
      <c r="XH21" s="3"/>
      <c r="XI21" s="3"/>
      <c r="XJ21" s="3"/>
      <c r="XK21" s="3"/>
      <c r="XL21" s="3"/>
      <c r="XM21" s="3"/>
      <c r="XN21" s="3"/>
      <c r="XO21" s="3"/>
      <c r="XP21" s="3"/>
      <c r="XQ21" s="3"/>
      <c r="XR21" s="3"/>
      <c r="XS21" s="3"/>
      <c r="XT21" s="3"/>
      <c r="XU21" s="3"/>
      <c r="XV21" s="3"/>
      <c r="XW21" s="3"/>
      <c r="XX21" s="3"/>
      <c r="XY21" s="3"/>
      <c r="XZ21" s="3"/>
      <c r="YA21" s="3"/>
      <c r="YB21" s="3"/>
      <c r="YC21" s="3"/>
      <c r="YD21" s="3"/>
      <c r="YE21" s="3"/>
      <c r="YF21" s="3"/>
      <c r="YG21" s="3"/>
      <c r="YH21" s="3"/>
      <c r="YI21" s="3"/>
      <c r="YJ21" s="3"/>
      <c r="YK21" s="3"/>
      <c r="YL21" s="3"/>
      <c r="YM21" s="3"/>
      <c r="YN21" s="3"/>
      <c r="YO21" s="3"/>
      <c r="YP21" s="3"/>
      <c r="YQ21" s="3"/>
      <c r="YR21" s="3"/>
      <c r="YS21" s="3"/>
      <c r="YT21" s="3"/>
      <c r="YU21" s="3"/>
      <c r="YV21" s="3"/>
      <c r="YW21" s="3"/>
      <c r="YX21" s="3"/>
      <c r="YY21" s="3"/>
      <c r="YZ21" s="3"/>
      <c r="ZA21" s="3"/>
      <c r="ZB21" s="3"/>
      <c r="ZC21" s="3"/>
      <c r="ZD21" s="3"/>
      <c r="ZE21" s="3"/>
      <c r="ZF21" s="3"/>
      <c r="ZG21" s="3"/>
      <c r="ZH21" s="3"/>
      <c r="ZI21" s="3"/>
      <c r="ZJ21" s="3"/>
      <c r="ZK21" s="3"/>
      <c r="ZL21" s="3"/>
      <c r="ZM21" s="3"/>
      <c r="ZN21" s="3"/>
      <c r="ZO21" s="3"/>
      <c r="ZP21" s="3"/>
      <c r="ZQ21" s="3"/>
      <c r="ZR21" s="3"/>
      <c r="ZS21" s="3"/>
      <c r="ZT21" s="3"/>
      <c r="ZU21" s="3"/>
      <c r="ZV21" s="3"/>
      <c r="ZW21" s="3"/>
      <c r="ZX21" s="3"/>
      <c r="ZY21" s="3"/>
      <c r="ZZ21" s="3"/>
      <c r="AAA21" s="3"/>
      <c r="AAB21" s="3"/>
      <c r="AAC21" s="3"/>
      <c r="AAD21" s="3"/>
      <c r="AAE21" s="3"/>
      <c r="AAF21" s="3"/>
      <c r="AAG21" s="3"/>
      <c r="AAH21" s="3"/>
      <c r="AAI21" s="3"/>
      <c r="AAJ21" s="3"/>
      <c r="AAK21" s="3"/>
      <c r="AAL21" s="3"/>
      <c r="AAM21" s="3"/>
      <c r="AAN21" s="3"/>
      <c r="AAO21" s="3"/>
      <c r="AAP21" s="3"/>
      <c r="AAQ21" s="3"/>
      <c r="AAR21" s="3"/>
      <c r="AAS21" s="3"/>
      <c r="AAT21" s="3"/>
      <c r="AAU21" s="3"/>
      <c r="AAV21" s="3"/>
      <c r="AAW21" s="3"/>
      <c r="AAX21" s="3"/>
      <c r="AAY21" s="3"/>
      <c r="AAZ21" s="3"/>
      <c r="ABA21" s="3"/>
      <c r="ABB21" s="3"/>
      <c r="ABC21" s="3"/>
      <c r="ABD21" s="3"/>
      <c r="ABE21" s="3"/>
      <c r="ABF21" s="3"/>
      <c r="ABG21" s="3"/>
      <c r="ABH21" s="3"/>
      <c r="ABI21" s="3"/>
      <c r="ABJ21" s="3"/>
      <c r="ABK21" s="3"/>
      <c r="ABL21" s="3"/>
      <c r="ABM21" s="3"/>
      <c r="ABN21" s="3"/>
      <c r="ABO21" s="3"/>
      <c r="ABP21" s="3"/>
      <c r="ABQ21" s="3"/>
      <c r="ABR21" s="3"/>
      <c r="ABS21" s="3"/>
      <c r="ABT21" s="3"/>
      <c r="ABU21" s="3"/>
      <c r="ABV21" s="3"/>
      <c r="ABW21" s="3"/>
      <c r="ABX21" s="3"/>
      <c r="ABY21" s="3"/>
      <c r="ABZ21" s="3"/>
      <c r="ACA21" s="3"/>
      <c r="ACB21" s="3"/>
      <c r="ACC21" s="3"/>
      <c r="ACD21" s="3"/>
      <c r="ACE21" s="3"/>
      <c r="ACF21" s="3"/>
      <c r="ACG21" s="3"/>
      <c r="ACH21" s="3"/>
      <c r="ACI21" s="3"/>
      <c r="ACJ21" s="3"/>
      <c r="ACK21" s="3"/>
      <c r="ACL21" s="3"/>
      <c r="ACM21" s="3"/>
      <c r="ACN21" s="3"/>
      <c r="ACO21" s="3"/>
      <c r="ACP21" s="3"/>
      <c r="ACQ21" s="3"/>
      <c r="ACR21" s="3"/>
      <c r="ACS21" s="3"/>
      <c r="ACT21" s="3"/>
      <c r="ACU21" s="3"/>
      <c r="ACV21" s="3"/>
      <c r="ACW21" s="3"/>
      <c r="ACX21" s="3"/>
      <c r="ACY21" s="3"/>
      <c r="ACZ21" s="3"/>
      <c r="ADA21" s="3"/>
      <c r="ADB21" s="3"/>
      <c r="ADC21" s="3"/>
      <c r="ADD21" s="3"/>
      <c r="ADE21" s="3"/>
      <c r="ADF21" s="3"/>
      <c r="ADG21" s="3"/>
      <c r="ADH21" s="3"/>
      <c r="ADI21" s="3"/>
      <c r="ADJ21" s="3"/>
      <c r="ADK21" s="3"/>
      <c r="ADL21" s="3"/>
      <c r="ADM21" s="3"/>
      <c r="ADN21" s="3"/>
      <c r="ADO21" s="3"/>
      <c r="ADP21" s="3"/>
      <c r="ADQ21" s="3"/>
      <c r="ADR21" s="3"/>
      <c r="ADS21" s="3"/>
      <c r="ADT21" s="3"/>
      <c r="ADU21" s="3"/>
      <c r="ADV21" s="3"/>
      <c r="ADW21" s="3"/>
      <c r="ADX21" s="3"/>
      <c r="ADY21" s="3"/>
      <c r="ADZ21" s="3"/>
      <c r="AEA21" s="3"/>
      <c r="AEB21" s="3"/>
      <c r="AEC21" s="3"/>
      <c r="AED21" s="3"/>
      <c r="AEE21" s="3"/>
      <c r="AEF21" s="3"/>
      <c r="AEG21" s="3"/>
      <c r="AEH21" s="3"/>
      <c r="AEI21" s="3"/>
      <c r="AEJ21" s="3"/>
      <c r="AEK21" s="3"/>
      <c r="AEL21" s="3"/>
      <c r="AEM21" s="3"/>
      <c r="AEN21" s="3"/>
      <c r="AEO21" s="3"/>
      <c r="AEP21" s="3"/>
      <c r="AEQ21" s="3"/>
      <c r="AER21" s="3"/>
      <c r="AES21" s="3"/>
      <c r="AET21" s="3"/>
      <c r="AEU21" s="3"/>
      <c r="AEV21" s="3"/>
      <c r="AEW21" s="3"/>
      <c r="AEX21" s="3"/>
      <c r="AEY21" s="3"/>
      <c r="AEZ21" s="3"/>
      <c r="AFA21" s="3"/>
      <c r="AFB21" s="3"/>
      <c r="AFC21" s="3"/>
      <c r="AFD21" s="3"/>
      <c r="AFE21" s="3"/>
      <c r="AFF21" s="3"/>
      <c r="AFG21" s="3"/>
      <c r="AFH21" s="3"/>
      <c r="AFI21" s="3"/>
      <c r="AFJ21" s="3"/>
      <c r="AFK21" s="3"/>
      <c r="AFL21" s="3"/>
      <c r="AFM21" s="3"/>
      <c r="AFN21" s="3"/>
      <c r="AFO21" s="3"/>
      <c r="AFP21" s="3"/>
      <c r="AFQ21" s="3"/>
      <c r="AFR21" s="3"/>
      <c r="AFS21" s="3"/>
      <c r="AFT21" s="3"/>
      <c r="AFU21" s="3"/>
      <c r="AFV21" s="3"/>
      <c r="AFW21" s="3"/>
      <c r="AFX21" s="3"/>
      <c r="AFY21" s="3"/>
      <c r="AFZ21" s="3"/>
      <c r="AGA21" s="3"/>
    </row>
    <row r="22" spans="1:1077" ht="15" customHeight="1" x14ac:dyDescent="0.2">
      <c r="A22" s="195">
        <v>0</v>
      </c>
      <c r="B22" s="196"/>
      <c r="C22" s="196"/>
      <c r="D22" s="197" t="s">
        <v>425</v>
      </c>
      <c r="E22" s="198">
        <v>1</v>
      </c>
      <c r="F22" s="197" t="s">
        <v>535</v>
      </c>
      <c r="G22" s="198">
        <v>1</v>
      </c>
      <c r="H22" s="199" t="s">
        <v>565</v>
      </c>
      <c r="I22" s="197">
        <v>2</v>
      </c>
      <c r="J22" s="197">
        <v>1</v>
      </c>
      <c r="K22" s="197">
        <v>1</v>
      </c>
      <c r="L22" s="198" t="s">
        <v>349</v>
      </c>
      <c r="M22" s="198"/>
      <c r="N22" s="200"/>
      <c r="O22" s="200" t="s">
        <v>536</v>
      </c>
      <c r="P22" s="201" t="s">
        <v>566</v>
      </c>
      <c r="Q22" s="197">
        <v>35</v>
      </c>
      <c r="R22" s="197" t="s">
        <v>567</v>
      </c>
      <c r="S22" s="197"/>
      <c r="T22" s="197"/>
      <c r="U22" s="197"/>
      <c r="V22" s="197"/>
      <c r="W22" s="197"/>
      <c r="X22" s="197"/>
      <c r="Y22" s="197"/>
      <c r="Z22" s="197"/>
      <c r="AA22" s="197" t="s">
        <v>1</v>
      </c>
      <c r="AB22" s="198" t="s">
        <v>2</v>
      </c>
      <c r="AC22" s="198" t="s">
        <v>540</v>
      </c>
      <c r="AD22" s="197" t="s">
        <v>438</v>
      </c>
      <c r="AE22" s="197" t="s">
        <v>438</v>
      </c>
      <c r="AF22" s="197" t="s">
        <v>438</v>
      </c>
      <c r="AG22" s="197" t="s">
        <v>438</v>
      </c>
      <c r="AH22" s="197" t="s">
        <v>438</v>
      </c>
      <c r="AI22" s="197" t="s">
        <v>438</v>
      </c>
      <c r="AJ22" s="197" t="s">
        <v>438</v>
      </c>
      <c r="AK22" s="197" t="s">
        <v>438</v>
      </c>
      <c r="AL22" s="197" t="s">
        <v>438</v>
      </c>
      <c r="AM22" s="197" t="s">
        <v>428</v>
      </c>
      <c r="AN22" s="197" t="s">
        <v>428</v>
      </c>
      <c r="AO22" s="202"/>
      <c r="AP22" s="207"/>
      <c r="AQ22" s="197"/>
      <c r="AR22" s="197"/>
      <c r="AS22" s="197"/>
      <c r="AT22" s="197"/>
      <c r="AU22" s="197"/>
      <c r="AV22" s="197"/>
      <c r="AW22" s="197"/>
      <c r="AX22" s="197"/>
      <c r="AY22" s="197"/>
      <c r="AZ22" s="197"/>
      <c r="BA22" s="197"/>
      <c r="BB22" s="197"/>
      <c r="BC22" s="197"/>
      <c r="BD22" s="197"/>
      <c r="BE22" s="197"/>
      <c r="BF22" s="197"/>
      <c r="BG22" s="197"/>
      <c r="BH22" s="197"/>
      <c r="BI22" s="197"/>
      <c r="BJ22" s="197"/>
      <c r="BK22" s="197"/>
      <c r="BL22" s="197"/>
      <c r="BM22" s="197"/>
      <c r="BN22" s="208"/>
      <c r="BO22" s="208"/>
      <c r="BP22" s="208"/>
      <c r="BQ22" s="208"/>
      <c r="BR22" s="208"/>
      <c r="BS22" s="208"/>
      <c r="BT22" s="208"/>
      <c r="BU22" s="208"/>
      <c r="BV22" s="208"/>
      <c r="BW22" s="208"/>
      <c r="BX22" s="208"/>
      <c r="BY22" s="208"/>
      <c r="BZ22" s="208"/>
      <c r="CA22" s="208"/>
      <c r="CB22" s="208"/>
      <c r="CC22" s="208"/>
      <c r="CD22" s="208"/>
      <c r="CE22" s="208"/>
      <c r="CF22" s="208"/>
      <c r="CG22" s="208"/>
      <c r="CH22" s="208"/>
      <c r="CI22" s="208"/>
      <c r="CJ22" s="208"/>
      <c r="CK22" s="208"/>
      <c r="CL22" s="208"/>
      <c r="CM22" s="208"/>
      <c r="CN22" s="208"/>
      <c r="CO22" s="208"/>
      <c r="CP22" s="208"/>
      <c r="CQ22" s="208"/>
      <c r="CR22" s="208"/>
      <c r="CS22" s="208"/>
      <c r="CT22" s="208"/>
      <c r="CU22" s="208"/>
      <c r="CV22" s="208"/>
      <c r="CW22" s="208"/>
      <c r="CX22" s="208"/>
      <c r="CY22" s="208"/>
      <c r="CZ22" s="208"/>
      <c r="DA22" s="208"/>
      <c r="DB22" s="208"/>
      <c r="DC22" s="208"/>
      <c r="DD22" s="208"/>
      <c r="DE22" s="208"/>
      <c r="DF22" s="208"/>
      <c r="DG22" s="208"/>
      <c r="DH22" s="208"/>
      <c r="DI22" s="208"/>
      <c r="DJ22" s="208"/>
      <c r="DK22" s="208"/>
      <c r="DL22" s="208"/>
      <c r="DM22" s="208"/>
      <c r="DN22" s="208"/>
      <c r="DO22" s="208"/>
      <c r="DP22" s="208"/>
      <c r="DQ22" s="208"/>
      <c r="DR22" s="208"/>
      <c r="DS22" s="208"/>
      <c r="DT22" s="208"/>
      <c r="DU22" s="208"/>
      <c r="DV22" s="208"/>
      <c r="DW22" s="208"/>
      <c r="DX22" s="208"/>
      <c r="DY22" s="208"/>
      <c r="DZ22" s="208"/>
      <c r="EA22" s="208"/>
      <c r="EB22" s="208"/>
      <c r="EC22" s="208"/>
      <c r="ED22" s="208"/>
      <c r="EE22" s="208"/>
      <c r="EF22" s="208"/>
      <c r="EG22" s="208"/>
      <c r="EH22" s="208"/>
      <c r="EI22" s="208"/>
      <c r="EJ22" s="208"/>
      <c r="EK22" s="208"/>
      <c r="EL22" s="208"/>
      <c r="EM22" s="208"/>
      <c r="EN22" s="208"/>
      <c r="EO22" s="208"/>
      <c r="EP22" s="208"/>
      <c r="EQ22" s="208"/>
      <c r="ER22" s="208"/>
      <c r="ES22" s="208"/>
      <c r="ET22" s="208"/>
      <c r="EU22" s="208"/>
      <c r="EV22" s="208"/>
      <c r="EW22" s="208"/>
      <c r="EX22" s="208"/>
      <c r="EY22" s="208"/>
      <c r="EZ22" s="208"/>
      <c r="FA22" s="208"/>
      <c r="FB22" s="208"/>
      <c r="FC22" s="208"/>
      <c r="FD22" s="208"/>
      <c r="FE22" s="208"/>
      <c r="FF22" s="208"/>
      <c r="FG22" s="208"/>
      <c r="FH22" s="208"/>
      <c r="FI22" s="208"/>
      <c r="FJ22" s="208"/>
      <c r="FK22" s="208"/>
      <c r="FL22" s="208"/>
      <c r="FM22" s="208"/>
      <c r="FN22" s="208"/>
      <c r="FO22" s="208"/>
      <c r="FP22" s="208"/>
      <c r="FQ22" s="208"/>
      <c r="FR22" s="208"/>
      <c r="FS22" s="208"/>
      <c r="FT22" s="208"/>
      <c r="FU22" s="208"/>
      <c r="FV22" s="208"/>
      <c r="FW22" s="208"/>
      <c r="FX22" s="208"/>
      <c r="FY22" s="208"/>
      <c r="FZ22" s="208"/>
      <c r="GA22" s="208"/>
      <c r="GB22" s="208"/>
      <c r="GC22" s="208"/>
      <c r="GD22" s="208"/>
      <c r="GE22" s="208"/>
      <c r="GF22" s="208"/>
      <c r="GG22" s="208"/>
      <c r="GH22" s="208"/>
      <c r="GI22" s="208"/>
      <c r="GJ22" s="208"/>
      <c r="GK22" s="208"/>
      <c r="GL22" s="208"/>
      <c r="GM22" s="208"/>
      <c r="GN22" s="208"/>
      <c r="GO22" s="208"/>
      <c r="GP22" s="208"/>
      <c r="GQ22" s="208"/>
      <c r="GR22" s="208"/>
      <c r="GS22" s="208"/>
      <c r="GT22" s="208"/>
      <c r="GU22" s="208"/>
      <c r="GV22" s="208"/>
      <c r="GW22" s="208"/>
      <c r="GX22" s="208"/>
      <c r="GY22" s="208"/>
      <c r="GZ22" s="208"/>
      <c r="HA22" s="208"/>
      <c r="HB22" s="208"/>
      <c r="HC22" s="208"/>
      <c r="HD22" s="208"/>
      <c r="HE22" s="208"/>
      <c r="HF22" s="208"/>
      <c r="HG22" s="208"/>
      <c r="HH22" s="208"/>
      <c r="HI22" s="208"/>
      <c r="HJ22" s="208"/>
      <c r="HK22" s="208"/>
      <c r="HL22" s="208"/>
      <c r="HM22" s="208"/>
      <c r="HN22" s="208"/>
      <c r="HO22" s="208"/>
      <c r="HP22" s="208"/>
      <c r="HQ22" s="208"/>
      <c r="HR22" s="208"/>
      <c r="HS22" s="208"/>
      <c r="HT22" s="208"/>
      <c r="HU22" s="208"/>
      <c r="HV22" s="208"/>
      <c r="HW22" s="208"/>
      <c r="HX22" s="208"/>
      <c r="HY22" s="208"/>
      <c r="HZ22" s="208"/>
      <c r="IA22" s="208"/>
      <c r="IB22" s="208"/>
      <c r="IC22" s="208"/>
      <c r="ID22" s="208"/>
      <c r="IE22" s="208"/>
      <c r="IF22" s="208"/>
      <c r="IG22" s="208"/>
      <c r="IH22" s="208"/>
      <c r="II22" s="208"/>
      <c r="IJ22" s="208"/>
      <c r="IK22" s="208"/>
      <c r="IL22" s="208"/>
      <c r="IM22" s="208"/>
      <c r="IN22" s="208"/>
      <c r="IO22" s="208"/>
      <c r="IP22" s="208"/>
      <c r="IQ22" s="208"/>
      <c r="IR22" s="208"/>
      <c r="IS22" s="208"/>
      <c r="IT22" s="208"/>
      <c r="IU22" s="208"/>
      <c r="IV22" s="208"/>
      <c r="IW22" s="208"/>
      <c r="IX22" s="208"/>
      <c r="IY22" s="208"/>
    </row>
    <row r="23" spans="1:1077" ht="15" customHeight="1" x14ac:dyDescent="0.2">
      <c r="A23" s="195">
        <v>0</v>
      </c>
      <c r="B23" s="196"/>
      <c r="C23" s="196"/>
      <c r="D23" s="197" t="s">
        <v>425</v>
      </c>
      <c r="E23" s="198">
        <v>1</v>
      </c>
      <c r="F23" s="197" t="s">
        <v>535</v>
      </c>
      <c r="G23" s="198">
        <v>1</v>
      </c>
      <c r="H23" s="199" t="s">
        <v>565</v>
      </c>
      <c r="I23" s="197">
        <v>2</v>
      </c>
      <c r="J23" s="197">
        <v>1</v>
      </c>
      <c r="K23" s="197">
        <v>1</v>
      </c>
      <c r="L23" s="198" t="s">
        <v>352</v>
      </c>
      <c r="M23" s="198"/>
      <c r="N23" s="200"/>
      <c r="O23" s="200" t="s">
        <v>536</v>
      </c>
      <c r="P23" s="201" t="s">
        <v>568</v>
      </c>
      <c r="Q23" s="197">
        <v>400</v>
      </c>
      <c r="R23" s="197" t="s">
        <v>567</v>
      </c>
      <c r="S23" s="197"/>
      <c r="T23" s="197"/>
      <c r="U23" s="197"/>
      <c r="V23" s="197"/>
      <c r="W23" s="197"/>
      <c r="X23" s="197"/>
      <c r="Y23" s="197"/>
      <c r="Z23" s="197"/>
      <c r="AA23" s="197" t="s">
        <v>1</v>
      </c>
      <c r="AB23" s="198" t="s">
        <v>2</v>
      </c>
      <c r="AC23" s="198" t="s">
        <v>540</v>
      </c>
      <c r="AD23" s="197" t="s">
        <v>438</v>
      </c>
      <c r="AE23" s="197" t="s">
        <v>438</v>
      </c>
      <c r="AF23" s="197" t="s">
        <v>438</v>
      </c>
      <c r="AG23" s="197" t="s">
        <v>438</v>
      </c>
      <c r="AH23" s="197" t="s">
        <v>438</v>
      </c>
      <c r="AI23" s="197" t="s">
        <v>438</v>
      </c>
      <c r="AJ23" s="197" t="s">
        <v>438</v>
      </c>
      <c r="AK23" s="197" t="s">
        <v>438</v>
      </c>
      <c r="AL23" s="197" t="s">
        <v>438</v>
      </c>
      <c r="AM23" s="197" t="s">
        <v>428</v>
      </c>
      <c r="AN23" s="197" t="s">
        <v>428</v>
      </c>
      <c r="AO23" s="202"/>
      <c r="AP23" s="207"/>
      <c r="AQ23" s="197"/>
      <c r="AR23" s="197"/>
      <c r="AS23" s="197"/>
      <c r="AT23" s="197"/>
      <c r="AU23" s="197"/>
      <c r="AV23" s="197"/>
      <c r="AW23" s="197"/>
      <c r="AX23" s="197"/>
      <c r="AY23" s="197"/>
      <c r="AZ23" s="197"/>
      <c r="BA23" s="197"/>
      <c r="BB23" s="197"/>
      <c r="BC23" s="197"/>
      <c r="BD23" s="197"/>
      <c r="BE23" s="197"/>
      <c r="BF23" s="197"/>
      <c r="BG23" s="197"/>
      <c r="BH23" s="197"/>
      <c r="BI23" s="197"/>
      <c r="BJ23" s="197"/>
      <c r="BK23" s="197"/>
      <c r="BL23" s="197"/>
      <c r="BM23" s="197"/>
      <c r="BN23" s="208"/>
      <c r="BO23" s="208"/>
      <c r="BP23" s="208"/>
      <c r="BQ23" s="208"/>
      <c r="BR23" s="208"/>
      <c r="BS23" s="208"/>
      <c r="BT23" s="208"/>
      <c r="BU23" s="208"/>
      <c r="BV23" s="208"/>
      <c r="BW23" s="208"/>
      <c r="BX23" s="208"/>
      <c r="BY23" s="208"/>
      <c r="BZ23" s="208"/>
      <c r="CA23" s="208"/>
      <c r="CB23" s="208"/>
      <c r="CC23" s="208"/>
      <c r="CD23" s="208"/>
      <c r="CE23" s="208"/>
      <c r="CF23" s="208"/>
      <c r="CG23" s="208"/>
      <c r="CH23" s="208"/>
      <c r="CI23" s="208"/>
      <c r="CJ23" s="208"/>
      <c r="CK23" s="208"/>
      <c r="CL23" s="208"/>
      <c r="CM23" s="208"/>
      <c r="CN23" s="208"/>
      <c r="CO23" s="208"/>
      <c r="CP23" s="208"/>
      <c r="CQ23" s="208"/>
      <c r="CR23" s="208"/>
      <c r="CS23" s="208"/>
      <c r="CT23" s="208"/>
      <c r="CU23" s="208"/>
      <c r="CV23" s="208"/>
      <c r="CW23" s="208"/>
      <c r="CX23" s="208"/>
      <c r="CY23" s="208"/>
      <c r="CZ23" s="208"/>
      <c r="DA23" s="208"/>
      <c r="DB23" s="208"/>
      <c r="DC23" s="208"/>
      <c r="DD23" s="208"/>
      <c r="DE23" s="208"/>
      <c r="DF23" s="208"/>
      <c r="DG23" s="208"/>
      <c r="DH23" s="208"/>
      <c r="DI23" s="208"/>
      <c r="DJ23" s="208"/>
      <c r="DK23" s="208"/>
      <c r="DL23" s="208"/>
      <c r="DM23" s="208"/>
      <c r="DN23" s="208"/>
      <c r="DO23" s="208"/>
      <c r="DP23" s="208"/>
      <c r="DQ23" s="208"/>
      <c r="DR23" s="208"/>
      <c r="DS23" s="208"/>
      <c r="DT23" s="208"/>
      <c r="DU23" s="208"/>
      <c r="DV23" s="208"/>
      <c r="DW23" s="208"/>
      <c r="DX23" s="208"/>
      <c r="DY23" s="208"/>
      <c r="DZ23" s="208"/>
      <c r="EA23" s="208"/>
      <c r="EB23" s="208"/>
      <c r="EC23" s="208"/>
      <c r="ED23" s="208"/>
      <c r="EE23" s="208"/>
      <c r="EF23" s="208"/>
      <c r="EG23" s="208"/>
      <c r="EH23" s="208"/>
      <c r="EI23" s="208"/>
      <c r="EJ23" s="208"/>
      <c r="EK23" s="208"/>
      <c r="EL23" s="208"/>
      <c r="EM23" s="208"/>
      <c r="EN23" s="208"/>
      <c r="EO23" s="208"/>
      <c r="EP23" s="208"/>
      <c r="EQ23" s="208"/>
      <c r="ER23" s="208"/>
      <c r="ES23" s="208"/>
      <c r="ET23" s="208"/>
      <c r="EU23" s="208"/>
      <c r="EV23" s="208"/>
      <c r="EW23" s="208"/>
      <c r="EX23" s="208"/>
      <c r="EY23" s="208"/>
      <c r="EZ23" s="208"/>
      <c r="FA23" s="208"/>
      <c r="FB23" s="208"/>
      <c r="FC23" s="208"/>
      <c r="FD23" s="208"/>
      <c r="FE23" s="208"/>
      <c r="FF23" s="208"/>
      <c r="FG23" s="208"/>
      <c r="FH23" s="208"/>
      <c r="FI23" s="208"/>
      <c r="FJ23" s="208"/>
      <c r="FK23" s="208"/>
      <c r="FL23" s="208"/>
      <c r="FM23" s="208"/>
      <c r="FN23" s="208"/>
      <c r="FO23" s="208"/>
      <c r="FP23" s="208"/>
      <c r="FQ23" s="208"/>
      <c r="FR23" s="208"/>
      <c r="FS23" s="208"/>
      <c r="FT23" s="208"/>
      <c r="FU23" s="208"/>
      <c r="FV23" s="208"/>
      <c r="FW23" s="208"/>
      <c r="FX23" s="208"/>
      <c r="FY23" s="208"/>
      <c r="FZ23" s="208"/>
      <c r="GA23" s="208"/>
      <c r="GB23" s="208"/>
      <c r="GC23" s="208"/>
      <c r="GD23" s="208"/>
      <c r="GE23" s="208"/>
      <c r="GF23" s="208"/>
      <c r="GG23" s="208"/>
      <c r="GH23" s="208"/>
      <c r="GI23" s="208"/>
      <c r="GJ23" s="208"/>
      <c r="GK23" s="208"/>
      <c r="GL23" s="208"/>
      <c r="GM23" s="208"/>
      <c r="GN23" s="208"/>
      <c r="GO23" s="208"/>
      <c r="GP23" s="208"/>
      <c r="GQ23" s="208"/>
      <c r="GR23" s="208"/>
      <c r="GS23" s="208"/>
      <c r="GT23" s="208"/>
      <c r="GU23" s="208"/>
      <c r="GV23" s="208"/>
      <c r="GW23" s="208"/>
      <c r="GX23" s="208"/>
      <c r="GY23" s="208"/>
      <c r="GZ23" s="208"/>
      <c r="HA23" s="208"/>
      <c r="HB23" s="208"/>
      <c r="HC23" s="208"/>
      <c r="HD23" s="208"/>
      <c r="HE23" s="208"/>
      <c r="HF23" s="208"/>
      <c r="HG23" s="208"/>
      <c r="HH23" s="208"/>
      <c r="HI23" s="208"/>
      <c r="HJ23" s="208"/>
      <c r="HK23" s="208"/>
      <c r="HL23" s="208"/>
      <c r="HM23" s="208"/>
      <c r="HN23" s="208"/>
      <c r="HO23" s="208"/>
      <c r="HP23" s="208"/>
      <c r="HQ23" s="208"/>
      <c r="HR23" s="208"/>
      <c r="HS23" s="208"/>
      <c r="HT23" s="208"/>
      <c r="HU23" s="208"/>
      <c r="HV23" s="208"/>
      <c r="HW23" s="208"/>
      <c r="HX23" s="208"/>
      <c r="HY23" s="208"/>
      <c r="HZ23" s="208"/>
      <c r="IA23" s="208"/>
      <c r="IB23" s="208"/>
      <c r="IC23" s="208"/>
      <c r="ID23" s="208"/>
      <c r="IE23" s="208"/>
      <c r="IF23" s="208"/>
      <c r="IG23" s="208"/>
      <c r="IH23" s="208"/>
      <c r="II23" s="208"/>
      <c r="IJ23" s="208"/>
      <c r="IK23" s="208"/>
      <c r="IL23" s="208"/>
      <c r="IM23" s="208"/>
      <c r="IN23" s="208"/>
      <c r="IO23" s="208"/>
      <c r="IP23" s="208"/>
      <c r="IQ23" s="208"/>
      <c r="IR23" s="208"/>
      <c r="IS23" s="208"/>
      <c r="IT23" s="208"/>
      <c r="IU23" s="208"/>
      <c r="IV23" s="208"/>
      <c r="IW23" s="208"/>
      <c r="IX23" s="208"/>
      <c r="IY23" s="208"/>
    </row>
    <row r="24" spans="1:1077" ht="15" customHeight="1" x14ac:dyDescent="0.2">
      <c r="A24" s="195">
        <v>0</v>
      </c>
      <c r="B24" s="196"/>
      <c r="C24" s="196"/>
      <c r="D24" s="197" t="s">
        <v>425</v>
      </c>
      <c r="E24" s="198">
        <v>1</v>
      </c>
      <c r="F24" s="197" t="s">
        <v>535</v>
      </c>
      <c r="G24" s="198">
        <v>1</v>
      </c>
      <c r="H24" s="199" t="s">
        <v>565</v>
      </c>
      <c r="I24" s="197">
        <v>2</v>
      </c>
      <c r="J24" s="197">
        <v>1</v>
      </c>
      <c r="K24" s="197">
        <v>1</v>
      </c>
      <c r="L24" s="198" t="s">
        <v>549</v>
      </c>
      <c r="M24" s="198"/>
      <c r="N24" s="200"/>
      <c r="O24" s="200" t="s">
        <v>536</v>
      </c>
      <c r="P24" s="201" t="s">
        <v>568</v>
      </c>
      <c r="Q24" s="197">
        <v>400</v>
      </c>
      <c r="R24" s="197" t="s">
        <v>567</v>
      </c>
      <c r="S24" s="197"/>
      <c r="T24" s="197"/>
      <c r="U24" s="197"/>
      <c r="V24" s="197"/>
      <c r="W24" s="197"/>
      <c r="X24" s="197"/>
      <c r="Y24" s="197"/>
      <c r="Z24" s="197"/>
      <c r="AA24" s="197" t="s">
        <v>1</v>
      </c>
      <c r="AB24" s="198" t="s">
        <v>2</v>
      </c>
      <c r="AC24" s="198" t="s">
        <v>540</v>
      </c>
      <c r="AD24" s="197" t="s">
        <v>438</v>
      </c>
      <c r="AE24" s="197" t="s">
        <v>438</v>
      </c>
      <c r="AF24" s="197" t="s">
        <v>438</v>
      </c>
      <c r="AG24" s="197" t="s">
        <v>438</v>
      </c>
      <c r="AH24" s="197" t="s">
        <v>438</v>
      </c>
      <c r="AI24" s="197" t="s">
        <v>438</v>
      </c>
      <c r="AJ24" s="197" t="s">
        <v>438</v>
      </c>
      <c r="AK24" s="197" t="s">
        <v>438</v>
      </c>
      <c r="AL24" s="197" t="s">
        <v>438</v>
      </c>
      <c r="AM24" s="197" t="s">
        <v>428</v>
      </c>
      <c r="AN24" s="197" t="s">
        <v>428</v>
      </c>
      <c r="AO24" s="202"/>
      <c r="AP24" s="207"/>
      <c r="AQ24" s="197"/>
      <c r="AR24" s="197"/>
      <c r="AS24" s="197"/>
      <c r="AT24" s="197"/>
      <c r="AU24" s="197"/>
      <c r="AV24" s="197"/>
      <c r="AW24" s="197"/>
      <c r="AX24" s="197"/>
      <c r="AY24" s="197"/>
      <c r="AZ24" s="197"/>
      <c r="BA24" s="197"/>
      <c r="BB24" s="197"/>
      <c r="BC24" s="197"/>
      <c r="BD24" s="197"/>
      <c r="BE24" s="197"/>
      <c r="BF24" s="197"/>
      <c r="BG24" s="197"/>
      <c r="BH24" s="197"/>
      <c r="BI24" s="197"/>
      <c r="BJ24" s="197"/>
      <c r="BK24" s="197"/>
      <c r="BL24" s="197"/>
      <c r="BM24" s="197"/>
      <c r="BN24" s="208"/>
      <c r="BO24" s="208"/>
      <c r="BP24" s="208"/>
      <c r="BQ24" s="208"/>
      <c r="BR24" s="208"/>
      <c r="BS24" s="208"/>
      <c r="BT24" s="208"/>
      <c r="BU24" s="208"/>
      <c r="BV24" s="208"/>
      <c r="BW24" s="208"/>
      <c r="BX24" s="208"/>
      <c r="BY24" s="208"/>
      <c r="BZ24" s="208"/>
      <c r="CA24" s="208"/>
      <c r="CB24" s="208"/>
      <c r="CC24" s="208"/>
      <c r="CD24" s="208"/>
      <c r="CE24" s="208"/>
      <c r="CF24" s="208"/>
      <c r="CG24" s="208"/>
      <c r="CH24" s="208"/>
      <c r="CI24" s="208"/>
      <c r="CJ24" s="208"/>
      <c r="CK24" s="208"/>
      <c r="CL24" s="208"/>
      <c r="CM24" s="208"/>
      <c r="CN24" s="208"/>
      <c r="CO24" s="208"/>
      <c r="CP24" s="208"/>
      <c r="CQ24" s="208"/>
      <c r="CR24" s="208"/>
      <c r="CS24" s="208"/>
      <c r="CT24" s="208"/>
      <c r="CU24" s="208"/>
      <c r="CV24" s="208"/>
      <c r="CW24" s="208"/>
      <c r="CX24" s="208"/>
      <c r="CY24" s="208"/>
      <c r="CZ24" s="208"/>
      <c r="DA24" s="208"/>
      <c r="DB24" s="208"/>
      <c r="DC24" s="208"/>
      <c r="DD24" s="208"/>
      <c r="DE24" s="208"/>
      <c r="DF24" s="208"/>
      <c r="DG24" s="208"/>
      <c r="DH24" s="208"/>
      <c r="DI24" s="208"/>
      <c r="DJ24" s="208"/>
      <c r="DK24" s="208"/>
      <c r="DL24" s="208"/>
      <c r="DM24" s="208"/>
      <c r="DN24" s="208"/>
      <c r="DO24" s="208"/>
      <c r="DP24" s="208"/>
      <c r="DQ24" s="208"/>
      <c r="DR24" s="208"/>
      <c r="DS24" s="208"/>
      <c r="DT24" s="208"/>
      <c r="DU24" s="208"/>
      <c r="DV24" s="208"/>
      <c r="DW24" s="208"/>
      <c r="DX24" s="208"/>
      <c r="DY24" s="208"/>
      <c r="DZ24" s="208"/>
      <c r="EA24" s="208"/>
      <c r="EB24" s="208"/>
      <c r="EC24" s="208"/>
      <c r="ED24" s="208"/>
      <c r="EE24" s="208"/>
      <c r="EF24" s="208"/>
      <c r="EG24" s="208"/>
      <c r="EH24" s="208"/>
      <c r="EI24" s="208"/>
      <c r="EJ24" s="208"/>
      <c r="EK24" s="208"/>
      <c r="EL24" s="208"/>
      <c r="EM24" s="208"/>
      <c r="EN24" s="208"/>
      <c r="EO24" s="208"/>
      <c r="EP24" s="208"/>
      <c r="EQ24" s="208"/>
      <c r="ER24" s="208"/>
      <c r="ES24" s="208"/>
      <c r="ET24" s="208"/>
      <c r="EU24" s="208"/>
      <c r="EV24" s="208"/>
      <c r="EW24" s="208"/>
      <c r="EX24" s="208"/>
      <c r="EY24" s="208"/>
      <c r="EZ24" s="208"/>
      <c r="FA24" s="208"/>
      <c r="FB24" s="208"/>
      <c r="FC24" s="208"/>
      <c r="FD24" s="208"/>
      <c r="FE24" s="208"/>
      <c r="FF24" s="208"/>
      <c r="FG24" s="208"/>
      <c r="FH24" s="208"/>
      <c r="FI24" s="208"/>
      <c r="FJ24" s="208"/>
      <c r="FK24" s="208"/>
      <c r="FL24" s="208"/>
      <c r="FM24" s="208"/>
      <c r="FN24" s="208"/>
      <c r="FO24" s="208"/>
      <c r="FP24" s="208"/>
      <c r="FQ24" s="208"/>
      <c r="FR24" s="208"/>
      <c r="FS24" s="208"/>
      <c r="FT24" s="208"/>
      <c r="FU24" s="208"/>
      <c r="FV24" s="208"/>
      <c r="FW24" s="208"/>
      <c r="FX24" s="208"/>
      <c r="FY24" s="208"/>
      <c r="FZ24" s="208"/>
      <c r="GA24" s="208"/>
      <c r="GB24" s="208"/>
      <c r="GC24" s="208"/>
      <c r="GD24" s="208"/>
      <c r="GE24" s="208"/>
      <c r="GF24" s="208"/>
      <c r="GG24" s="208"/>
      <c r="GH24" s="208"/>
      <c r="GI24" s="208"/>
      <c r="GJ24" s="208"/>
      <c r="GK24" s="208"/>
      <c r="GL24" s="208"/>
      <c r="GM24" s="208"/>
      <c r="GN24" s="208"/>
      <c r="GO24" s="208"/>
      <c r="GP24" s="208"/>
      <c r="GQ24" s="208"/>
      <c r="GR24" s="208"/>
      <c r="GS24" s="208"/>
      <c r="GT24" s="208"/>
      <c r="GU24" s="208"/>
      <c r="GV24" s="208"/>
      <c r="GW24" s="208"/>
      <c r="GX24" s="208"/>
      <c r="GY24" s="208"/>
      <c r="GZ24" s="208"/>
      <c r="HA24" s="208"/>
      <c r="HB24" s="208"/>
      <c r="HC24" s="208"/>
      <c r="HD24" s="208"/>
      <c r="HE24" s="208"/>
      <c r="HF24" s="208"/>
      <c r="HG24" s="208"/>
      <c r="HH24" s="208"/>
      <c r="HI24" s="208"/>
      <c r="HJ24" s="208"/>
      <c r="HK24" s="208"/>
      <c r="HL24" s="208"/>
      <c r="HM24" s="208"/>
      <c r="HN24" s="208"/>
      <c r="HO24" s="208"/>
      <c r="HP24" s="208"/>
      <c r="HQ24" s="208"/>
      <c r="HR24" s="208"/>
      <c r="HS24" s="208"/>
      <c r="HT24" s="208"/>
      <c r="HU24" s="208"/>
      <c r="HV24" s="208"/>
      <c r="HW24" s="208"/>
      <c r="HX24" s="208"/>
      <c r="HY24" s="208"/>
      <c r="HZ24" s="208"/>
      <c r="IA24" s="208"/>
      <c r="IB24" s="208"/>
      <c r="IC24" s="208"/>
      <c r="ID24" s="208"/>
      <c r="IE24" s="208"/>
      <c r="IF24" s="208"/>
      <c r="IG24" s="208"/>
      <c r="IH24" s="208"/>
      <c r="II24" s="208"/>
      <c r="IJ24" s="208"/>
      <c r="IK24" s="208"/>
      <c r="IL24" s="208"/>
      <c r="IM24" s="208"/>
      <c r="IN24" s="208"/>
      <c r="IO24" s="208"/>
      <c r="IP24" s="208"/>
      <c r="IQ24" s="208"/>
      <c r="IR24" s="208"/>
      <c r="IS24" s="208"/>
      <c r="IT24" s="208"/>
      <c r="IU24" s="208"/>
      <c r="IV24" s="208"/>
      <c r="IW24" s="208"/>
      <c r="IX24" s="208"/>
      <c r="IY24" s="208"/>
    </row>
    <row r="25" spans="1:1077" ht="15" customHeight="1" x14ac:dyDescent="0.2">
      <c r="A25" s="195">
        <v>0</v>
      </c>
      <c r="B25" s="196"/>
      <c r="C25" s="196"/>
      <c r="D25" s="197" t="s">
        <v>425</v>
      </c>
      <c r="E25" s="198">
        <v>1</v>
      </c>
      <c r="F25" s="197" t="s">
        <v>535</v>
      </c>
      <c r="G25" s="198">
        <v>1</v>
      </c>
      <c r="H25" s="199" t="s">
        <v>565</v>
      </c>
      <c r="I25" s="197">
        <v>2</v>
      </c>
      <c r="J25" s="197">
        <v>1</v>
      </c>
      <c r="K25" s="197">
        <v>1</v>
      </c>
      <c r="L25" s="198" t="s">
        <v>546</v>
      </c>
      <c r="M25" s="198"/>
      <c r="N25" s="200"/>
      <c r="O25" s="200" t="s">
        <v>536</v>
      </c>
      <c r="P25" s="201" t="s">
        <v>569</v>
      </c>
      <c r="Q25" s="197" t="s">
        <v>428</v>
      </c>
      <c r="R25" s="197" t="s">
        <v>428</v>
      </c>
      <c r="S25" s="197" t="s">
        <v>428</v>
      </c>
      <c r="T25" s="197" t="s">
        <v>428</v>
      </c>
      <c r="U25" s="197"/>
      <c r="V25" s="197"/>
      <c r="W25" s="197"/>
      <c r="X25" s="197"/>
      <c r="Y25" s="197"/>
      <c r="Z25" s="197"/>
      <c r="AA25" s="197" t="s">
        <v>1</v>
      </c>
      <c r="AB25" s="198" t="s">
        <v>2</v>
      </c>
      <c r="AC25" s="198" t="s">
        <v>540</v>
      </c>
      <c r="AD25" s="197" t="s">
        <v>438</v>
      </c>
      <c r="AE25" s="197" t="s">
        <v>438</v>
      </c>
      <c r="AF25" s="197" t="s">
        <v>438</v>
      </c>
      <c r="AG25" s="197" t="s">
        <v>438</v>
      </c>
      <c r="AH25" s="197" t="s">
        <v>438</v>
      </c>
      <c r="AI25" s="197" t="s">
        <v>438</v>
      </c>
      <c r="AJ25" s="197" t="s">
        <v>438</v>
      </c>
      <c r="AK25" s="197" t="s">
        <v>438</v>
      </c>
      <c r="AL25" s="197" t="s">
        <v>438</v>
      </c>
      <c r="AM25" s="197" t="s">
        <v>428</v>
      </c>
      <c r="AN25" s="197" t="s">
        <v>428</v>
      </c>
      <c r="AO25" s="202"/>
      <c r="AP25" s="207"/>
      <c r="AQ25" s="197"/>
      <c r="AR25" s="197"/>
      <c r="AS25" s="197"/>
      <c r="AT25" s="197"/>
      <c r="AU25" s="197"/>
      <c r="AV25" s="197"/>
      <c r="AW25" s="197"/>
      <c r="AX25" s="197"/>
      <c r="AY25" s="197"/>
      <c r="AZ25" s="197"/>
      <c r="BA25" s="197"/>
      <c r="BB25" s="197"/>
      <c r="BC25" s="197"/>
      <c r="BD25" s="197"/>
      <c r="BE25" s="197"/>
      <c r="BF25" s="197"/>
      <c r="BG25" s="197"/>
      <c r="BH25" s="197"/>
      <c r="BI25" s="197"/>
      <c r="BJ25" s="197"/>
      <c r="BK25" s="197"/>
      <c r="BL25" s="197"/>
      <c r="BM25" s="197"/>
      <c r="BN25" s="208"/>
      <c r="BO25" s="208"/>
      <c r="BP25" s="208"/>
      <c r="BQ25" s="208"/>
      <c r="BR25" s="208"/>
      <c r="BS25" s="208"/>
      <c r="BT25" s="208"/>
      <c r="BU25" s="208"/>
      <c r="BV25" s="208"/>
      <c r="BW25" s="208"/>
      <c r="BX25" s="208"/>
      <c r="BY25" s="208"/>
      <c r="BZ25" s="208"/>
      <c r="CA25" s="208"/>
      <c r="CB25" s="208"/>
      <c r="CC25" s="208"/>
      <c r="CD25" s="208"/>
      <c r="CE25" s="208"/>
      <c r="CF25" s="208"/>
      <c r="CG25" s="208"/>
      <c r="CH25" s="208"/>
      <c r="CI25" s="208"/>
      <c r="CJ25" s="208"/>
      <c r="CK25" s="208"/>
      <c r="CL25" s="208"/>
      <c r="CM25" s="208"/>
      <c r="CN25" s="208"/>
      <c r="CO25" s="208"/>
      <c r="CP25" s="208"/>
      <c r="CQ25" s="208"/>
      <c r="CR25" s="208"/>
      <c r="CS25" s="208"/>
      <c r="CT25" s="208"/>
      <c r="CU25" s="208"/>
      <c r="CV25" s="208"/>
      <c r="CW25" s="208"/>
      <c r="CX25" s="208"/>
      <c r="CY25" s="208"/>
      <c r="CZ25" s="208"/>
      <c r="DA25" s="208"/>
      <c r="DB25" s="208"/>
      <c r="DC25" s="208"/>
      <c r="DD25" s="208"/>
      <c r="DE25" s="208"/>
      <c r="DF25" s="208"/>
      <c r="DG25" s="208"/>
      <c r="DH25" s="208"/>
      <c r="DI25" s="208"/>
      <c r="DJ25" s="208"/>
      <c r="DK25" s="208"/>
      <c r="DL25" s="208"/>
      <c r="DM25" s="208"/>
      <c r="DN25" s="208"/>
      <c r="DO25" s="208"/>
      <c r="DP25" s="208"/>
      <c r="DQ25" s="208"/>
      <c r="DR25" s="208"/>
      <c r="DS25" s="208"/>
      <c r="DT25" s="208"/>
      <c r="DU25" s="208"/>
      <c r="DV25" s="208"/>
      <c r="DW25" s="208"/>
      <c r="DX25" s="208"/>
      <c r="DY25" s="208"/>
      <c r="DZ25" s="208"/>
      <c r="EA25" s="208"/>
      <c r="EB25" s="208"/>
      <c r="EC25" s="208"/>
      <c r="ED25" s="208"/>
      <c r="EE25" s="208"/>
      <c r="EF25" s="208"/>
      <c r="EG25" s="208"/>
      <c r="EH25" s="208"/>
      <c r="EI25" s="208"/>
      <c r="EJ25" s="208"/>
      <c r="EK25" s="208"/>
      <c r="EL25" s="208"/>
      <c r="EM25" s="208"/>
      <c r="EN25" s="208"/>
      <c r="EO25" s="208"/>
      <c r="EP25" s="208"/>
      <c r="EQ25" s="208"/>
      <c r="ER25" s="208"/>
      <c r="ES25" s="208"/>
      <c r="ET25" s="208"/>
      <c r="EU25" s="208"/>
      <c r="EV25" s="208"/>
      <c r="EW25" s="208"/>
      <c r="EX25" s="208"/>
      <c r="EY25" s="208"/>
      <c r="EZ25" s="208"/>
      <c r="FA25" s="208"/>
      <c r="FB25" s="208"/>
      <c r="FC25" s="208"/>
      <c r="FD25" s="208"/>
      <c r="FE25" s="208"/>
      <c r="FF25" s="208"/>
      <c r="FG25" s="208"/>
      <c r="FH25" s="208"/>
      <c r="FI25" s="208"/>
      <c r="FJ25" s="208"/>
      <c r="FK25" s="208"/>
      <c r="FL25" s="208"/>
      <c r="FM25" s="208"/>
      <c r="FN25" s="208"/>
      <c r="FO25" s="208"/>
      <c r="FP25" s="208"/>
      <c r="FQ25" s="208"/>
      <c r="FR25" s="208"/>
      <c r="FS25" s="208"/>
      <c r="FT25" s="208"/>
      <c r="FU25" s="208"/>
      <c r="FV25" s="208"/>
      <c r="FW25" s="208"/>
      <c r="FX25" s="208"/>
      <c r="FY25" s="208"/>
      <c r="FZ25" s="208"/>
      <c r="GA25" s="208"/>
      <c r="GB25" s="208"/>
      <c r="GC25" s="208"/>
      <c r="GD25" s="208"/>
      <c r="GE25" s="208"/>
      <c r="GF25" s="208"/>
      <c r="GG25" s="208"/>
      <c r="GH25" s="208"/>
      <c r="GI25" s="208"/>
      <c r="GJ25" s="208"/>
      <c r="GK25" s="208"/>
      <c r="GL25" s="208"/>
      <c r="GM25" s="208"/>
      <c r="GN25" s="208"/>
      <c r="GO25" s="208"/>
      <c r="GP25" s="208"/>
      <c r="GQ25" s="208"/>
      <c r="GR25" s="208"/>
      <c r="GS25" s="208"/>
      <c r="GT25" s="208"/>
      <c r="GU25" s="208"/>
      <c r="GV25" s="208"/>
      <c r="GW25" s="208"/>
      <c r="GX25" s="208"/>
      <c r="GY25" s="208"/>
      <c r="GZ25" s="208"/>
      <c r="HA25" s="208"/>
      <c r="HB25" s="208"/>
      <c r="HC25" s="208"/>
      <c r="HD25" s="208"/>
      <c r="HE25" s="208"/>
      <c r="HF25" s="208"/>
      <c r="HG25" s="208"/>
      <c r="HH25" s="208"/>
      <c r="HI25" s="208"/>
      <c r="HJ25" s="208"/>
      <c r="HK25" s="208"/>
      <c r="HL25" s="208"/>
      <c r="HM25" s="208"/>
      <c r="HN25" s="208"/>
      <c r="HO25" s="208"/>
      <c r="HP25" s="208"/>
      <c r="HQ25" s="208"/>
      <c r="HR25" s="208"/>
      <c r="HS25" s="208"/>
      <c r="HT25" s="208"/>
      <c r="HU25" s="208"/>
      <c r="HV25" s="208"/>
      <c r="HW25" s="208"/>
      <c r="HX25" s="208"/>
      <c r="HY25" s="208"/>
      <c r="HZ25" s="208"/>
      <c r="IA25" s="208"/>
      <c r="IB25" s="208"/>
      <c r="IC25" s="208"/>
      <c r="ID25" s="208"/>
      <c r="IE25" s="208"/>
      <c r="IF25" s="208"/>
      <c r="IG25" s="208"/>
      <c r="IH25" s="208"/>
      <c r="II25" s="208"/>
      <c r="IJ25" s="208"/>
      <c r="IK25" s="208"/>
      <c r="IL25" s="208"/>
      <c r="IM25" s="208"/>
      <c r="IN25" s="208"/>
      <c r="IO25" s="208"/>
      <c r="IP25" s="208"/>
      <c r="IQ25" s="208"/>
      <c r="IR25" s="208"/>
      <c r="IS25" s="208"/>
      <c r="IT25" s="208"/>
      <c r="IU25" s="208"/>
      <c r="IV25" s="208"/>
      <c r="IW25" s="208"/>
      <c r="IX25" s="208"/>
      <c r="IY25" s="208"/>
    </row>
    <row r="26" spans="1:1077" ht="15" customHeight="1" x14ac:dyDescent="0.2">
      <c r="A26" s="195">
        <v>0</v>
      </c>
      <c r="B26" s="196" t="s">
        <v>425</v>
      </c>
      <c r="C26" s="196"/>
      <c r="D26" s="197" t="s">
        <v>425</v>
      </c>
      <c r="E26" s="198">
        <v>1</v>
      </c>
      <c r="F26" s="197" t="s">
        <v>535</v>
      </c>
      <c r="G26" s="198">
        <v>1</v>
      </c>
      <c r="H26" s="199" t="s">
        <v>565</v>
      </c>
      <c r="I26" s="197">
        <v>2</v>
      </c>
      <c r="J26" s="197">
        <v>1</v>
      </c>
      <c r="K26" s="197">
        <v>1</v>
      </c>
      <c r="L26" s="198" t="s">
        <v>433</v>
      </c>
      <c r="M26" s="198"/>
      <c r="N26" s="200"/>
      <c r="O26" s="200" t="s">
        <v>536</v>
      </c>
      <c r="P26" s="201" t="s">
        <v>570</v>
      </c>
      <c r="Q26" s="197" t="s">
        <v>428</v>
      </c>
      <c r="R26" s="197" t="s">
        <v>428</v>
      </c>
      <c r="S26" s="197" t="s">
        <v>428</v>
      </c>
      <c r="T26" s="197" t="s">
        <v>428</v>
      </c>
      <c r="U26" s="197"/>
      <c r="V26" s="197"/>
      <c r="W26" s="197"/>
      <c r="X26" s="197"/>
      <c r="Y26" s="197"/>
      <c r="Z26" s="197"/>
      <c r="AA26" s="197" t="s">
        <v>1</v>
      </c>
      <c r="AB26" s="198" t="s">
        <v>2</v>
      </c>
      <c r="AC26" s="198" t="s">
        <v>540</v>
      </c>
      <c r="AD26" s="197" t="s">
        <v>438</v>
      </c>
      <c r="AE26" s="197" t="s">
        <v>438</v>
      </c>
      <c r="AF26" s="197" t="s">
        <v>438</v>
      </c>
      <c r="AG26" s="197" t="s">
        <v>438</v>
      </c>
      <c r="AH26" s="197" t="s">
        <v>438</v>
      </c>
      <c r="AI26" s="197" t="s">
        <v>438</v>
      </c>
      <c r="AJ26" s="197" t="s">
        <v>438</v>
      </c>
      <c r="AK26" s="197" t="s">
        <v>438</v>
      </c>
      <c r="AL26" s="197" t="s">
        <v>438</v>
      </c>
      <c r="AM26" s="197" t="s">
        <v>428</v>
      </c>
      <c r="AN26" s="197" t="s">
        <v>428</v>
      </c>
      <c r="AO26" s="202"/>
      <c r="AP26" s="207"/>
      <c r="AQ26" s="197"/>
      <c r="AR26" s="197"/>
      <c r="AS26" s="197"/>
      <c r="AT26" s="197"/>
      <c r="AU26" s="197"/>
      <c r="AV26" s="197"/>
      <c r="AW26" s="197"/>
      <c r="AX26" s="197"/>
      <c r="AY26" s="197"/>
      <c r="AZ26" s="197"/>
      <c r="BA26" s="197"/>
      <c r="BB26" s="197"/>
      <c r="BC26" s="197"/>
      <c r="BD26" s="197"/>
      <c r="BE26" s="197"/>
      <c r="BF26" s="197"/>
      <c r="BG26" s="197"/>
      <c r="BH26" s="197"/>
      <c r="BI26" s="197"/>
      <c r="BJ26" s="197"/>
      <c r="BK26" s="197"/>
      <c r="BL26" s="197"/>
      <c r="BM26" s="197"/>
      <c r="BN26" s="208"/>
      <c r="BO26" s="208"/>
      <c r="BP26" s="208"/>
      <c r="BQ26" s="208"/>
      <c r="BR26" s="208"/>
      <c r="BS26" s="208"/>
      <c r="BT26" s="208"/>
      <c r="BU26" s="208"/>
      <c r="BV26" s="208"/>
      <c r="BW26" s="208"/>
      <c r="BX26" s="208"/>
      <c r="BY26" s="208"/>
      <c r="BZ26" s="208"/>
      <c r="CA26" s="208"/>
      <c r="CB26" s="208"/>
      <c r="CC26" s="208"/>
      <c r="CD26" s="208"/>
      <c r="CE26" s="208"/>
      <c r="CF26" s="208"/>
      <c r="CG26" s="208"/>
      <c r="CH26" s="208"/>
      <c r="CI26" s="208"/>
      <c r="CJ26" s="208"/>
      <c r="CK26" s="208"/>
      <c r="CL26" s="208"/>
      <c r="CM26" s="208"/>
      <c r="CN26" s="208"/>
      <c r="CO26" s="208"/>
      <c r="CP26" s="208"/>
      <c r="CQ26" s="208"/>
      <c r="CR26" s="208"/>
      <c r="CS26" s="208"/>
      <c r="CT26" s="208"/>
      <c r="CU26" s="208"/>
      <c r="CV26" s="208"/>
      <c r="CW26" s="208"/>
      <c r="CX26" s="208"/>
      <c r="CY26" s="208"/>
      <c r="CZ26" s="208"/>
      <c r="DA26" s="208"/>
      <c r="DB26" s="208"/>
      <c r="DC26" s="208"/>
      <c r="DD26" s="208"/>
      <c r="DE26" s="208"/>
      <c r="DF26" s="208"/>
      <c r="DG26" s="208"/>
      <c r="DH26" s="208"/>
      <c r="DI26" s="208"/>
      <c r="DJ26" s="208"/>
      <c r="DK26" s="208"/>
      <c r="DL26" s="208"/>
      <c r="DM26" s="208"/>
      <c r="DN26" s="208"/>
      <c r="DO26" s="208"/>
      <c r="DP26" s="208"/>
      <c r="DQ26" s="208"/>
      <c r="DR26" s="208"/>
      <c r="DS26" s="208"/>
      <c r="DT26" s="208"/>
      <c r="DU26" s="208"/>
      <c r="DV26" s="208"/>
      <c r="DW26" s="208"/>
      <c r="DX26" s="208"/>
      <c r="DY26" s="208"/>
      <c r="DZ26" s="208"/>
      <c r="EA26" s="208"/>
      <c r="EB26" s="208"/>
      <c r="EC26" s="208"/>
      <c r="ED26" s="208"/>
      <c r="EE26" s="208"/>
      <c r="EF26" s="208"/>
      <c r="EG26" s="208"/>
      <c r="EH26" s="208"/>
      <c r="EI26" s="208"/>
      <c r="EJ26" s="208"/>
      <c r="EK26" s="208"/>
      <c r="EL26" s="208"/>
      <c r="EM26" s="208"/>
      <c r="EN26" s="208"/>
      <c r="EO26" s="208"/>
      <c r="EP26" s="208"/>
      <c r="EQ26" s="208"/>
      <c r="ER26" s="208"/>
      <c r="ES26" s="208"/>
      <c r="ET26" s="208"/>
      <c r="EU26" s="208"/>
      <c r="EV26" s="208"/>
      <c r="EW26" s="208"/>
      <c r="EX26" s="208"/>
      <c r="EY26" s="208"/>
      <c r="EZ26" s="208"/>
      <c r="FA26" s="208"/>
      <c r="FB26" s="208"/>
      <c r="FC26" s="208"/>
      <c r="FD26" s="208"/>
      <c r="FE26" s="208"/>
      <c r="FF26" s="208"/>
      <c r="FG26" s="208"/>
      <c r="FH26" s="208"/>
      <c r="FI26" s="208"/>
      <c r="FJ26" s="208"/>
      <c r="FK26" s="208"/>
      <c r="FL26" s="208"/>
      <c r="FM26" s="208"/>
      <c r="FN26" s="208"/>
      <c r="FO26" s="208"/>
      <c r="FP26" s="208"/>
      <c r="FQ26" s="208"/>
      <c r="FR26" s="208"/>
      <c r="FS26" s="208"/>
      <c r="FT26" s="208"/>
      <c r="FU26" s="208"/>
      <c r="FV26" s="208"/>
      <c r="FW26" s="208"/>
      <c r="FX26" s="208"/>
      <c r="FY26" s="208"/>
      <c r="FZ26" s="208"/>
      <c r="GA26" s="208"/>
      <c r="GB26" s="208"/>
      <c r="GC26" s="208"/>
      <c r="GD26" s="208"/>
      <c r="GE26" s="208"/>
      <c r="GF26" s="208"/>
      <c r="GG26" s="208"/>
      <c r="GH26" s="208"/>
      <c r="GI26" s="208"/>
      <c r="GJ26" s="208"/>
      <c r="GK26" s="208"/>
      <c r="GL26" s="208"/>
      <c r="GM26" s="208"/>
      <c r="GN26" s="208"/>
      <c r="GO26" s="208"/>
      <c r="GP26" s="208"/>
      <c r="GQ26" s="208"/>
      <c r="GR26" s="208"/>
      <c r="GS26" s="208"/>
      <c r="GT26" s="208"/>
      <c r="GU26" s="208"/>
      <c r="GV26" s="208"/>
      <c r="GW26" s="208"/>
      <c r="GX26" s="208"/>
      <c r="GY26" s="208"/>
      <c r="GZ26" s="208"/>
      <c r="HA26" s="208"/>
      <c r="HB26" s="208"/>
      <c r="HC26" s="208"/>
      <c r="HD26" s="208"/>
      <c r="HE26" s="208"/>
      <c r="HF26" s="208"/>
      <c r="HG26" s="208"/>
      <c r="HH26" s="208"/>
      <c r="HI26" s="208"/>
      <c r="HJ26" s="208"/>
      <c r="HK26" s="208"/>
      <c r="HL26" s="208"/>
      <c r="HM26" s="208"/>
      <c r="HN26" s="208"/>
      <c r="HO26" s="208"/>
      <c r="HP26" s="208"/>
      <c r="HQ26" s="208"/>
      <c r="HR26" s="208"/>
      <c r="HS26" s="208"/>
      <c r="HT26" s="208"/>
      <c r="HU26" s="208"/>
      <c r="HV26" s="208"/>
      <c r="HW26" s="208"/>
      <c r="HX26" s="208"/>
      <c r="HY26" s="208"/>
      <c r="HZ26" s="208"/>
      <c r="IA26" s="208"/>
      <c r="IB26" s="208"/>
      <c r="IC26" s="208"/>
      <c r="ID26" s="208"/>
      <c r="IE26" s="208"/>
      <c r="IF26" s="208"/>
      <c r="IG26" s="208"/>
      <c r="IH26" s="208"/>
      <c r="II26" s="208"/>
      <c r="IJ26" s="208"/>
      <c r="IK26" s="208"/>
      <c r="IL26" s="208"/>
      <c r="IM26" s="208"/>
      <c r="IN26" s="208"/>
      <c r="IO26" s="208"/>
      <c r="IP26" s="208"/>
      <c r="IQ26" s="208"/>
      <c r="IR26" s="208"/>
      <c r="IS26" s="208"/>
      <c r="IT26" s="208"/>
      <c r="IU26" s="208"/>
      <c r="IV26" s="208"/>
      <c r="IW26" s="208"/>
      <c r="IX26" s="208"/>
      <c r="IY26" s="208"/>
    </row>
    <row r="27" spans="1:1077" ht="21.9" customHeight="1" x14ac:dyDescent="0.2">
      <c r="A27" s="195">
        <v>0</v>
      </c>
      <c r="B27" s="196" t="s">
        <v>553</v>
      </c>
      <c r="C27" s="196"/>
      <c r="D27" s="197" t="s">
        <v>425</v>
      </c>
      <c r="E27" s="198">
        <v>1</v>
      </c>
      <c r="F27" s="197" t="s">
        <v>535</v>
      </c>
      <c r="G27" s="198">
        <v>1</v>
      </c>
      <c r="H27" s="199" t="s">
        <v>565</v>
      </c>
      <c r="I27" s="197">
        <v>2</v>
      </c>
      <c r="J27" s="197">
        <v>1</v>
      </c>
      <c r="K27" s="197">
        <v>1</v>
      </c>
      <c r="L27" s="198" t="s">
        <v>557</v>
      </c>
      <c r="M27" s="198"/>
      <c r="N27" s="200"/>
      <c r="O27" s="200" t="s">
        <v>536</v>
      </c>
      <c r="P27" s="201" t="s">
        <v>571</v>
      </c>
      <c r="Q27" s="197" t="s">
        <v>428</v>
      </c>
      <c r="R27" s="197" t="s">
        <v>428</v>
      </c>
      <c r="S27" s="197" t="s">
        <v>428</v>
      </c>
      <c r="T27" s="197" t="s">
        <v>428</v>
      </c>
      <c r="U27" s="197"/>
      <c r="V27" s="197"/>
      <c r="W27" s="197"/>
      <c r="X27" s="197"/>
      <c r="Y27" s="197"/>
      <c r="Z27" s="197"/>
      <c r="AA27" s="197" t="s">
        <v>1</v>
      </c>
      <c r="AB27" s="198" t="s">
        <v>2</v>
      </c>
      <c r="AC27" s="198" t="s">
        <v>540</v>
      </c>
      <c r="AD27" s="197" t="s">
        <v>438</v>
      </c>
      <c r="AE27" s="197" t="s">
        <v>438</v>
      </c>
      <c r="AF27" s="197" t="s">
        <v>438</v>
      </c>
      <c r="AG27" s="197" t="s">
        <v>438</v>
      </c>
      <c r="AH27" s="197" t="s">
        <v>438</v>
      </c>
      <c r="AI27" s="197" t="s">
        <v>438</v>
      </c>
      <c r="AJ27" s="197" t="s">
        <v>438</v>
      </c>
      <c r="AK27" s="197" t="s">
        <v>438</v>
      </c>
      <c r="AL27" s="197" t="s">
        <v>438</v>
      </c>
      <c r="AM27" s="197" t="s">
        <v>428</v>
      </c>
      <c r="AN27" s="197" t="s">
        <v>428</v>
      </c>
      <c r="AO27" s="202"/>
      <c r="AP27" s="207"/>
      <c r="AQ27" s="197"/>
      <c r="AR27" s="197"/>
      <c r="AS27" s="197"/>
      <c r="AT27" s="197"/>
      <c r="AU27" s="197"/>
      <c r="AV27" s="197"/>
      <c r="AW27" s="197"/>
      <c r="AX27" s="197"/>
      <c r="AY27" s="197"/>
      <c r="AZ27" s="197"/>
      <c r="BA27" s="197"/>
      <c r="BB27" s="197"/>
      <c r="BC27" s="197"/>
      <c r="BD27" s="197"/>
      <c r="BE27" s="197"/>
      <c r="BF27" s="197"/>
      <c r="BG27" s="197"/>
      <c r="BH27" s="197"/>
      <c r="BI27" s="197"/>
      <c r="BJ27" s="197"/>
      <c r="BK27" s="197"/>
      <c r="BL27" s="197"/>
      <c r="BM27" s="197"/>
      <c r="BN27" s="208"/>
      <c r="BO27" s="208"/>
      <c r="BP27" s="208"/>
      <c r="BQ27" s="208"/>
      <c r="BR27" s="208"/>
      <c r="BS27" s="208"/>
      <c r="BT27" s="208"/>
      <c r="BU27" s="208"/>
      <c r="BV27" s="208"/>
      <c r="BW27" s="208"/>
      <c r="BX27" s="208"/>
      <c r="BY27" s="208"/>
      <c r="BZ27" s="208"/>
      <c r="CA27" s="208"/>
      <c r="CB27" s="208"/>
      <c r="CC27" s="208"/>
      <c r="CD27" s="208"/>
      <c r="CE27" s="208"/>
      <c r="CF27" s="208"/>
      <c r="CG27" s="208"/>
      <c r="CH27" s="208"/>
      <c r="CI27" s="208"/>
      <c r="CJ27" s="208"/>
      <c r="CK27" s="208"/>
      <c r="CL27" s="208"/>
      <c r="CM27" s="208"/>
      <c r="CN27" s="208"/>
      <c r="CO27" s="208"/>
      <c r="CP27" s="208"/>
      <c r="CQ27" s="208"/>
      <c r="CR27" s="208"/>
      <c r="CS27" s="208"/>
      <c r="CT27" s="208"/>
      <c r="CU27" s="208"/>
      <c r="CV27" s="208"/>
      <c r="CW27" s="208"/>
      <c r="CX27" s="208"/>
      <c r="CY27" s="208"/>
      <c r="CZ27" s="208"/>
      <c r="DA27" s="208"/>
      <c r="DB27" s="208"/>
      <c r="DC27" s="208"/>
      <c r="DD27" s="208"/>
      <c r="DE27" s="208"/>
      <c r="DF27" s="208"/>
      <c r="DG27" s="208"/>
      <c r="DH27" s="208"/>
      <c r="DI27" s="208"/>
      <c r="DJ27" s="208"/>
      <c r="DK27" s="208"/>
      <c r="DL27" s="208"/>
      <c r="DM27" s="208"/>
      <c r="DN27" s="208"/>
      <c r="DO27" s="208"/>
      <c r="DP27" s="208"/>
      <c r="DQ27" s="208"/>
      <c r="DR27" s="208"/>
      <c r="DS27" s="208"/>
      <c r="DT27" s="208"/>
      <c r="DU27" s="208"/>
      <c r="DV27" s="208"/>
      <c r="DW27" s="208"/>
      <c r="DX27" s="208"/>
      <c r="DY27" s="208"/>
      <c r="DZ27" s="208"/>
      <c r="EA27" s="208"/>
      <c r="EB27" s="208"/>
      <c r="EC27" s="208"/>
      <c r="ED27" s="208"/>
      <c r="EE27" s="208"/>
      <c r="EF27" s="208"/>
      <c r="EG27" s="208"/>
      <c r="EH27" s="208"/>
      <c r="EI27" s="208"/>
      <c r="EJ27" s="208"/>
      <c r="EK27" s="208"/>
      <c r="EL27" s="208"/>
      <c r="EM27" s="208"/>
      <c r="EN27" s="208"/>
      <c r="EO27" s="208"/>
      <c r="EP27" s="208"/>
      <c r="EQ27" s="208"/>
      <c r="ER27" s="208"/>
      <c r="ES27" s="208"/>
      <c r="ET27" s="208"/>
      <c r="EU27" s="208"/>
      <c r="EV27" s="208"/>
      <c r="EW27" s="208"/>
      <c r="EX27" s="208"/>
      <c r="EY27" s="208"/>
      <c r="EZ27" s="208"/>
      <c r="FA27" s="208"/>
      <c r="FB27" s="208"/>
      <c r="FC27" s="208"/>
      <c r="FD27" s="208"/>
      <c r="FE27" s="208"/>
      <c r="FF27" s="208"/>
      <c r="FG27" s="208"/>
      <c r="FH27" s="208"/>
      <c r="FI27" s="208"/>
      <c r="FJ27" s="208"/>
      <c r="FK27" s="208"/>
      <c r="FL27" s="208"/>
      <c r="FM27" s="208"/>
      <c r="FN27" s="208"/>
      <c r="FO27" s="208"/>
      <c r="FP27" s="208"/>
      <c r="FQ27" s="208"/>
      <c r="FR27" s="208"/>
      <c r="FS27" s="208"/>
      <c r="FT27" s="208"/>
      <c r="FU27" s="208"/>
      <c r="FV27" s="208"/>
      <c r="FW27" s="208"/>
      <c r="FX27" s="208"/>
      <c r="FY27" s="208"/>
      <c r="FZ27" s="208"/>
      <c r="GA27" s="208"/>
      <c r="GB27" s="208"/>
      <c r="GC27" s="208"/>
      <c r="GD27" s="208"/>
      <c r="GE27" s="208"/>
      <c r="GF27" s="208"/>
      <c r="GG27" s="208"/>
      <c r="GH27" s="208"/>
      <c r="GI27" s="208"/>
      <c r="GJ27" s="208"/>
      <c r="GK27" s="208"/>
      <c r="GL27" s="208"/>
      <c r="GM27" s="208"/>
      <c r="GN27" s="208"/>
      <c r="GO27" s="208"/>
      <c r="GP27" s="208"/>
      <c r="GQ27" s="208"/>
      <c r="GR27" s="208"/>
      <c r="GS27" s="208"/>
      <c r="GT27" s="208"/>
      <c r="GU27" s="208"/>
      <c r="GV27" s="208"/>
      <c r="GW27" s="208"/>
      <c r="GX27" s="208"/>
      <c r="GY27" s="208"/>
      <c r="GZ27" s="208"/>
      <c r="HA27" s="208"/>
      <c r="HB27" s="208"/>
      <c r="HC27" s="208"/>
      <c r="HD27" s="208"/>
      <c r="HE27" s="208"/>
      <c r="HF27" s="208"/>
      <c r="HG27" s="208"/>
      <c r="HH27" s="208"/>
      <c r="HI27" s="208"/>
      <c r="HJ27" s="208"/>
      <c r="HK27" s="208"/>
      <c r="HL27" s="208"/>
      <c r="HM27" s="208"/>
      <c r="HN27" s="208"/>
      <c r="HO27" s="208"/>
      <c r="HP27" s="208"/>
      <c r="HQ27" s="208"/>
      <c r="HR27" s="208"/>
      <c r="HS27" s="208"/>
      <c r="HT27" s="208"/>
      <c r="HU27" s="208"/>
      <c r="HV27" s="208"/>
      <c r="HW27" s="208"/>
      <c r="HX27" s="208"/>
      <c r="HY27" s="208"/>
      <c r="HZ27" s="208"/>
      <c r="IA27" s="208"/>
      <c r="IB27" s="208"/>
      <c r="IC27" s="208"/>
      <c r="ID27" s="208"/>
      <c r="IE27" s="208"/>
      <c r="IF27" s="208"/>
      <c r="IG27" s="208"/>
      <c r="IH27" s="208"/>
      <c r="II27" s="208"/>
      <c r="IJ27" s="208"/>
      <c r="IK27" s="208"/>
      <c r="IL27" s="208"/>
      <c r="IM27" s="208"/>
      <c r="IN27" s="208"/>
      <c r="IO27" s="208"/>
      <c r="IP27" s="208"/>
      <c r="IQ27" s="208"/>
      <c r="IR27" s="208"/>
      <c r="IS27" s="208"/>
      <c r="IT27" s="208"/>
      <c r="IU27" s="208"/>
      <c r="IV27" s="208"/>
      <c r="IW27" s="208"/>
      <c r="IX27" s="208"/>
      <c r="IY27" s="208"/>
    </row>
    <row r="28" spans="1:1077" ht="21.9" customHeight="1" x14ac:dyDescent="0.2">
      <c r="A28" s="195">
        <v>0</v>
      </c>
      <c r="B28" s="196"/>
      <c r="C28" s="196"/>
      <c r="D28" s="197" t="s">
        <v>425</v>
      </c>
      <c r="E28" s="198">
        <v>1</v>
      </c>
      <c r="F28" s="197" t="s">
        <v>535</v>
      </c>
      <c r="G28" s="198">
        <v>1</v>
      </c>
      <c r="H28" s="199" t="s">
        <v>565</v>
      </c>
      <c r="I28" s="197">
        <v>2</v>
      </c>
      <c r="J28" s="197">
        <v>1</v>
      </c>
      <c r="K28" s="197">
        <v>1</v>
      </c>
      <c r="L28" s="198" t="s">
        <v>559</v>
      </c>
      <c r="M28" s="198"/>
      <c r="N28" s="200"/>
      <c r="O28" s="200" t="s">
        <v>536</v>
      </c>
      <c r="P28" s="201" t="s">
        <v>572</v>
      </c>
      <c r="Q28" s="197" t="s">
        <v>428</v>
      </c>
      <c r="R28" s="197" t="s">
        <v>428</v>
      </c>
      <c r="S28" s="197" t="s">
        <v>428</v>
      </c>
      <c r="T28" s="197" t="s">
        <v>428</v>
      </c>
      <c r="U28" s="197"/>
      <c r="V28" s="197"/>
      <c r="W28" s="197"/>
      <c r="X28" s="197"/>
      <c r="Y28" s="197"/>
      <c r="Z28" s="197"/>
      <c r="AA28" s="197" t="s">
        <v>1</v>
      </c>
      <c r="AB28" s="198" t="s">
        <v>2</v>
      </c>
      <c r="AC28" s="198" t="s">
        <v>540</v>
      </c>
      <c r="AD28" s="197" t="s">
        <v>438</v>
      </c>
      <c r="AE28" s="197" t="s">
        <v>438</v>
      </c>
      <c r="AF28" s="197" t="s">
        <v>438</v>
      </c>
      <c r="AG28" s="197" t="s">
        <v>438</v>
      </c>
      <c r="AH28" s="197" t="s">
        <v>438</v>
      </c>
      <c r="AI28" s="197" t="s">
        <v>438</v>
      </c>
      <c r="AJ28" s="197" t="s">
        <v>438</v>
      </c>
      <c r="AK28" s="197" t="s">
        <v>438</v>
      </c>
      <c r="AL28" s="197" t="s">
        <v>438</v>
      </c>
      <c r="AM28" s="197" t="s">
        <v>428</v>
      </c>
      <c r="AN28" s="197" t="s">
        <v>428</v>
      </c>
      <c r="AO28" s="202"/>
      <c r="AP28" s="207"/>
      <c r="AQ28" s="197"/>
      <c r="AR28" s="197"/>
      <c r="AS28" s="197"/>
      <c r="AT28" s="197"/>
      <c r="AU28" s="197"/>
      <c r="AV28" s="197"/>
      <c r="AW28" s="197"/>
      <c r="AX28" s="197"/>
      <c r="AY28" s="197"/>
      <c r="AZ28" s="197"/>
      <c r="BA28" s="197"/>
      <c r="BB28" s="197"/>
      <c r="BC28" s="197"/>
      <c r="BD28" s="197"/>
      <c r="BE28" s="197"/>
      <c r="BF28" s="197"/>
      <c r="BG28" s="197"/>
      <c r="BH28" s="197"/>
      <c r="BI28" s="197"/>
      <c r="BJ28" s="197"/>
      <c r="BK28" s="197"/>
      <c r="BL28" s="197"/>
      <c r="BM28" s="197"/>
      <c r="BN28" s="208"/>
      <c r="BO28" s="208"/>
      <c r="BP28" s="208"/>
      <c r="BQ28" s="208"/>
      <c r="BR28" s="208"/>
      <c r="BS28" s="208"/>
      <c r="BT28" s="208"/>
      <c r="BU28" s="208"/>
      <c r="BV28" s="208"/>
      <c r="BW28" s="208"/>
      <c r="BX28" s="208"/>
      <c r="BY28" s="208"/>
      <c r="BZ28" s="208"/>
      <c r="CA28" s="208"/>
      <c r="CB28" s="208"/>
      <c r="CC28" s="208"/>
      <c r="CD28" s="208"/>
      <c r="CE28" s="208"/>
      <c r="CF28" s="208"/>
      <c r="CG28" s="208"/>
      <c r="CH28" s="208"/>
      <c r="CI28" s="208"/>
      <c r="CJ28" s="208"/>
      <c r="CK28" s="208"/>
      <c r="CL28" s="208"/>
      <c r="CM28" s="208"/>
      <c r="CN28" s="208"/>
      <c r="CO28" s="208"/>
      <c r="CP28" s="208"/>
      <c r="CQ28" s="208"/>
      <c r="CR28" s="208"/>
      <c r="CS28" s="208"/>
      <c r="CT28" s="208"/>
      <c r="CU28" s="208"/>
      <c r="CV28" s="208"/>
      <c r="CW28" s="208"/>
      <c r="CX28" s="208"/>
      <c r="CY28" s="208"/>
      <c r="CZ28" s="208"/>
      <c r="DA28" s="208"/>
      <c r="DB28" s="208"/>
      <c r="DC28" s="208"/>
      <c r="DD28" s="208"/>
      <c r="DE28" s="208"/>
      <c r="DF28" s="208"/>
      <c r="DG28" s="208"/>
      <c r="DH28" s="208"/>
      <c r="DI28" s="208"/>
      <c r="DJ28" s="208"/>
      <c r="DK28" s="208"/>
      <c r="DL28" s="208"/>
      <c r="DM28" s="208"/>
      <c r="DN28" s="208"/>
      <c r="DO28" s="208"/>
      <c r="DP28" s="208"/>
      <c r="DQ28" s="208"/>
      <c r="DR28" s="208"/>
      <c r="DS28" s="208"/>
      <c r="DT28" s="208"/>
      <c r="DU28" s="208"/>
      <c r="DV28" s="208"/>
      <c r="DW28" s="208"/>
      <c r="DX28" s="208"/>
      <c r="DY28" s="208"/>
      <c r="DZ28" s="208"/>
      <c r="EA28" s="208"/>
      <c r="EB28" s="208"/>
      <c r="EC28" s="208"/>
      <c r="ED28" s="208"/>
      <c r="EE28" s="208"/>
      <c r="EF28" s="208"/>
      <c r="EG28" s="208"/>
      <c r="EH28" s="208"/>
      <c r="EI28" s="208"/>
      <c r="EJ28" s="208"/>
      <c r="EK28" s="208"/>
      <c r="EL28" s="208"/>
      <c r="EM28" s="208"/>
      <c r="EN28" s="208"/>
      <c r="EO28" s="208"/>
      <c r="EP28" s="208"/>
      <c r="EQ28" s="208"/>
      <c r="ER28" s="208"/>
      <c r="ES28" s="208"/>
      <c r="ET28" s="208"/>
      <c r="EU28" s="208"/>
      <c r="EV28" s="208"/>
      <c r="EW28" s="208"/>
      <c r="EX28" s="208"/>
      <c r="EY28" s="208"/>
      <c r="EZ28" s="208"/>
      <c r="FA28" s="208"/>
      <c r="FB28" s="208"/>
      <c r="FC28" s="208"/>
      <c r="FD28" s="208"/>
      <c r="FE28" s="208"/>
      <c r="FF28" s="208"/>
      <c r="FG28" s="208"/>
      <c r="FH28" s="208"/>
      <c r="FI28" s="208"/>
      <c r="FJ28" s="208"/>
      <c r="FK28" s="208"/>
      <c r="FL28" s="208"/>
      <c r="FM28" s="208"/>
      <c r="FN28" s="208"/>
      <c r="FO28" s="208"/>
      <c r="FP28" s="208"/>
      <c r="FQ28" s="208"/>
      <c r="FR28" s="208"/>
      <c r="FS28" s="208"/>
      <c r="FT28" s="208"/>
      <c r="FU28" s="208"/>
      <c r="FV28" s="208"/>
      <c r="FW28" s="208"/>
      <c r="FX28" s="208"/>
      <c r="FY28" s="208"/>
      <c r="FZ28" s="208"/>
      <c r="GA28" s="208"/>
      <c r="GB28" s="208"/>
      <c r="GC28" s="208"/>
      <c r="GD28" s="208"/>
      <c r="GE28" s="208"/>
      <c r="GF28" s="208"/>
      <c r="GG28" s="208"/>
      <c r="GH28" s="208"/>
      <c r="GI28" s="208"/>
      <c r="GJ28" s="208"/>
      <c r="GK28" s="208"/>
      <c r="GL28" s="208"/>
      <c r="GM28" s="208"/>
      <c r="GN28" s="208"/>
      <c r="GO28" s="208"/>
      <c r="GP28" s="208"/>
      <c r="GQ28" s="208"/>
      <c r="GR28" s="208"/>
      <c r="GS28" s="208"/>
      <c r="GT28" s="208"/>
      <c r="GU28" s="208"/>
      <c r="GV28" s="208"/>
      <c r="GW28" s="208"/>
      <c r="GX28" s="208"/>
      <c r="GY28" s="208"/>
      <c r="GZ28" s="208"/>
      <c r="HA28" s="208"/>
      <c r="HB28" s="208"/>
      <c r="HC28" s="208"/>
      <c r="HD28" s="208"/>
      <c r="HE28" s="208"/>
      <c r="HF28" s="208"/>
      <c r="HG28" s="208"/>
      <c r="HH28" s="208"/>
      <c r="HI28" s="208"/>
      <c r="HJ28" s="208"/>
      <c r="HK28" s="208"/>
      <c r="HL28" s="208"/>
      <c r="HM28" s="208"/>
      <c r="HN28" s="208"/>
      <c r="HO28" s="208"/>
      <c r="HP28" s="208"/>
      <c r="HQ28" s="208"/>
      <c r="HR28" s="208"/>
      <c r="HS28" s="208"/>
      <c r="HT28" s="208"/>
      <c r="HU28" s="208"/>
      <c r="HV28" s="208"/>
      <c r="HW28" s="208"/>
      <c r="HX28" s="208"/>
      <c r="HY28" s="208"/>
      <c r="HZ28" s="208"/>
      <c r="IA28" s="208"/>
      <c r="IB28" s="208"/>
      <c r="IC28" s="208"/>
      <c r="ID28" s="208"/>
      <c r="IE28" s="208"/>
      <c r="IF28" s="208"/>
      <c r="IG28" s="208"/>
      <c r="IH28" s="208"/>
      <c r="II28" s="208"/>
      <c r="IJ28" s="208"/>
      <c r="IK28" s="208"/>
      <c r="IL28" s="208"/>
      <c r="IM28" s="208"/>
      <c r="IN28" s="208"/>
      <c r="IO28" s="208"/>
      <c r="IP28" s="208"/>
      <c r="IQ28" s="208"/>
      <c r="IR28" s="208"/>
      <c r="IS28" s="208"/>
      <c r="IT28" s="208"/>
      <c r="IU28" s="208"/>
      <c r="IV28" s="208"/>
      <c r="IW28" s="208"/>
      <c r="IX28" s="208"/>
      <c r="IY28" s="208"/>
    </row>
    <row r="29" spans="1:1077" s="206" customFormat="1" ht="17.399999999999999" customHeight="1" x14ac:dyDescent="0.2">
      <c r="A29" s="195">
        <v>0</v>
      </c>
      <c r="B29" s="196"/>
      <c r="C29" s="196"/>
      <c r="D29" s="197" t="s">
        <v>573</v>
      </c>
      <c r="E29" s="198">
        <v>1</v>
      </c>
      <c r="F29" s="197" t="s">
        <v>430</v>
      </c>
      <c r="G29" s="198">
        <v>1</v>
      </c>
      <c r="H29" s="199" t="s">
        <v>431</v>
      </c>
      <c r="I29" s="197">
        <v>4</v>
      </c>
      <c r="J29" s="197">
        <v>1</v>
      </c>
      <c r="K29" s="197">
        <v>1</v>
      </c>
      <c r="L29" s="198">
        <v>110</v>
      </c>
      <c r="M29" s="198"/>
      <c r="N29" s="211"/>
      <c r="O29" s="200" t="s">
        <v>574</v>
      </c>
      <c r="P29" s="201" t="s">
        <v>575</v>
      </c>
      <c r="Q29" s="197">
        <v>430</v>
      </c>
      <c r="R29" s="197" t="s">
        <v>538</v>
      </c>
      <c r="S29" s="197">
        <v>500</v>
      </c>
      <c r="T29" s="197" t="s">
        <v>576</v>
      </c>
      <c r="U29" s="197"/>
      <c r="V29" s="197"/>
      <c r="W29" s="197"/>
      <c r="X29" s="197"/>
      <c r="Y29" s="197"/>
      <c r="Z29" s="197"/>
      <c r="AA29" s="197" t="s">
        <v>1</v>
      </c>
      <c r="AB29" s="198" t="s">
        <v>577</v>
      </c>
      <c r="AC29" s="198" t="s">
        <v>578</v>
      </c>
      <c r="AD29" s="197">
        <v>373</v>
      </c>
      <c r="AE29" s="197">
        <v>380</v>
      </c>
      <c r="AF29" s="197">
        <v>3</v>
      </c>
      <c r="AG29" s="197">
        <v>60</v>
      </c>
      <c r="AH29" s="197" t="s">
        <v>428</v>
      </c>
      <c r="AI29" s="197" t="s">
        <v>428</v>
      </c>
      <c r="AJ29" s="197" t="s">
        <v>428</v>
      </c>
      <c r="AK29" s="197" t="s">
        <v>428</v>
      </c>
      <c r="AL29" s="197" t="s">
        <v>428</v>
      </c>
      <c r="AM29" s="197" t="s">
        <v>579</v>
      </c>
      <c r="AN29" s="197" t="s">
        <v>580</v>
      </c>
      <c r="AO29" s="202"/>
      <c r="AP29" s="203"/>
      <c r="AQ29" s="204"/>
      <c r="AR29" s="204"/>
      <c r="AS29" s="204"/>
      <c r="AT29" s="204"/>
      <c r="AU29" s="204"/>
      <c r="AV29" s="204"/>
      <c r="AW29" s="204"/>
      <c r="AX29" s="204"/>
      <c r="AY29" s="204"/>
      <c r="AZ29" s="204"/>
      <c r="BA29" s="204"/>
      <c r="BB29" s="204"/>
      <c r="BC29" s="204"/>
      <c r="BD29" s="204"/>
      <c r="BE29" s="204"/>
      <c r="BF29" s="204"/>
      <c r="BG29" s="204"/>
      <c r="BH29" s="204"/>
      <c r="BI29" s="204"/>
      <c r="BJ29" s="204"/>
      <c r="BK29" s="204"/>
      <c r="BL29" s="204"/>
      <c r="BM29" s="204"/>
      <c r="BN29" s="205"/>
      <c r="BO29" s="205"/>
      <c r="BP29" s="205"/>
      <c r="BQ29" s="205"/>
      <c r="BR29" s="205"/>
      <c r="BS29" s="205"/>
      <c r="BT29" s="205"/>
      <c r="BU29" s="205"/>
      <c r="BV29" s="205"/>
      <c r="BW29" s="205"/>
      <c r="BX29" s="205"/>
      <c r="BY29" s="205"/>
      <c r="BZ29" s="205"/>
      <c r="CA29" s="205"/>
      <c r="CB29" s="205"/>
      <c r="CC29" s="205"/>
      <c r="CD29" s="205"/>
      <c r="CE29" s="205"/>
      <c r="CF29" s="205"/>
      <c r="CG29" s="205"/>
      <c r="CH29" s="205"/>
      <c r="CI29" s="205"/>
      <c r="CJ29" s="205"/>
      <c r="CK29" s="205"/>
      <c r="CL29" s="205"/>
      <c r="CM29" s="205"/>
      <c r="CN29" s="205"/>
      <c r="CO29" s="205"/>
      <c r="CP29" s="205"/>
      <c r="CQ29" s="205"/>
      <c r="CR29" s="205"/>
      <c r="CS29" s="205"/>
      <c r="CT29" s="205"/>
      <c r="CU29" s="205"/>
      <c r="CV29" s="205"/>
      <c r="CW29" s="205"/>
      <c r="CX29" s="205"/>
      <c r="CY29" s="205"/>
      <c r="CZ29" s="205"/>
      <c r="DA29" s="205"/>
      <c r="DB29" s="205"/>
      <c r="DC29" s="205"/>
      <c r="DD29" s="205"/>
      <c r="DE29" s="205"/>
      <c r="DF29" s="205"/>
      <c r="DG29" s="205"/>
      <c r="DH29" s="205"/>
      <c r="DI29" s="205"/>
      <c r="DJ29" s="205"/>
      <c r="DK29" s="205"/>
      <c r="DL29" s="205"/>
      <c r="DM29" s="205"/>
      <c r="DN29" s="205"/>
      <c r="DO29" s="205"/>
      <c r="DP29" s="205"/>
      <c r="DQ29" s="205"/>
      <c r="DR29" s="205"/>
      <c r="DS29" s="205"/>
      <c r="DT29" s="205"/>
      <c r="DU29" s="205"/>
      <c r="DV29" s="205"/>
      <c r="DW29" s="205"/>
      <c r="DX29" s="205"/>
      <c r="DY29" s="205"/>
      <c r="DZ29" s="205"/>
      <c r="EA29" s="205"/>
      <c r="EB29" s="205"/>
      <c r="EC29" s="205"/>
      <c r="ED29" s="205"/>
      <c r="EE29" s="205"/>
      <c r="EF29" s="205"/>
      <c r="EG29" s="205"/>
      <c r="EH29" s="205"/>
      <c r="EI29" s="205"/>
      <c r="EJ29" s="205"/>
      <c r="EK29" s="205"/>
      <c r="EL29" s="205"/>
      <c r="EM29" s="205"/>
      <c r="EN29" s="205"/>
      <c r="EO29" s="205"/>
      <c r="EP29" s="205"/>
      <c r="EQ29" s="205"/>
      <c r="ER29" s="205"/>
      <c r="ES29" s="205"/>
      <c r="ET29" s="205"/>
      <c r="EU29" s="205"/>
      <c r="EV29" s="205"/>
      <c r="EW29" s="205"/>
      <c r="EX29" s="205"/>
      <c r="EY29" s="205"/>
      <c r="EZ29" s="205"/>
      <c r="FA29" s="205"/>
      <c r="FB29" s="205"/>
      <c r="FC29" s="205"/>
      <c r="FD29" s="205"/>
      <c r="FE29" s="205"/>
      <c r="FF29" s="205"/>
      <c r="FG29" s="205"/>
      <c r="FH29" s="205"/>
      <c r="FI29" s="205"/>
      <c r="FJ29" s="205"/>
      <c r="FK29" s="205"/>
      <c r="FL29" s="205"/>
      <c r="FM29" s="205"/>
      <c r="FN29" s="205"/>
      <c r="FO29" s="205"/>
      <c r="FP29" s="205"/>
      <c r="FQ29" s="205"/>
      <c r="FR29" s="205"/>
      <c r="FS29" s="205"/>
      <c r="FT29" s="205"/>
      <c r="FU29" s="205"/>
      <c r="FV29" s="205"/>
      <c r="FW29" s="205"/>
      <c r="FX29" s="205"/>
      <c r="FY29" s="205"/>
      <c r="FZ29" s="205"/>
      <c r="GA29" s="205"/>
      <c r="GB29" s="205"/>
      <c r="GC29" s="205"/>
      <c r="GD29" s="205"/>
      <c r="GE29" s="205"/>
      <c r="GF29" s="205"/>
      <c r="GG29" s="205"/>
      <c r="GH29" s="205"/>
      <c r="GI29" s="205"/>
      <c r="GJ29" s="205"/>
      <c r="GK29" s="205"/>
      <c r="GL29" s="205"/>
      <c r="GM29" s="205"/>
      <c r="GN29" s="205"/>
      <c r="GO29" s="205"/>
      <c r="GP29" s="205"/>
      <c r="GQ29" s="205"/>
      <c r="GR29" s="205"/>
      <c r="GS29" s="205"/>
      <c r="GT29" s="205"/>
      <c r="GU29" s="205"/>
      <c r="GV29" s="205"/>
      <c r="GW29" s="205"/>
      <c r="GX29" s="205"/>
      <c r="GY29" s="205"/>
      <c r="GZ29" s="205"/>
      <c r="HA29" s="205"/>
      <c r="HB29" s="205"/>
      <c r="HC29" s="205"/>
      <c r="HD29" s="205"/>
      <c r="HE29" s="205"/>
      <c r="HF29" s="205"/>
      <c r="HG29" s="205"/>
      <c r="HH29" s="205"/>
      <c r="HI29" s="205"/>
      <c r="HJ29" s="205"/>
      <c r="HK29" s="205"/>
      <c r="HL29" s="205"/>
      <c r="HM29" s="205"/>
      <c r="HN29" s="205"/>
      <c r="HO29" s="205"/>
      <c r="HP29" s="205"/>
      <c r="HQ29" s="205"/>
      <c r="HR29" s="205"/>
      <c r="HS29" s="205"/>
      <c r="HT29" s="205"/>
      <c r="HU29" s="205"/>
      <c r="HV29" s="205"/>
      <c r="HW29" s="205"/>
      <c r="HX29" s="205"/>
      <c r="HY29" s="205"/>
      <c r="HZ29" s="205"/>
      <c r="IA29" s="205"/>
      <c r="IB29" s="205"/>
      <c r="IC29" s="205"/>
      <c r="ID29" s="205"/>
      <c r="IE29" s="205"/>
      <c r="IF29" s="205"/>
      <c r="IG29" s="205"/>
      <c r="IH29" s="205"/>
      <c r="II29" s="205"/>
      <c r="IJ29" s="205"/>
      <c r="IK29" s="205"/>
      <c r="IL29" s="205"/>
      <c r="IM29" s="205"/>
      <c r="IN29" s="205"/>
      <c r="IO29" s="205"/>
      <c r="IP29" s="205"/>
      <c r="IQ29" s="205"/>
      <c r="IR29" s="205"/>
      <c r="IS29" s="205"/>
      <c r="IT29" s="205"/>
      <c r="IU29" s="205"/>
      <c r="IV29" s="205"/>
      <c r="IW29" s="205"/>
      <c r="IX29" s="205"/>
      <c r="IY29" s="205"/>
      <c r="IZ29" s="3"/>
      <c r="JA29" s="3"/>
      <c r="JB29" s="3"/>
      <c r="JC29" s="3"/>
      <c r="JD29" s="3"/>
      <c r="JE29" s="3"/>
      <c r="JF29" s="3"/>
      <c r="JG29" s="3"/>
      <c r="JH29" s="3"/>
      <c r="JI29" s="3"/>
      <c r="JJ29" s="3"/>
      <c r="JK29" s="3"/>
      <c r="JL29" s="3"/>
      <c r="JM29" s="3"/>
      <c r="JN29" s="3"/>
      <c r="JO29" s="3"/>
      <c r="JP29" s="3"/>
      <c r="JQ29" s="3"/>
      <c r="JR29" s="3"/>
      <c r="JS29" s="3"/>
      <c r="JT29" s="3"/>
      <c r="JU29" s="3"/>
      <c r="JV29" s="3"/>
      <c r="JW29" s="3"/>
      <c r="JX29" s="3"/>
      <c r="JY29" s="3"/>
      <c r="JZ29" s="3"/>
      <c r="KA29" s="3"/>
      <c r="KB29" s="3"/>
      <c r="KC29" s="3"/>
      <c r="KD29" s="3"/>
      <c r="KE29" s="3"/>
      <c r="KF29" s="3"/>
      <c r="KG29" s="3"/>
      <c r="KH29" s="3"/>
      <c r="KI29" s="3"/>
      <c r="KJ29" s="3"/>
      <c r="KK29" s="3"/>
      <c r="KL29" s="3"/>
      <c r="KM29" s="3"/>
      <c r="KN29" s="3"/>
      <c r="KO29" s="3"/>
      <c r="KP29" s="3"/>
      <c r="KQ29" s="3"/>
      <c r="KR29" s="3"/>
      <c r="KS29" s="3"/>
      <c r="KT29" s="3"/>
      <c r="KU29" s="3"/>
      <c r="KV29" s="3"/>
      <c r="KW29" s="3"/>
      <c r="KX29" s="3"/>
      <c r="KY29" s="3"/>
      <c r="KZ29" s="3"/>
      <c r="LA29" s="3"/>
      <c r="LB29" s="3"/>
      <c r="LC29" s="3"/>
      <c r="LD29" s="3"/>
      <c r="LE29" s="3"/>
      <c r="LF29" s="3"/>
      <c r="LG29" s="3"/>
      <c r="LH29" s="3"/>
      <c r="LI29" s="3"/>
      <c r="LJ29" s="3"/>
      <c r="LK29" s="3"/>
      <c r="LL29" s="3"/>
      <c r="LM29" s="3"/>
      <c r="LN29" s="3"/>
      <c r="LO29" s="3"/>
      <c r="LP29" s="3"/>
      <c r="LQ29" s="3"/>
      <c r="LR29" s="3"/>
      <c r="LS29" s="3"/>
      <c r="LT29" s="3"/>
      <c r="LU29" s="3"/>
      <c r="LV29" s="3"/>
      <c r="LW29" s="3"/>
      <c r="LX29" s="3"/>
      <c r="LY29" s="3"/>
      <c r="LZ29" s="3"/>
      <c r="MA29" s="3"/>
      <c r="MB29" s="3"/>
      <c r="MC29" s="3"/>
      <c r="MD29" s="3"/>
      <c r="ME29" s="3"/>
      <c r="MF29" s="3"/>
      <c r="MG29" s="3"/>
      <c r="MH29" s="3"/>
      <c r="MI29" s="3"/>
      <c r="MJ29" s="3"/>
      <c r="MK29" s="3"/>
      <c r="ML29" s="3"/>
      <c r="MM29" s="3"/>
      <c r="MN29" s="3"/>
      <c r="MO29" s="3"/>
      <c r="MP29" s="3"/>
      <c r="MQ29" s="3"/>
      <c r="MR29" s="3"/>
      <c r="MS29" s="3"/>
      <c r="MT29" s="3"/>
      <c r="MU29" s="3"/>
      <c r="MV29" s="3"/>
      <c r="MW29" s="3"/>
      <c r="MX29" s="3"/>
      <c r="MY29" s="3"/>
      <c r="MZ29" s="3"/>
      <c r="NA29" s="3"/>
      <c r="NB29" s="3"/>
      <c r="NC29" s="3"/>
      <c r="ND29" s="3"/>
      <c r="NE29" s="3"/>
      <c r="NF29" s="3"/>
      <c r="NG29" s="3"/>
      <c r="NH29" s="3"/>
      <c r="NI29" s="3"/>
      <c r="NJ29" s="3"/>
      <c r="NK29" s="3"/>
      <c r="NL29" s="3"/>
      <c r="NM29" s="3"/>
      <c r="NN29" s="3"/>
      <c r="NO29" s="3"/>
      <c r="NP29" s="3"/>
      <c r="NQ29" s="3"/>
      <c r="NR29" s="3"/>
      <c r="NS29" s="3"/>
      <c r="NT29" s="3"/>
      <c r="NU29" s="3"/>
      <c r="NV29" s="3"/>
      <c r="NW29" s="3"/>
      <c r="NX29" s="3"/>
      <c r="NY29" s="3"/>
      <c r="NZ29" s="3"/>
      <c r="OA29" s="3"/>
      <c r="OB29" s="3"/>
      <c r="OC29" s="3"/>
      <c r="OD29" s="3"/>
      <c r="OE29" s="3"/>
      <c r="OF29" s="3"/>
      <c r="OG29" s="3"/>
      <c r="OH29" s="3"/>
      <c r="OI29" s="3"/>
      <c r="OJ29" s="3"/>
      <c r="OK29" s="3"/>
      <c r="OL29" s="3"/>
      <c r="OM29" s="3"/>
      <c r="ON29" s="3"/>
      <c r="OO29" s="3"/>
      <c r="OP29" s="3"/>
      <c r="OQ29" s="3"/>
      <c r="OR29" s="3"/>
      <c r="OS29" s="3"/>
      <c r="OT29" s="3"/>
      <c r="OU29" s="3"/>
      <c r="OV29" s="3"/>
      <c r="OW29" s="3"/>
      <c r="OX29" s="3"/>
      <c r="OY29" s="3"/>
      <c r="OZ29" s="3"/>
      <c r="PA29" s="3"/>
      <c r="PB29" s="3"/>
      <c r="PC29" s="3"/>
      <c r="PD29" s="3"/>
      <c r="PE29" s="3"/>
      <c r="PF29" s="3"/>
      <c r="PG29" s="3"/>
      <c r="PH29" s="3"/>
      <c r="PI29" s="3"/>
      <c r="PJ29" s="3"/>
      <c r="PK29" s="3"/>
      <c r="PL29" s="3"/>
      <c r="PM29" s="3"/>
      <c r="PN29" s="3"/>
      <c r="PO29" s="3"/>
      <c r="PP29" s="3"/>
      <c r="PQ29" s="3"/>
      <c r="PR29" s="3"/>
      <c r="PS29" s="3"/>
      <c r="PT29" s="3"/>
      <c r="PU29" s="3"/>
      <c r="PV29" s="3"/>
      <c r="PW29" s="3"/>
      <c r="PX29" s="3"/>
      <c r="PY29" s="3"/>
      <c r="PZ29" s="3"/>
      <c r="QA29" s="3"/>
      <c r="QB29" s="3"/>
      <c r="QC29" s="3"/>
      <c r="QD29" s="3"/>
      <c r="QE29" s="3"/>
      <c r="QF29" s="3"/>
      <c r="QG29" s="3"/>
      <c r="QH29" s="3"/>
      <c r="QI29" s="3"/>
      <c r="QJ29" s="3"/>
      <c r="QK29" s="3"/>
      <c r="QL29" s="3"/>
      <c r="QM29" s="3"/>
      <c r="QN29" s="3"/>
      <c r="QO29" s="3"/>
      <c r="QP29" s="3"/>
      <c r="QQ29" s="3"/>
      <c r="QR29" s="3"/>
      <c r="QS29" s="3"/>
      <c r="QT29" s="3"/>
      <c r="QU29" s="3"/>
      <c r="QV29" s="3"/>
      <c r="QW29" s="3"/>
      <c r="QX29" s="3"/>
      <c r="QY29" s="3"/>
      <c r="QZ29" s="3"/>
      <c r="RA29" s="3"/>
      <c r="RB29" s="3"/>
      <c r="RC29" s="3"/>
      <c r="RD29" s="3"/>
      <c r="RE29" s="3"/>
      <c r="RF29" s="3"/>
      <c r="RG29" s="3"/>
      <c r="RH29" s="3"/>
      <c r="RI29" s="3"/>
      <c r="RJ29" s="3"/>
      <c r="RK29" s="3"/>
      <c r="RL29" s="3"/>
      <c r="RM29" s="3"/>
      <c r="RN29" s="3"/>
      <c r="RO29" s="3"/>
      <c r="RP29" s="3"/>
      <c r="RQ29" s="3"/>
      <c r="RR29" s="3"/>
      <c r="RS29" s="3"/>
      <c r="RT29" s="3"/>
      <c r="RU29" s="3"/>
      <c r="RV29" s="3"/>
      <c r="RW29" s="3"/>
      <c r="RX29" s="3"/>
      <c r="RY29" s="3"/>
      <c r="RZ29" s="3"/>
      <c r="SA29" s="3"/>
      <c r="SB29" s="3"/>
      <c r="SC29" s="3"/>
      <c r="SD29" s="3"/>
      <c r="SE29" s="3"/>
      <c r="SF29" s="3"/>
      <c r="SG29" s="3"/>
      <c r="SH29" s="3"/>
      <c r="SI29" s="3"/>
      <c r="SJ29" s="3"/>
      <c r="SK29" s="3"/>
      <c r="SL29" s="3"/>
      <c r="SM29" s="3"/>
      <c r="SN29" s="3"/>
      <c r="SO29" s="3"/>
      <c r="SP29" s="3"/>
      <c r="SQ29" s="3"/>
      <c r="SR29" s="3"/>
      <c r="SS29" s="3"/>
      <c r="ST29" s="3"/>
      <c r="SU29" s="3"/>
      <c r="SV29" s="3"/>
      <c r="SW29" s="3"/>
      <c r="SX29" s="3"/>
      <c r="SY29" s="3"/>
      <c r="SZ29" s="3"/>
      <c r="TA29" s="3"/>
      <c r="TB29" s="3"/>
      <c r="TC29" s="3"/>
      <c r="TD29" s="3"/>
      <c r="TE29" s="3"/>
      <c r="TF29" s="3"/>
      <c r="TG29" s="3"/>
      <c r="TH29" s="3"/>
      <c r="TI29" s="3"/>
      <c r="TJ29" s="3"/>
      <c r="TK29" s="3"/>
      <c r="TL29" s="3"/>
      <c r="TM29" s="3"/>
      <c r="TN29" s="3"/>
      <c r="TO29" s="3"/>
      <c r="TP29" s="3"/>
      <c r="TQ29" s="3"/>
      <c r="TR29" s="3"/>
      <c r="TS29" s="3"/>
      <c r="TT29" s="3"/>
      <c r="TU29" s="3"/>
      <c r="TV29" s="3"/>
      <c r="TW29" s="3"/>
      <c r="TX29" s="3"/>
      <c r="TY29" s="3"/>
      <c r="TZ29" s="3"/>
      <c r="UA29" s="3"/>
      <c r="UB29" s="3"/>
      <c r="UC29" s="3"/>
      <c r="UD29" s="3"/>
      <c r="UE29" s="3"/>
      <c r="UF29" s="3"/>
      <c r="UG29" s="3"/>
      <c r="UH29" s="3"/>
      <c r="UI29" s="3"/>
      <c r="UJ29" s="3"/>
      <c r="UK29" s="3"/>
      <c r="UL29" s="3"/>
      <c r="UM29" s="3"/>
      <c r="UN29" s="3"/>
      <c r="UO29" s="3"/>
      <c r="UP29" s="3"/>
      <c r="UQ29" s="3"/>
      <c r="UR29" s="3"/>
      <c r="US29" s="3"/>
      <c r="UT29" s="3"/>
      <c r="UU29" s="3"/>
      <c r="UV29" s="3"/>
      <c r="UW29" s="3"/>
      <c r="UX29" s="3"/>
      <c r="UY29" s="3"/>
      <c r="UZ29" s="3"/>
      <c r="VA29" s="3"/>
      <c r="VB29" s="3"/>
      <c r="VC29" s="3"/>
      <c r="VD29" s="3"/>
      <c r="VE29" s="3"/>
      <c r="VF29" s="3"/>
      <c r="VG29" s="3"/>
      <c r="VH29" s="3"/>
      <c r="VI29" s="3"/>
      <c r="VJ29" s="3"/>
      <c r="VK29" s="3"/>
      <c r="VL29" s="3"/>
      <c r="VM29" s="3"/>
      <c r="VN29" s="3"/>
      <c r="VO29" s="3"/>
      <c r="VP29" s="3"/>
      <c r="VQ29" s="3"/>
      <c r="VR29" s="3"/>
      <c r="VS29" s="3"/>
      <c r="VT29" s="3"/>
      <c r="VU29" s="3"/>
      <c r="VV29" s="3"/>
      <c r="VW29" s="3"/>
      <c r="VX29" s="3"/>
      <c r="VY29" s="3"/>
      <c r="VZ29" s="3"/>
      <c r="WA29" s="3"/>
      <c r="WB29" s="3"/>
      <c r="WC29" s="3"/>
      <c r="WD29" s="3"/>
      <c r="WE29" s="3"/>
      <c r="WF29" s="3"/>
      <c r="WG29" s="3"/>
      <c r="WH29" s="3"/>
      <c r="WI29" s="3"/>
      <c r="WJ29" s="3"/>
      <c r="WK29" s="3"/>
      <c r="WL29" s="3"/>
      <c r="WM29" s="3"/>
      <c r="WN29" s="3"/>
      <c r="WO29" s="3"/>
      <c r="WP29" s="3"/>
      <c r="WQ29" s="3"/>
      <c r="WR29" s="3"/>
      <c r="WS29" s="3"/>
      <c r="WT29" s="3"/>
      <c r="WU29" s="3"/>
      <c r="WV29" s="3"/>
      <c r="WW29" s="3"/>
      <c r="WX29" s="3"/>
      <c r="WY29" s="3"/>
      <c r="WZ29" s="3"/>
      <c r="XA29" s="3"/>
      <c r="XB29" s="3"/>
      <c r="XC29" s="3"/>
      <c r="XD29" s="3"/>
      <c r="XE29" s="3"/>
      <c r="XF29" s="3"/>
      <c r="XG29" s="3"/>
      <c r="XH29" s="3"/>
      <c r="XI29" s="3"/>
      <c r="XJ29" s="3"/>
      <c r="XK29" s="3"/>
      <c r="XL29" s="3"/>
      <c r="XM29" s="3"/>
      <c r="XN29" s="3"/>
      <c r="XO29" s="3"/>
      <c r="XP29" s="3"/>
      <c r="XQ29" s="3"/>
      <c r="XR29" s="3"/>
      <c r="XS29" s="3"/>
      <c r="XT29" s="3"/>
      <c r="XU29" s="3"/>
      <c r="XV29" s="3"/>
      <c r="XW29" s="3"/>
      <c r="XX29" s="3"/>
      <c r="XY29" s="3"/>
      <c r="XZ29" s="3"/>
      <c r="YA29" s="3"/>
      <c r="YB29" s="3"/>
      <c r="YC29" s="3"/>
      <c r="YD29" s="3"/>
      <c r="YE29" s="3"/>
      <c r="YF29" s="3"/>
      <c r="YG29" s="3"/>
      <c r="YH29" s="3"/>
      <c r="YI29" s="3"/>
      <c r="YJ29" s="3"/>
      <c r="YK29" s="3"/>
      <c r="YL29" s="3"/>
      <c r="YM29" s="3"/>
      <c r="YN29" s="3"/>
      <c r="YO29" s="3"/>
      <c r="YP29" s="3"/>
      <c r="YQ29" s="3"/>
      <c r="YR29" s="3"/>
      <c r="YS29" s="3"/>
      <c r="YT29" s="3"/>
      <c r="YU29" s="3"/>
      <c r="YV29" s="3"/>
      <c r="YW29" s="3"/>
      <c r="YX29" s="3"/>
      <c r="YY29" s="3"/>
      <c r="YZ29" s="3"/>
      <c r="ZA29" s="3"/>
      <c r="ZB29" s="3"/>
      <c r="ZC29" s="3"/>
      <c r="ZD29" s="3"/>
      <c r="ZE29" s="3"/>
      <c r="ZF29" s="3"/>
      <c r="ZG29" s="3"/>
      <c r="ZH29" s="3"/>
      <c r="ZI29" s="3"/>
      <c r="ZJ29" s="3"/>
      <c r="ZK29" s="3"/>
      <c r="ZL29" s="3"/>
      <c r="ZM29" s="3"/>
      <c r="ZN29" s="3"/>
      <c r="ZO29" s="3"/>
      <c r="ZP29" s="3"/>
      <c r="ZQ29" s="3"/>
      <c r="ZR29" s="3"/>
      <c r="ZS29" s="3"/>
      <c r="ZT29" s="3"/>
      <c r="ZU29" s="3"/>
      <c r="ZV29" s="3"/>
      <c r="ZW29" s="3"/>
      <c r="ZX29" s="3"/>
      <c r="ZY29" s="3"/>
      <c r="ZZ29" s="3"/>
      <c r="AAA29" s="3"/>
      <c r="AAB29" s="3"/>
      <c r="AAC29" s="3"/>
      <c r="AAD29" s="3"/>
      <c r="AAE29" s="3"/>
      <c r="AAF29" s="3"/>
      <c r="AAG29" s="3"/>
      <c r="AAH29" s="3"/>
      <c r="AAI29" s="3"/>
      <c r="AAJ29" s="3"/>
      <c r="AAK29" s="3"/>
      <c r="AAL29" s="3"/>
      <c r="AAM29" s="3"/>
      <c r="AAN29" s="3"/>
      <c r="AAO29" s="3"/>
      <c r="AAP29" s="3"/>
      <c r="AAQ29" s="3"/>
      <c r="AAR29" s="3"/>
      <c r="AAS29" s="3"/>
      <c r="AAT29" s="3"/>
      <c r="AAU29" s="3"/>
      <c r="AAV29" s="3"/>
      <c r="AAW29" s="3"/>
      <c r="AAX29" s="3"/>
      <c r="AAY29" s="3"/>
      <c r="AAZ29" s="3"/>
      <c r="ABA29" s="3"/>
      <c r="ABB29" s="3"/>
      <c r="ABC29" s="3"/>
      <c r="ABD29" s="3"/>
      <c r="ABE29" s="3"/>
      <c r="ABF29" s="3"/>
      <c r="ABG29" s="3"/>
      <c r="ABH29" s="3"/>
      <c r="ABI29" s="3"/>
      <c r="ABJ29" s="3"/>
      <c r="ABK29" s="3"/>
      <c r="ABL29" s="3"/>
      <c r="ABM29" s="3"/>
      <c r="ABN29" s="3"/>
      <c r="ABO29" s="3"/>
      <c r="ABP29" s="3"/>
      <c r="ABQ29" s="3"/>
      <c r="ABR29" s="3"/>
      <c r="ABS29" s="3"/>
      <c r="ABT29" s="3"/>
      <c r="ABU29" s="3"/>
      <c r="ABV29" s="3"/>
      <c r="ABW29" s="3"/>
      <c r="ABX29" s="3"/>
      <c r="ABY29" s="3"/>
      <c r="ABZ29" s="3"/>
      <c r="ACA29" s="3"/>
      <c r="ACB29" s="3"/>
      <c r="ACC29" s="3"/>
      <c r="ACD29" s="3"/>
      <c r="ACE29" s="3"/>
      <c r="ACF29" s="3"/>
      <c r="ACG29" s="3"/>
      <c r="ACH29" s="3"/>
      <c r="ACI29" s="3"/>
      <c r="ACJ29" s="3"/>
      <c r="ACK29" s="3"/>
      <c r="ACL29" s="3"/>
      <c r="ACM29" s="3"/>
      <c r="ACN29" s="3"/>
      <c r="ACO29" s="3"/>
      <c r="ACP29" s="3"/>
      <c r="ACQ29" s="3"/>
      <c r="ACR29" s="3"/>
      <c r="ACS29" s="3"/>
      <c r="ACT29" s="3"/>
      <c r="ACU29" s="3"/>
      <c r="ACV29" s="3"/>
      <c r="ACW29" s="3"/>
      <c r="ACX29" s="3"/>
      <c r="ACY29" s="3"/>
      <c r="ACZ29" s="3"/>
      <c r="ADA29" s="3"/>
      <c r="ADB29" s="3"/>
      <c r="ADC29" s="3"/>
      <c r="ADD29" s="3"/>
      <c r="ADE29" s="3"/>
      <c r="ADF29" s="3"/>
      <c r="ADG29" s="3"/>
      <c r="ADH29" s="3"/>
      <c r="ADI29" s="3"/>
      <c r="ADJ29" s="3"/>
      <c r="ADK29" s="3"/>
      <c r="ADL29" s="3"/>
      <c r="ADM29" s="3"/>
      <c r="ADN29" s="3"/>
      <c r="ADO29" s="3"/>
      <c r="ADP29" s="3"/>
      <c r="ADQ29" s="3"/>
      <c r="ADR29" s="3"/>
      <c r="ADS29" s="3"/>
      <c r="ADT29" s="3"/>
      <c r="ADU29" s="3"/>
      <c r="ADV29" s="3"/>
      <c r="ADW29" s="3"/>
      <c r="ADX29" s="3"/>
      <c r="ADY29" s="3"/>
      <c r="ADZ29" s="3"/>
      <c r="AEA29" s="3"/>
      <c r="AEB29" s="3"/>
      <c r="AEC29" s="3"/>
      <c r="AED29" s="3"/>
      <c r="AEE29" s="3"/>
      <c r="AEF29" s="3"/>
      <c r="AEG29" s="3"/>
      <c r="AEH29" s="3"/>
      <c r="AEI29" s="3"/>
      <c r="AEJ29" s="3"/>
      <c r="AEK29" s="3"/>
      <c r="AEL29" s="3"/>
      <c r="AEM29" s="3"/>
      <c r="AEN29" s="3"/>
      <c r="AEO29" s="3"/>
      <c r="AEP29" s="3"/>
      <c r="AEQ29" s="3"/>
      <c r="AER29" s="3"/>
      <c r="AES29" s="3"/>
      <c r="AET29" s="3"/>
      <c r="AEU29" s="3"/>
      <c r="AEV29" s="3"/>
      <c r="AEW29" s="3"/>
      <c r="AEX29" s="3"/>
      <c r="AEY29" s="3"/>
      <c r="AEZ29" s="3"/>
      <c r="AFA29" s="3"/>
      <c r="AFB29" s="3"/>
      <c r="AFC29" s="3"/>
      <c r="AFD29" s="3"/>
      <c r="AFE29" s="3"/>
      <c r="AFF29" s="3"/>
      <c r="AFG29" s="3"/>
      <c r="AFH29" s="3"/>
      <c r="AFI29" s="3"/>
      <c r="AFJ29" s="3"/>
      <c r="AFK29" s="3"/>
      <c r="AFL29" s="3"/>
      <c r="AFM29" s="3"/>
      <c r="AFN29" s="3"/>
      <c r="AFO29" s="3"/>
      <c r="AFP29" s="3"/>
      <c r="AFQ29" s="3"/>
      <c r="AFR29" s="3"/>
      <c r="AFS29" s="3"/>
      <c r="AFT29" s="3"/>
      <c r="AFU29" s="3"/>
      <c r="AFV29" s="3"/>
      <c r="AFW29" s="3"/>
      <c r="AFX29" s="3"/>
      <c r="AFY29" s="3"/>
      <c r="AFZ29" s="3"/>
      <c r="AGA29" s="3"/>
      <c r="AGB29" s="3"/>
      <c r="AGC29" s="3"/>
      <c r="AGD29" s="3"/>
      <c r="AGE29" s="3"/>
      <c r="AGF29" s="3"/>
      <c r="AGG29" s="3"/>
      <c r="AGH29" s="3"/>
      <c r="AGI29" s="3"/>
      <c r="AGJ29" s="3"/>
      <c r="AGK29" s="3"/>
      <c r="AGL29" s="3"/>
      <c r="AGM29" s="3"/>
      <c r="AGN29" s="3"/>
      <c r="AGO29" s="3"/>
      <c r="AGP29" s="3"/>
      <c r="AGQ29" s="3"/>
      <c r="AGR29" s="3"/>
      <c r="AGS29" s="3"/>
      <c r="AGT29" s="3"/>
      <c r="AGU29" s="3"/>
      <c r="AGV29" s="3"/>
      <c r="AGW29" s="3"/>
      <c r="AGX29" s="3"/>
      <c r="AGY29" s="3"/>
      <c r="AGZ29" s="3"/>
      <c r="AHA29" s="3"/>
      <c r="AHB29" s="3"/>
      <c r="AHC29" s="3"/>
      <c r="AHD29" s="3"/>
      <c r="AHE29" s="3"/>
      <c r="AHF29" s="3"/>
      <c r="AHG29" s="3"/>
      <c r="AHH29" s="3"/>
      <c r="AHI29" s="3"/>
      <c r="AHJ29" s="3"/>
      <c r="AHK29" s="3"/>
      <c r="AHL29" s="3"/>
      <c r="AHM29" s="3"/>
      <c r="AHN29" s="3"/>
      <c r="AHO29" s="3"/>
      <c r="AHP29" s="3"/>
      <c r="AHQ29" s="3"/>
      <c r="AHR29" s="3"/>
      <c r="AHS29" s="3"/>
      <c r="AHT29" s="3"/>
      <c r="AHU29" s="3"/>
      <c r="AHV29" s="3"/>
      <c r="AHW29" s="3"/>
      <c r="AHX29" s="3"/>
      <c r="AHY29" s="3"/>
      <c r="AHZ29" s="3"/>
      <c r="AIA29" s="3"/>
      <c r="AIB29" s="3"/>
      <c r="AIC29" s="3"/>
      <c r="AID29" s="3"/>
      <c r="AIE29" s="3"/>
      <c r="AIF29" s="3"/>
      <c r="AIG29" s="3"/>
      <c r="AIH29" s="3"/>
      <c r="AII29" s="3"/>
      <c r="AIJ29" s="3"/>
      <c r="AIK29" s="3"/>
      <c r="AIL29" s="3"/>
      <c r="AIM29" s="3"/>
      <c r="AIN29" s="3"/>
      <c r="AIO29" s="3"/>
      <c r="AIP29" s="3"/>
      <c r="AIQ29" s="3"/>
      <c r="AIR29" s="3"/>
      <c r="AIS29" s="3"/>
      <c r="AIT29" s="3"/>
      <c r="AIU29" s="3"/>
      <c r="AIV29" s="3"/>
      <c r="AIW29" s="3"/>
      <c r="AIX29" s="3"/>
      <c r="AIY29" s="3"/>
      <c r="AIZ29" s="3"/>
      <c r="AJA29" s="3"/>
      <c r="AJB29" s="3"/>
      <c r="AJC29" s="3"/>
      <c r="AJD29" s="3"/>
      <c r="AJE29" s="3"/>
      <c r="AJF29" s="3"/>
      <c r="AJG29" s="3"/>
      <c r="AJH29" s="3"/>
      <c r="AJI29" s="3"/>
      <c r="AJJ29" s="3"/>
      <c r="AJK29" s="3"/>
      <c r="AJL29" s="3"/>
      <c r="AJM29" s="3"/>
      <c r="AJN29" s="3"/>
      <c r="AJO29" s="3"/>
      <c r="AJP29" s="3"/>
      <c r="AJQ29" s="3"/>
      <c r="AJR29" s="3"/>
      <c r="AJS29" s="3"/>
      <c r="AJT29" s="3"/>
      <c r="AJU29" s="3"/>
      <c r="AJV29" s="3"/>
      <c r="AJW29" s="3"/>
      <c r="AJX29" s="3"/>
      <c r="AJY29" s="3"/>
      <c r="AJZ29" s="3"/>
      <c r="AKA29" s="3"/>
      <c r="AKB29" s="3"/>
      <c r="AKC29" s="3"/>
      <c r="AKD29" s="3"/>
      <c r="AKE29" s="3"/>
      <c r="AKF29" s="3"/>
      <c r="AKG29" s="3"/>
      <c r="AKH29" s="3"/>
      <c r="AKI29" s="3"/>
      <c r="AKJ29" s="3"/>
      <c r="AKK29" s="3"/>
      <c r="AKL29" s="3"/>
      <c r="AKM29" s="3"/>
      <c r="AKN29" s="3"/>
      <c r="AKO29" s="3"/>
      <c r="AKP29" s="3"/>
      <c r="AKQ29" s="3"/>
      <c r="AKR29" s="3"/>
      <c r="AKS29" s="3"/>
      <c r="AKT29" s="3"/>
      <c r="AKU29" s="3"/>
      <c r="AKV29" s="3"/>
      <c r="AKW29" s="3"/>
      <c r="AKX29" s="3"/>
      <c r="AKY29" s="3"/>
      <c r="AKZ29" s="3"/>
      <c r="ALA29" s="3"/>
      <c r="ALB29" s="3"/>
      <c r="ALC29" s="3"/>
      <c r="ALD29" s="3"/>
      <c r="ALE29" s="3"/>
      <c r="ALF29" s="3"/>
      <c r="ALG29" s="3"/>
      <c r="ALH29" s="3"/>
      <c r="ALI29" s="3"/>
      <c r="ALJ29" s="3"/>
      <c r="ALK29" s="3"/>
      <c r="ALL29" s="3"/>
      <c r="ALM29" s="3"/>
      <c r="ALN29" s="3"/>
      <c r="ALO29" s="3"/>
      <c r="ALP29" s="3"/>
      <c r="ALQ29" s="3"/>
      <c r="ALR29" s="3"/>
      <c r="ALS29" s="3"/>
      <c r="ALT29" s="3"/>
      <c r="ALU29" s="3"/>
      <c r="ALV29" s="3"/>
      <c r="ALW29" s="3"/>
      <c r="ALX29" s="3"/>
      <c r="ALY29" s="3"/>
      <c r="ALZ29" s="3"/>
      <c r="AMA29" s="3"/>
      <c r="AMB29" s="3"/>
      <c r="AMC29" s="3"/>
      <c r="AMD29" s="3"/>
      <c r="AME29" s="3"/>
      <c r="AMF29" s="3"/>
      <c r="AMG29" s="3"/>
      <c r="AMH29" s="3"/>
      <c r="AMI29" s="3"/>
      <c r="AMJ29" s="3"/>
      <c r="AMK29" s="3"/>
      <c r="AML29" s="3"/>
      <c r="AMM29" s="3"/>
      <c r="AMN29" s="3"/>
      <c r="AMO29" s="3"/>
      <c r="AMP29" s="3"/>
      <c r="AMQ29" s="3"/>
      <c r="AMR29" s="3"/>
      <c r="AMS29" s="3"/>
      <c r="AMT29" s="3"/>
      <c r="AMU29" s="3"/>
      <c r="AMV29" s="3"/>
      <c r="AMW29" s="3"/>
      <c r="AMX29" s="3"/>
      <c r="AMY29" s="3"/>
      <c r="AMZ29" s="3"/>
      <c r="ANA29" s="3"/>
      <c r="ANB29" s="3"/>
      <c r="ANC29" s="3"/>
      <c r="AND29" s="3"/>
      <c r="ANE29" s="3"/>
      <c r="ANF29" s="3"/>
      <c r="ANG29" s="3"/>
      <c r="ANH29" s="3"/>
      <c r="ANI29" s="3"/>
      <c r="ANJ29" s="3"/>
      <c r="ANK29" s="3"/>
      <c r="ANL29" s="3"/>
      <c r="ANM29" s="3"/>
      <c r="ANN29" s="3"/>
      <c r="ANO29" s="3"/>
      <c r="ANP29" s="3"/>
      <c r="ANQ29" s="3"/>
      <c r="ANR29" s="3"/>
      <c r="ANS29" s="3"/>
      <c r="ANT29" s="3"/>
      <c r="ANU29" s="3"/>
      <c r="ANV29" s="3"/>
      <c r="ANW29" s="3"/>
      <c r="ANX29" s="3"/>
      <c r="ANY29" s="3"/>
      <c r="ANZ29" s="3"/>
      <c r="AOA29" s="3"/>
      <c r="AOB29" s="3"/>
      <c r="AOC29" s="3"/>
      <c r="AOD29" s="3"/>
      <c r="AOE29" s="3"/>
      <c r="AOF29" s="3"/>
      <c r="AOG29" s="3"/>
      <c r="AOH29" s="3"/>
      <c r="AOI29" s="3"/>
      <c r="AOJ29" s="3"/>
      <c r="AOK29" s="3"/>
    </row>
    <row r="30" spans="1:1077" s="206" customFormat="1" ht="15" customHeight="1" x14ac:dyDescent="0.2">
      <c r="A30" s="195">
        <v>0</v>
      </c>
      <c r="B30" s="196"/>
      <c r="C30" s="196"/>
      <c r="D30" s="197" t="s">
        <v>573</v>
      </c>
      <c r="E30" s="198">
        <v>1</v>
      </c>
      <c r="F30" s="197" t="s">
        <v>430</v>
      </c>
      <c r="G30" s="198">
        <v>1</v>
      </c>
      <c r="H30" s="199" t="s">
        <v>431</v>
      </c>
      <c r="I30" s="197">
        <v>4</v>
      </c>
      <c r="J30" s="197">
        <v>1</v>
      </c>
      <c r="K30" s="197">
        <v>1</v>
      </c>
      <c r="L30" s="198">
        <v>210</v>
      </c>
      <c r="M30" s="198"/>
      <c r="N30" s="211"/>
      <c r="O30" s="200" t="s">
        <v>574</v>
      </c>
      <c r="P30" s="201" t="s">
        <v>581</v>
      </c>
      <c r="Q30" s="197">
        <v>430</v>
      </c>
      <c r="R30" s="197" t="s">
        <v>538</v>
      </c>
      <c r="S30" s="197">
        <v>500</v>
      </c>
      <c r="T30" s="197" t="s">
        <v>576</v>
      </c>
      <c r="U30" s="197"/>
      <c r="V30" s="197"/>
      <c r="W30" s="197"/>
      <c r="X30" s="197"/>
      <c r="Y30" s="197"/>
      <c r="Z30" s="197"/>
      <c r="AA30" s="197" t="s">
        <v>1</v>
      </c>
      <c r="AB30" s="198" t="s">
        <v>577</v>
      </c>
      <c r="AC30" s="198" t="s">
        <v>578</v>
      </c>
      <c r="AD30" s="197">
        <v>373</v>
      </c>
      <c r="AE30" s="197">
        <v>380</v>
      </c>
      <c r="AF30" s="197">
        <v>3</v>
      </c>
      <c r="AG30" s="197">
        <v>60</v>
      </c>
      <c r="AH30" s="197" t="s">
        <v>428</v>
      </c>
      <c r="AI30" s="197" t="s">
        <v>428</v>
      </c>
      <c r="AJ30" s="197" t="s">
        <v>428</v>
      </c>
      <c r="AK30" s="197" t="s">
        <v>428</v>
      </c>
      <c r="AL30" s="197" t="s">
        <v>428</v>
      </c>
      <c r="AM30" s="197" t="s">
        <v>579</v>
      </c>
      <c r="AN30" s="197" t="s">
        <v>580</v>
      </c>
      <c r="AO30" s="202"/>
      <c r="AP30" s="203"/>
      <c r="AQ30" s="204"/>
      <c r="AR30" s="204"/>
      <c r="AS30" s="204"/>
      <c r="AT30" s="204"/>
      <c r="AU30" s="204"/>
      <c r="AV30" s="204"/>
      <c r="AW30" s="204"/>
      <c r="AX30" s="204"/>
      <c r="AY30" s="204"/>
      <c r="AZ30" s="204"/>
      <c r="BA30" s="204"/>
      <c r="BB30" s="204"/>
      <c r="BC30" s="204"/>
      <c r="BD30" s="204"/>
      <c r="BE30" s="204"/>
      <c r="BF30" s="204"/>
      <c r="BG30" s="204"/>
      <c r="BH30" s="204"/>
      <c r="BI30" s="204"/>
      <c r="BJ30" s="204"/>
      <c r="BK30" s="204"/>
      <c r="BL30" s="204"/>
      <c r="BM30" s="204"/>
      <c r="BN30" s="205"/>
      <c r="BO30" s="205"/>
      <c r="BP30" s="205"/>
      <c r="BQ30" s="205"/>
      <c r="BR30" s="205"/>
      <c r="BS30" s="205"/>
      <c r="BT30" s="205"/>
      <c r="BU30" s="205"/>
      <c r="BV30" s="205"/>
      <c r="BW30" s="205"/>
      <c r="BX30" s="205"/>
      <c r="BY30" s="205"/>
      <c r="BZ30" s="205"/>
      <c r="CA30" s="205"/>
      <c r="CB30" s="205"/>
      <c r="CC30" s="205"/>
      <c r="CD30" s="205"/>
      <c r="CE30" s="205"/>
      <c r="CF30" s="205"/>
      <c r="CG30" s="205"/>
      <c r="CH30" s="205"/>
      <c r="CI30" s="205"/>
      <c r="CJ30" s="205"/>
      <c r="CK30" s="205"/>
      <c r="CL30" s="205"/>
      <c r="CM30" s="205"/>
      <c r="CN30" s="205"/>
      <c r="CO30" s="205"/>
      <c r="CP30" s="205"/>
      <c r="CQ30" s="205"/>
      <c r="CR30" s="205"/>
      <c r="CS30" s="205"/>
      <c r="CT30" s="205"/>
      <c r="CU30" s="205"/>
      <c r="CV30" s="205"/>
      <c r="CW30" s="205"/>
      <c r="CX30" s="205"/>
      <c r="CY30" s="205"/>
      <c r="CZ30" s="205"/>
      <c r="DA30" s="205"/>
      <c r="DB30" s="205"/>
      <c r="DC30" s="205"/>
      <c r="DD30" s="205"/>
      <c r="DE30" s="205"/>
      <c r="DF30" s="205"/>
      <c r="DG30" s="205"/>
      <c r="DH30" s="205"/>
      <c r="DI30" s="205"/>
      <c r="DJ30" s="205"/>
      <c r="DK30" s="205"/>
      <c r="DL30" s="205"/>
      <c r="DM30" s="205"/>
      <c r="DN30" s="205"/>
      <c r="DO30" s="205"/>
      <c r="DP30" s="205"/>
      <c r="DQ30" s="205"/>
      <c r="DR30" s="205"/>
      <c r="DS30" s="205"/>
      <c r="DT30" s="205"/>
      <c r="DU30" s="205"/>
      <c r="DV30" s="205"/>
      <c r="DW30" s="205"/>
      <c r="DX30" s="205"/>
      <c r="DY30" s="205"/>
      <c r="DZ30" s="205"/>
      <c r="EA30" s="205"/>
      <c r="EB30" s="205"/>
      <c r="EC30" s="205"/>
      <c r="ED30" s="205"/>
      <c r="EE30" s="205"/>
      <c r="EF30" s="205"/>
      <c r="EG30" s="205"/>
      <c r="EH30" s="205"/>
      <c r="EI30" s="205"/>
      <c r="EJ30" s="205"/>
      <c r="EK30" s="205"/>
      <c r="EL30" s="205"/>
      <c r="EM30" s="205"/>
      <c r="EN30" s="205"/>
      <c r="EO30" s="205"/>
      <c r="EP30" s="205"/>
      <c r="EQ30" s="205"/>
      <c r="ER30" s="205"/>
      <c r="ES30" s="205"/>
      <c r="ET30" s="205"/>
      <c r="EU30" s="205"/>
      <c r="EV30" s="205"/>
      <c r="EW30" s="205"/>
      <c r="EX30" s="205"/>
      <c r="EY30" s="205"/>
      <c r="EZ30" s="205"/>
      <c r="FA30" s="205"/>
      <c r="FB30" s="205"/>
      <c r="FC30" s="205"/>
      <c r="FD30" s="205"/>
      <c r="FE30" s="205"/>
      <c r="FF30" s="205"/>
      <c r="FG30" s="205"/>
      <c r="FH30" s="205"/>
      <c r="FI30" s="205"/>
      <c r="FJ30" s="205"/>
      <c r="FK30" s="205"/>
      <c r="FL30" s="205"/>
      <c r="FM30" s="205"/>
      <c r="FN30" s="205"/>
      <c r="FO30" s="205"/>
      <c r="FP30" s="205"/>
      <c r="FQ30" s="205"/>
      <c r="FR30" s="205"/>
      <c r="FS30" s="205"/>
      <c r="FT30" s="205"/>
      <c r="FU30" s="205"/>
      <c r="FV30" s="205"/>
      <c r="FW30" s="205"/>
      <c r="FX30" s="205"/>
      <c r="FY30" s="205"/>
      <c r="FZ30" s="205"/>
      <c r="GA30" s="205"/>
      <c r="GB30" s="205"/>
      <c r="GC30" s="205"/>
      <c r="GD30" s="205"/>
      <c r="GE30" s="205"/>
      <c r="GF30" s="205"/>
      <c r="GG30" s="205"/>
      <c r="GH30" s="205"/>
      <c r="GI30" s="205"/>
      <c r="GJ30" s="205"/>
      <c r="GK30" s="205"/>
      <c r="GL30" s="205"/>
      <c r="GM30" s="205"/>
      <c r="GN30" s="205"/>
      <c r="GO30" s="205"/>
      <c r="GP30" s="205"/>
      <c r="GQ30" s="205"/>
      <c r="GR30" s="205"/>
      <c r="GS30" s="205"/>
      <c r="GT30" s="205"/>
      <c r="GU30" s="205"/>
      <c r="GV30" s="205"/>
      <c r="GW30" s="205"/>
      <c r="GX30" s="205"/>
      <c r="GY30" s="205"/>
      <c r="GZ30" s="205"/>
      <c r="HA30" s="205"/>
      <c r="HB30" s="205"/>
      <c r="HC30" s="205"/>
      <c r="HD30" s="205"/>
      <c r="HE30" s="205"/>
      <c r="HF30" s="205"/>
      <c r="HG30" s="205"/>
      <c r="HH30" s="205"/>
      <c r="HI30" s="205"/>
      <c r="HJ30" s="205"/>
      <c r="HK30" s="205"/>
      <c r="HL30" s="205"/>
      <c r="HM30" s="205"/>
      <c r="HN30" s="205"/>
      <c r="HO30" s="205"/>
      <c r="HP30" s="205"/>
      <c r="HQ30" s="205"/>
      <c r="HR30" s="205"/>
      <c r="HS30" s="205"/>
      <c r="HT30" s="205"/>
      <c r="HU30" s="205"/>
      <c r="HV30" s="205"/>
      <c r="HW30" s="205"/>
      <c r="HX30" s="205"/>
      <c r="HY30" s="205"/>
      <c r="HZ30" s="205"/>
      <c r="IA30" s="205"/>
      <c r="IB30" s="205"/>
      <c r="IC30" s="205"/>
      <c r="ID30" s="205"/>
      <c r="IE30" s="205"/>
      <c r="IF30" s="205"/>
      <c r="IG30" s="205"/>
      <c r="IH30" s="205"/>
      <c r="II30" s="205"/>
      <c r="IJ30" s="205"/>
      <c r="IK30" s="205"/>
      <c r="IL30" s="205"/>
      <c r="IM30" s="205"/>
      <c r="IN30" s="205"/>
      <c r="IO30" s="205"/>
      <c r="IP30" s="205"/>
      <c r="IQ30" s="205"/>
      <c r="IR30" s="205"/>
      <c r="IS30" s="205"/>
      <c r="IT30" s="205"/>
      <c r="IU30" s="205"/>
      <c r="IV30" s="205"/>
      <c r="IW30" s="205"/>
      <c r="IX30" s="205"/>
      <c r="IY30" s="205"/>
      <c r="IZ30" s="3"/>
      <c r="JA30" s="3"/>
      <c r="JB30" s="3"/>
      <c r="JC30" s="3"/>
      <c r="JD30" s="3"/>
      <c r="JE30" s="3"/>
      <c r="JF30" s="3"/>
      <c r="JG30" s="3"/>
      <c r="JH30" s="3"/>
      <c r="JI30" s="3"/>
      <c r="JJ30" s="3"/>
      <c r="JK30" s="3"/>
      <c r="JL30" s="3"/>
      <c r="JM30" s="3"/>
      <c r="JN30" s="3"/>
      <c r="JO30" s="3"/>
      <c r="JP30" s="3"/>
      <c r="JQ30" s="3"/>
      <c r="JR30" s="3"/>
      <c r="JS30" s="3"/>
      <c r="JT30" s="3"/>
      <c r="JU30" s="3"/>
      <c r="JV30" s="3"/>
      <c r="JW30" s="3"/>
      <c r="JX30" s="3"/>
      <c r="JY30" s="3"/>
      <c r="JZ30" s="3"/>
      <c r="KA30" s="3"/>
      <c r="KB30" s="3"/>
      <c r="KC30" s="3"/>
      <c r="KD30" s="3"/>
      <c r="KE30" s="3"/>
      <c r="KF30" s="3"/>
      <c r="KG30" s="3"/>
      <c r="KH30" s="3"/>
      <c r="KI30" s="3"/>
      <c r="KJ30" s="3"/>
      <c r="KK30" s="3"/>
      <c r="KL30" s="3"/>
      <c r="KM30" s="3"/>
      <c r="KN30" s="3"/>
      <c r="KO30" s="3"/>
      <c r="KP30" s="3"/>
      <c r="KQ30" s="3"/>
      <c r="KR30" s="3"/>
      <c r="KS30" s="3"/>
      <c r="KT30" s="3"/>
      <c r="KU30" s="3"/>
      <c r="KV30" s="3"/>
      <c r="KW30" s="3"/>
      <c r="KX30" s="3"/>
      <c r="KY30" s="3"/>
      <c r="KZ30" s="3"/>
      <c r="LA30" s="3"/>
      <c r="LB30" s="3"/>
      <c r="LC30" s="3"/>
      <c r="LD30" s="3"/>
      <c r="LE30" s="3"/>
      <c r="LF30" s="3"/>
      <c r="LG30" s="3"/>
      <c r="LH30" s="3"/>
      <c r="LI30" s="3"/>
      <c r="LJ30" s="3"/>
      <c r="LK30" s="3"/>
      <c r="LL30" s="3"/>
      <c r="LM30" s="3"/>
      <c r="LN30" s="3"/>
      <c r="LO30" s="3"/>
      <c r="LP30" s="3"/>
      <c r="LQ30" s="3"/>
      <c r="LR30" s="3"/>
      <c r="LS30" s="3"/>
      <c r="LT30" s="3"/>
      <c r="LU30" s="3"/>
      <c r="LV30" s="3"/>
      <c r="LW30" s="3"/>
      <c r="LX30" s="3"/>
      <c r="LY30" s="3"/>
      <c r="LZ30" s="3"/>
      <c r="MA30" s="3"/>
      <c r="MB30" s="3"/>
      <c r="MC30" s="3"/>
      <c r="MD30" s="3"/>
      <c r="ME30" s="3"/>
      <c r="MF30" s="3"/>
      <c r="MG30" s="3"/>
      <c r="MH30" s="3"/>
      <c r="MI30" s="3"/>
      <c r="MJ30" s="3"/>
      <c r="MK30" s="3"/>
      <c r="ML30" s="3"/>
      <c r="MM30" s="3"/>
      <c r="MN30" s="3"/>
      <c r="MO30" s="3"/>
      <c r="MP30" s="3"/>
      <c r="MQ30" s="3"/>
      <c r="MR30" s="3"/>
      <c r="MS30" s="3"/>
      <c r="MT30" s="3"/>
      <c r="MU30" s="3"/>
      <c r="MV30" s="3"/>
      <c r="MW30" s="3"/>
      <c r="MX30" s="3"/>
      <c r="MY30" s="3"/>
      <c r="MZ30" s="3"/>
      <c r="NA30" s="3"/>
      <c r="NB30" s="3"/>
      <c r="NC30" s="3"/>
      <c r="ND30" s="3"/>
      <c r="NE30" s="3"/>
      <c r="NF30" s="3"/>
      <c r="NG30" s="3"/>
      <c r="NH30" s="3"/>
      <c r="NI30" s="3"/>
      <c r="NJ30" s="3"/>
      <c r="NK30" s="3"/>
      <c r="NL30" s="3"/>
      <c r="NM30" s="3"/>
      <c r="NN30" s="3"/>
      <c r="NO30" s="3"/>
      <c r="NP30" s="3"/>
      <c r="NQ30" s="3"/>
      <c r="NR30" s="3"/>
      <c r="NS30" s="3"/>
      <c r="NT30" s="3"/>
      <c r="NU30" s="3"/>
      <c r="NV30" s="3"/>
      <c r="NW30" s="3"/>
      <c r="NX30" s="3"/>
      <c r="NY30" s="3"/>
      <c r="NZ30" s="3"/>
      <c r="OA30" s="3"/>
      <c r="OB30" s="3"/>
      <c r="OC30" s="3"/>
      <c r="OD30" s="3"/>
      <c r="OE30" s="3"/>
      <c r="OF30" s="3"/>
      <c r="OG30" s="3"/>
      <c r="OH30" s="3"/>
      <c r="OI30" s="3"/>
      <c r="OJ30" s="3"/>
      <c r="OK30" s="3"/>
      <c r="OL30" s="3"/>
      <c r="OM30" s="3"/>
      <c r="ON30" s="3"/>
      <c r="OO30" s="3"/>
      <c r="OP30" s="3"/>
      <c r="OQ30" s="3"/>
      <c r="OR30" s="3"/>
      <c r="OS30" s="3"/>
      <c r="OT30" s="3"/>
      <c r="OU30" s="3"/>
      <c r="OV30" s="3"/>
      <c r="OW30" s="3"/>
      <c r="OX30" s="3"/>
      <c r="OY30" s="3"/>
      <c r="OZ30" s="3"/>
      <c r="PA30" s="3"/>
      <c r="PB30" s="3"/>
      <c r="PC30" s="3"/>
      <c r="PD30" s="3"/>
      <c r="PE30" s="3"/>
      <c r="PF30" s="3"/>
      <c r="PG30" s="3"/>
      <c r="PH30" s="3"/>
      <c r="PI30" s="3"/>
      <c r="PJ30" s="3"/>
      <c r="PK30" s="3"/>
      <c r="PL30" s="3"/>
      <c r="PM30" s="3"/>
      <c r="PN30" s="3"/>
      <c r="PO30" s="3"/>
      <c r="PP30" s="3"/>
      <c r="PQ30" s="3"/>
      <c r="PR30" s="3"/>
      <c r="PS30" s="3"/>
      <c r="PT30" s="3"/>
      <c r="PU30" s="3"/>
      <c r="PV30" s="3"/>
      <c r="PW30" s="3"/>
      <c r="PX30" s="3"/>
      <c r="PY30" s="3"/>
      <c r="PZ30" s="3"/>
      <c r="QA30" s="3"/>
      <c r="QB30" s="3"/>
      <c r="QC30" s="3"/>
      <c r="QD30" s="3"/>
      <c r="QE30" s="3"/>
      <c r="QF30" s="3"/>
      <c r="QG30" s="3"/>
      <c r="QH30" s="3"/>
      <c r="QI30" s="3"/>
      <c r="QJ30" s="3"/>
      <c r="QK30" s="3"/>
      <c r="QL30" s="3"/>
      <c r="QM30" s="3"/>
      <c r="QN30" s="3"/>
      <c r="QO30" s="3"/>
      <c r="QP30" s="3"/>
      <c r="QQ30" s="3"/>
      <c r="QR30" s="3"/>
      <c r="QS30" s="3"/>
      <c r="QT30" s="3"/>
      <c r="QU30" s="3"/>
      <c r="QV30" s="3"/>
      <c r="QW30" s="3"/>
      <c r="QX30" s="3"/>
      <c r="QY30" s="3"/>
      <c r="QZ30" s="3"/>
      <c r="RA30" s="3"/>
      <c r="RB30" s="3"/>
      <c r="RC30" s="3"/>
      <c r="RD30" s="3"/>
      <c r="RE30" s="3"/>
      <c r="RF30" s="3"/>
      <c r="RG30" s="3"/>
      <c r="RH30" s="3"/>
      <c r="RI30" s="3"/>
      <c r="RJ30" s="3"/>
      <c r="RK30" s="3"/>
      <c r="RL30" s="3"/>
      <c r="RM30" s="3"/>
      <c r="RN30" s="3"/>
      <c r="RO30" s="3"/>
      <c r="RP30" s="3"/>
      <c r="RQ30" s="3"/>
      <c r="RR30" s="3"/>
      <c r="RS30" s="3"/>
      <c r="RT30" s="3"/>
      <c r="RU30" s="3"/>
      <c r="RV30" s="3"/>
      <c r="RW30" s="3"/>
      <c r="RX30" s="3"/>
      <c r="RY30" s="3"/>
      <c r="RZ30" s="3"/>
      <c r="SA30" s="3"/>
      <c r="SB30" s="3"/>
      <c r="SC30" s="3"/>
      <c r="SD30" s="3"/>
      <c r="SE30" s="3"/>
      <c r="SF30" s="3"/>
      <c r="SG30" s="3"/>
      <c r="SH30" s="3"/>
      <c r="SI30" s="3"/>
      <c r="SJ30" s="3"/>
      <c r="SK30" s="3"/>
      <c r="SL30" s="3"/>
      <c r="SM30" s="3"/>
      <c r="SN30" s="3"/>
      <c r="SO30" s="3"/>
      <c r="SP30" s="3"/>
      <c r="SQ30" s="3"/>
      <c r="SR30" s="3"/>
      <c r="SS30" s="3"/>
      <c r="ST30" s="3"/>
      <c r="SU30" s="3"/>
      <c r="SV30" s="3"/>
      <c r="SW30" s="3"/>
      <c r="SX30" s="3"/>
      <c r="SY30" s="3"/>
      <c r="SZ30" s="3"/>
      <c r="TA30" s="3"/>
      <c r="TB30" s="3"/>
      <c r="TC30" s="3"/>
      <c r="TD30" s="3"/>
      <c r="TE30" s="3"/>
      <c r="TF30" s="3"/>
      <c r="TG30" s="3"/>
      <c r="TH30" s="3"/>
      <c r="TI30" s="3"/>
      <c r="TJ30" s="3"/>
      <c r="TK30" s="3"/>
      <c r="TL30" s="3"/>
      <c r="TM30" s="3"/>
      <c r="TN30" s="3"/>
      <c r="TO30" s="3"/>
      <c r="TP30" s="3"/>
      <c r="TQ30" s="3"/>
      <c r="TR30" s="3"/>
      <c r="TS30" s="3"/>
      <c r="TT30" s="3"/>
      <c r="TU30" s="3"/>
      <c r="TV30" s="3"/>
      <c r="TW30" s="3"/>
      <c r="TX30" s="3"/>
      <c r="TY30" s="3"/>
      <c r="TZ30" s="3"/>
      <c r="UA30" s="3"/>
      <c r="UB30" s="3"/>
      <c r="UC30" s="3"/>
      <c r="UD30" s="3"/>
      <c r="UE30" s="3"/>
      <c r="UF30" s="3"/>
      <c r="UG30" s="3"/>
      <c r="UH30" s="3"/>
      <c r="UI30" s="3"/>
      <c r="UJ30" s="3"/>
      <c r="UK30" s="3"/>
      <c r="UL30" s="3"/>
      <c r="UM30" s="3"/>
      <c r="UN30" s="3"/>
      <c r="UO30" s="3"/>
      <c r="UP30" s="3"/>
      <c r="UQ30" s="3"/>
      <c r="UR30" s="3"/>
      <c r="US30" s="3"/>
      <c r="UT30" s="3"/>
      <c r="UU30" s="3"/>
      <c r="UV30" s="3"/>
      <c r="UW30" s="3"/>
      <c r="UX30" s="3"/>
      <c r="UY30" s="3"/>
      <c r="UZ30" s="3"/>
      <c r="VA30" s="3"/>
      <c r="VB30" s="3"/>
      <c r="VC30" s="3"/>
      <c r="VD30" s="3"/>
      <c r="VE30" s="3"/>
      <c r="VF30" s="3"/>
      <c r="VG30" s="3"/>
      <c r="VH30" s="3"/>
      <c r="VI30" s="3"/>
      <c r="VJ30" s="3"/>
      <c r="VK30" s="3"/>
      <c r="VL30" s="3"/>
      <c r="VM30" s="3"/>
      <c r="VN30" s="3"/>
      <c r="VO30" s="3"/>
      <c r="VP30" s="3"/>
      <c r="VQ30" s="3"/>
      <c r="VR30" s="3"/>
      <c r="VS30" s="3"/>
      <c r="VT30" s="3"/>
      <c r="VU30" s="3"/>
      <c r="VV30" s="3"/>
      <c r="VW30" s="3"/>
      <c r="VX30" s="3"/>
      <c r="VY30" s="3"/>
      <c r="VZ30" s="3"/>
      <c r="WA30" s="3"/>
      <c r="WB30" s="3"/>
      <c r="WC30" s="3"/>
      <c r="WD30" s="3"/>
      <c r="WE30" s="3"/>
      <c r="WF30" s="3"/>
      <c r="WG30" s="3"/>
      <c r="WH30" s="3"/>
      <c r="WI30" s="3"/>
      <c r="WJ30" s="3"/>
      <c r="WK30" s="3"/>
      <c r="WL30" s="3"/>
      <c r="WM30" s="3"/>
      <c r="WN30" s="3"/>
      <c r="WO30" s="3"/>
      <c r="WP30" s="3"/>
      <c r="WQ30" s="3"/>
      <c r="WR30" s="3"/>
      <c r="WS30" s="3"/>
      <c r="WT30" s="3"/>
      <c r="WU30" s="3"/>
      <c r="WV30" s="3"/>
      <c r="WW30" s="3"/>
      <c r="WX30" s="3"/>
      <c r="WY30" s="3"/>
      <c r="WZ30" s="3"/>
      <c r="XA30" s="3"/>
      <c r="XB30" s="3"/>
      <c r="XC30" s="3"/>
      <c r="XD30" s="3"/>
      <c r="XE30" s="3"/>
      <c r="XF30" s="3"/>
      <c r="XG30" s="3"/>
      <c r="XH30" s="3"/>
      <c r="XI30" s="3"/>
      <c r="XJ30" s="3"/>
      <c r="XK30" s="3"/>
      <c r="XL30" s="3"/>
      <c r="XM30" s="3"/>
      <c r="XN30" s="3"/>
      <c r="XO30" s="3"/>
      <c r="XP30" s="3"/>
      <c r="XQ30" s="3"/>
      <c r="XR30" s="3"/>
      <c r="XS30" s="3"/>
      <c r="XT30" s="3"/>
      <c r="XU30" s="3"/>
      <c r="XV30" s="3"/>
      <c r="XW30" s="3"/>
      <c r="XX30" s="3"/>
      <c r="XY30" s="3"/>
      <c r="XZ30" s="3"/>
      <c r="YA30" s="3"/>
      <c r="YB30" s="3"/>
      <c r="YC30" s="3"/>
      <c r="YD30" s="3"/>
      <c r="YE30" s="3"/>
      <c r="YF30" s="3"/>
      <c r="YG30" s="3"/>
      <c r="YH30" s="3"/>
      <c r="YI30" s="3"/>
      <c r="YJ30" s="3"/>
      <c r="YK30" s="3"/>
      <c r="YL30" s="3"/>
      <c r="YM30" s="3"/>
      <c r="YN30" s="3"/>
      <c r="YO30" s="3"/>
      <c r="YP30" s="3"/>
      <c r="YQ30" s="3"/>
      <c r="YR30" s="3"/>
      <c r="YS30" s="3"/>
      <c r="YT30" s="3"/>
      <c r="YU30" s="3"/>
      <c r="YV30" s="3"/>
      <c r="YW30" s="3"/>
      <c r="YX30" s="3"/>
      <c r="YY30" s="3"/>
      <c r="YZ30" s="3"/>
      <c r="ZA30" s="3"/>
      <c r="ZB30" s="3"/>
      <c r="ZC30" s="3"/>
      <c r="ZD30" s="3"/>
      <c r="ZE30" s="3"/>
      <c r="ZF30" s="3"/>
      <c r="ZG30" s="3"/>
      <c r="ZH30" s="3"/>
      <c r="ZI30" s="3"/>
      <c r="ZJ30" s="3"/>
      <c r="ZK30" s="3"/>
      <c r="ZL30" s="3"/>
      <c r="ZM30" s="3"/>
      <c r="ZN30" s="3"/>
      <c r="ZO30" s="3"/>
      <c r="ZP30" s="3"/>
      <c r="ZQ30" s="3"/>
      <c r="ZR30" s="3"/>
      <c r="ZS30" s="3"/>
      <c r="ZT30" s="3"/>
      <c r="ZU30" s="3"/>
      <c r="ZV30" s="3"/>
      <c r="ZW30" s="3"/>
      <c r="ZX30" s="3"/>
      <c r="ZY30" s="3"/>
      <c r="ZZ30" s="3"/>
      <c r="AAA30" s="3"/>
      <c r="AAB30" s="3"/>
      <c r="AAC30" s="3"/>
      <c r="AAD30" s="3"/>
      <c r="AAE30" s="3"/>
      <c r="AAF30" s="3"/>
      <c r="AAG30" s="3"/>
      <c r="AAH30" s="3"/>
      <c r="AAI30" s="3"/>
      <c r="AAJ30" s="3"/>
      <c r="AAK30" s="3"/>
      <c r="AAL30" s="3"/>
      <c r="AAM30" s="3"/>
      <c r="AAN30" s="3"/>
      <c r="AAO30" s="3"/>
      <c r="AAP30" s="3"/>
      <c r="AAQ30" s="3"/>
      <c r="AAR30" s="3"/>
      <c r="AAS30" s="3"/>
      <c r="AAT30" s="3"/>
      <c r="AAU30" s="3"/>
      <c r="AAV30" s="3"/>
      <c r="AAW30" s="3"/>
      <c r="AAX30" s="3"/>
      <c r="AAY30" s="3"/>
      <c r="AAZ30" s="3"/>
      <c r="ABA30" s="3"/>
      <c r="ABB30" s="3"/>
      <c r="ABC30" s="3"/>
      <c r="ABD30" s="3"/>
      <c r="ABE30" s="3"/>
      <c r="ABF30" s="3"/>
      <c r="ABG30" s="3"/>
      <c r="ABH30" s="3"/>
      <c r="ABI30" s="3"/>
      <c r="ABJ30" s="3"/>
      <c r="ABK30" s="3"/>
      <c r="ABL30" s="3"/>
      <c r="ABM30" s="3"/>
      <c r="ABN30" s="3"/>
      <c r="ABO30" s="3"/>
      <c r="ABP30" s="3"/>
      <c r="ABQ30" s="3"/>
      <c r="ABR30" s="3"/>
      <c r="ABS30" s="3"/>
      <c r="ABT30" s="3"/>
      <c r="ABU30" s="3"/>
      <c r="ABV30" s="3"/>
      <c r="ABW30" s="3"/>
      <c r="ABX30" s="3"/>
      <c r="ABY30" s="3"/>
      <c r="ABZ30" s="3"/>
      <c r="ACA30" s="3"/>
      <c r="ACB30" s="3"/>
      <c r="ACC30" s="3"/>
      <c r="ACD30" s="3"/>
      <c r="ACE30" s="3"/>
      <c r="ACF30" s="3"/>
      <c r="ACG30" s="3"/>
      <c r="ACH30" s="3"/>
      <c r="ACI30" s="3"/>
      <c r="ACJ30" s="3"/>
      <c r="ACK30" s="3"/>
      <c r="ACL30" s="3"/>
      <c r="ACM30" s="3"/>
      <c r="ACN30" s="3"/>
      <c r="ACO30" s="3"/>
      <c r="ACP30" s="3"/>
      <c r="ACQ30" s="3"/>
      <c r="ACR30" s="3"/>
      <c r="ACS30" s="3"/>
      <c r="ACT30" s="3"/>
      <c r="ACU30" s="3"/>
      <c r="ACV30" s="3"/>
      <c r="ACW30" s="3"/>
      <c r="ACX30" s="3"/>
      <c r="ACY30" s="3"/>
      <c r="ACZ30" s="3"/>
      <c r="ADA30" s="3"/>
      <c r="ADB30" s="3"/>
      <c r="ADC30" s="3"/>
      <c r="ADD30" s="3"/>
      <c r="ADE30" s="3"/>
      <c r="ADF30" s="3"/>
      <c r="ADG30" s="3"/>
      <c r="ADH30" s="3"/>
      <c r="ADI30" s="3"/>
      <c r="ADJ30" s="3"/>
      <c r="ADK30" s="3"/>
      <c r="ADL30" s="3"/>
      <c r="ADM30" s="3"/>
      <c r="ADN30" s="3"/>
      <c r="ADO30" s="3"/>
      <c r="ADP30" s="3"/>
      <c r="ADQ30" s="3"/>
      <c r="ADR30" s="3"/>
      <c r="ADS30" s="3"/>
      <c r="ADT30" s="3"/>
      <c r="ADU30" s="3"/>
      <c r="ADV30" s="3"/>
      <c r="ADW30" s="3"/>
      <c r="ADX30" s="3"/>
      <c r="ADY30" s="3"/>
      <c r="ADZ30" s="3"/>
      <c r="AEA30" s="3"/>
      <c r="AEB30" s="3"/>
      <c r="AEC30" s="3"/>
      <c r="AED30" s="3"/>
      <c r="AEE30" s="3"/>
      <c r="AEF30" s="3"/>
      <c r="AEG30" s="3"/>
      <c r="AEH30" s="3"/>
      <c r="AEI30" s="3"/>
      <c r="AEJ30" s="3"/>
      <c r="AEK30" s="3"/>
      <c r="AEL30" s="3"/>
      <c r="AEM30" s="3"/>
      <c r="AEN30" s="3"/>
      <c r="AEO30" s="3"/>
      <c r="AEP30" s="3"/>
      <c r="AEQ30" s="3"/>
      <c r="AER30" s="3"/>
      <c r="AES30" s="3"/>
      <c r="AET30" s="3"/>
      <c r="AEU30" s="3"/>
      <c r="AEV30" s="3"/>
      <c r="AEW30" s="3"/>
      <c r="AEX30" s="3"/>
      <c r="AEY30" s="3"/>
      <c r="AEZ30" s="3"/>
      <c r="AFA30" s="3"/>
      <c r="AFB30" s="3"/>
      <c r="AFC30" s="3"/>
      <c r="AFD30" s="3"/>
      <c r="AFE30" s="3"/>
      <c r="AFF30" s="3"/>
      <c r="AFG30" s="3"/>
      <c r="AFH30" s="3"/>
      <c r="AFI30" s="3"/>
      <c r="AFJ30" s="3"/>
      <c r="AFK30" s="3"/>
      <c r="AFL30" s="3"/>
      <c r="AFM30" s="3"/>
      <c r="AFN30" s="3"/>
      <c r="AFO30" s="3"/>
      <c r="AFP30" s="3"/>
      <c r="AFQ30" s="3"/>
      <c r="AFR30" s="3"/>
      <c r="AFS30" s="3"/>
      <c r="AFT30" s="3"/>
      <c r="AFU30" s="3"/>
      <c r="AFV30" s="3"/>
      <c r="AFW30" s="3"/>
      <c r="AFX30" s="3"/>
      <c r="AFY30" s="3"/>
      <c r="AFZ30" s="3"/>
      <c r="AGA30" s="3"/>
      <c r="AGB30" s="3"/>
      <c r="AGC30" s="3"/>
      <c r="AGD30" s="3"/>
      <c r="AGE30" s="3"/>
      <c r="AGF30" s="3"/>
      <c r="AGG30" s="3"/>
      <c r="AGH30" s="3"/>
      <c r="AGI30" s="3"/>
      <c r="AGJ30" s="3"/>
      <c r="AGK30" s="3"/>
      <c r="AGL30" s="3"/>
      <c r="AGM30" s="3"/>
      <c r="AGN30" s="3"/>
      <c r="AGO30" s="3"/>
      <c r="AGP30" s="3"/>
      <c r="AGQ30" s="3"/>
      <c r="AGR30" s="3"/>
      <c r="AGS30" s="3"/>
      <c r="AGT30" s="3"/>
      <c r="AGU30" s="3"/>
      <c r="AGV30" s="3"/>
      <c r="AGW30" s="3"/>
      <c r="AGX30" s="3"/>
      <c r="AGY30" s="3"/>
      <c r="AGZ30" s="3"/>
      <c r="AHA30" s="3"/>
      <c r="AHB30" s="3"/>
      <c r="AHC30" s="3"/>
      <c r="AHD30" s="3"/>
      <c r="AHE30" s="3"/>
      <c r="AHF30" s="3"/>
      <c r="AHG30" s="3"/>
      <c r="AHH30" s="3"/>
      <c r="AHI30" s="3"/>
      <c r="AHJ30" s="3"/>
      <c r="AHK30" s="3"/>
      <c r="AHL30" s="3"/>
      <c r="AHM30" s="3"/>
      <c r="AHN30" s="3"/>
      <c r="AHO30" s="3"/>
      <c r="AHP30" s="3"/>
      <c r="AHQ30" s="3"/>
      <c r="AHR30" s="3"/>
      <c r="AHS30" s="3"/>
      <c r="AHT30" s="3"/>
      <c r="AHU30" s="3"/>
      <c r="AHV30" s="3"/>
      <c r="AHW30" s="3"/>
      <c r="AHX30" s="3"/>
      <c r="AHY30" s="3"/>
      <c r="AHZ30" s="3"/>
      <c r="AIA30" s="3"/>
      <c r="AIB30" s="3"/>
      <c r="AIC30" s="3"/>
      <c r="AID30" s="3"/>
      <c r="AIE30" s="3"/>
      <c r="AIF30" s="3"/>
      <c r="AIG30" s="3"/>
      <c r="AIH30" s="3"/>
      <c r="AII30" s="3"/>
      <c r="AIJ30" s="3"/>
      <c r="AIK30" s="3"/>
      <c r="AIL30" s="3"/>
      <c r="AIM30" s="3"/>
      <c r="AIN30" s="3"/>
      <c r="AIO30" s="3"/>
      <c r="AIP30" s="3"/>
      <c r="AIQ30" s="3"/>
      <c r="AIR30" s="3"/>
      <c r="AIS30" s="3"/>
      <c r="AIT30" s="3"/>
      <c r="AIU30" s="3"/>
      <c r="AIV30" s="3"/>
      <c r="AIW30" s="3"/>
      <c r="AIX30" s="3"/>
      <c r="AIY30" s="3"/>
      <c r="AIZ30" s="3"/>
      <c r="AJA30" s="3"/>
      <c r="AJB30" s="3"/>
      <c r="AJC30" s="3"/>
      <c r="AJD30" s="3"/>
      <c r="AJE30" s="3"/>
      <c r="AJF30" s="3"/>
      <c r="AJG30" s="3"/>
      <c r="AJH30" s="3"/>
      <c r="AJI30" s="3"/>
      <c r="AJJ30" s="3"/>
      <c r="AJK30" s="3"/>
      <c r="AJL30" s="3"/>
      <c r="AJM30" s="3"/>
      <c r="AJN30" s="3"/>
      <c r="AJO30" s="3"/>
      <c r="AJP30" s="3"/>
      <c r="AJQ30" s="3"/>
      <c r="AJR30" s="3"/>
      <c r="AJS30" s="3"/>
      <c r="AJT30" s="3"/>
      <c r="AJU30" s="3"/>
      <c r="AJV30" s="3"/>
      <c r="AJW30" s="3"/>
      <c r="AJX30" s="3"/>
      <c r="AJY30" s="3"/>
      <c r="AJZ30" s="3"/>
      <c r="AKA30" s="3"/>
      <c r="AKB30" s="3"/>
      <c r="AKC30" s="3"/>
      <c r="AKD30" s="3"/>
      <c r="AKE30" s="3"/>
      <c r="AKF30" s="3"/>
      <c r="AKG30" s="3"/>
      <c r="AKH30" s="3"/>
      <c r="AKI30" s="3"/>
      <c r="AKJ30" s="3"/>
      <c r="AKK30" s="3"/>
      <c r="AKL30" s="3"/>
      <c r="AKM30" s="3"/>
      <c r="AKN30" s="3"/>
      <c r="AKO30" s="3"/>
      <c r="AKP30" s="3"/>
      <c r="AKQ30" s="3"/>
      <c r="AKR30" s="3"/>
      <c r="AKS30" s="3"/>
      <c r="AKT30" s="3"/>
      <c r="AKU30" s="3"/>
      <c r="AKV30" s="3"/>
      <c r="AKW30" s="3"/>
      <c r="AKX30" s="3"/>
      <c r="AKY30" s="3"/>
      <c r="AKZ30" s="3"/>
      <c r="ALA30" s="3"/>
      <c r="ALB30" s="3"/>
      <c r="ALC30" s="3"/>
      <c r="ALD30" s="3"/>
      <c r="ALE30" s="3"/>
      <c r="ALF30" s="3"/>
      <c r="ALG30" s="3"/>
      <c r="ALH30" s="3"/>
      <c r="ALI30" s="3"/>
      <c r="ALJ30" s="3"/>
      <c r="ALK30" s="3"/>
      <c r="ALL30" s="3"/>
      <c r="ALM30" s="3"/>
      <c r="ALN30" s="3"/>
      <c r="ALO30" s="3"/>
      <c r="ALP30" s="3"/>
      <c r="ALQ30" s="3"/>
      <c r="ALR30" s="3"/>
      <c r="ALS30" s="3"/>
      <c r="ALT30" s="3"/>
      <c r="ALU30" s="3"/>
      <c r="ALV30" s="3"/>
      <c r="ALW30" s="3"/>
      <c r="ALX30" s="3"/>
      <c r="ALY30" s="3"/>
      <c r="ALZ30" s="3"/>
      <c r="AMA30" s="3"/>
      <c r="AMB30" s="3"/>
      <c r="AMC30" s="3"/>
      <c r="AMD30" s="3"/>
      <c r="AME30" s="3"/>
      <c r="AMF30" s="3"/>
      <c r="AMG30" s="3"/>
      <c r="AMH30" s="3"/>
      <c r="AMI30" s="3"/>
      <c r="AMJ30" s="3"/>
      <c r="AMK30" s="3"/>
      <c r="AML30" s="3"/>
      <c r="AMM30" s="3"/>
      <c r="AMN30" s="3"/>
      <c r="AMO30" s="3"/>
      <c r="AMP30" s="3"/>
      <c r="AMQ30" s="3"/>
      <c r="AMR30" s="3"/>
      <c r="AMS30" s="3"/>
      <c r="AMT30" s="3"/>
      <c r="AMU30" s="3"/>
      <c r="AMV30" s="3"/>
      <c r="AMW30" s="3"/>
      <c r="AMX30" s="3"/>
      <c r="AMY30" s="3"/>
      <c r="AMZ30" s="3"/>
      <c r="ANA30" s="3"/>
      <c r="ANB30" s="3"/>
      <c r="ANC30" s="3"/>
      <c r="AND30" s="3"/>
      <c r="ANE30" s="3"/>
      <c r="ANF30" s="3"/>
      <c r="ANG30" s="3"/>
      <c r="ANH30" s="3"/>
      <c r="ANI30" s="3"/>
      <c r="ANJ30" s="3"/>
      <c r="ANK30" s="3"/>
      <c r="ANL30" s="3"/>
      <c r="ANM30" s="3"/>
      <c r="ANN30" s="3"/>
      <c r="ANO30" s="3"/>
      <c r="ANP30" s="3"/>
      <c r="ANQ30" s="3"/>
      <c r="ANR30" s="3"/>
      <c r="ANS30" s="3"/>
      <c r="ANT30" s="3"/>
      <c r="ANU30" s="3"/>
      <c r="ANV30" s="3"/>
      <c r="ANW30" s="3"/>
      <c r="ANX30" s="3"/>
      <c r="ANY30" s="3"/>
      <c r="ANZ30" s="3"/>
      <c r="AOA30" s="3"/>
      <c r="AOB30" s="3"/>
      <c r="AOC30" s="3"/>
      <c r="AOD30" s="3"/>
      <c r="AOE30" s="3"/>
      <c r="AOF30" s="3"/>
      <c r="AOG30" s="3"/>
      <c r="AOH30" s="3"/>
      <c r="AOI30" s="3"/>
      <c r="AOJ30" s="3"/>
      <c r="AOK30" s="3"/>
    </row>
    <row r="31" spans="1:1077" ht="15" customHeight="1" x14ac:dyDescent="0.2">
      <c r="A31" s="195">
        <v>0</v>
      </c>
      <c r="B31" s="196"/>
      <c r="C31" s="196"/>
      <c r="D31" s="197" t="s">
        <v>573</v>
      </c>
      <c r="E31" s="198">
        <v>1</v>
      </c>
      <c r="F31" s="197" t="s">
        <v>430</v>
      </c>
      <c r="G31" s="198">
        <v>1</v>
      </c>
      <c r="H31" s="199" t="s">
        <v>426</v>
      </c>
      <c r="I31" s="197">
        <v>4</v>
      </c>
      <c r="J31" s="197">
        <v>1</v>
      </c>
      <c r="K31" s="197">
        <v>1</v>
      </c>
      <c r="L31" s="198" t="s">
        <v>429</v>
      </c>
      <c r="M31" s="198"/>
      <c r="N31" s="200"/>
      <c r="O31" s="200" t="s">
        <v>574</v>
      </c>
      <c r="P31" s="201" t="s">
        <v>537</v>
      </c>
      <c r="Q31" s="197">
        <v>400</v>
      </c>
      <c r="R31" s="197" t="s">
        <v>538</v>
      </c>
      <c r="S31" s="197"/>
      <c r="T31" s="197"/>
      <c r="U31" s="197"/>
      <c r="V31" s="197"/>
      <c r="W31" s="197"/>
      <c r="X31" s="197"/>
      <c r="Y31" s="197"/>
      <c r="Z31" s="197"/>
      <c r="AA31" s="197" t="s">
        <v>1</v>
      </c>
      <c r="AB31" s="198" t="s">
        <v>2</v>
      </c>
      <c r="AC31" s="198" t="s">
        <v>578</v>
      </c>
      <c r="AD31" s="197" t="s">
        <v>428</v>
      </c>
      <c r="AE31" s="197" t="s">
        <v>428</v>
      </c>
      <c r="AF31" s="197" t="s">
        <v>428</v>
      </c>
      <c r="AG31" s="197" t="s">
        <v>428</v>
      </c>
      <c r="AH31" s="197" t="s">
        <v>428</v>
      </c>
      <c r="AI31" s="197" t="s">
        <v>428</v>
      </c>
      <c r="AJ31" s="197" t="s">
        <v>428</v>
      </c>
      <c r="AK31" s="197" t="s">
        <v>428</v>
      </c>
      <c r="AL31" s="197" t="s">
        <v>428</v>
      </c>
      <c r="AM31" s="197" t="s">
        <v>428</v>
      </c>
      <c r="AN31" s="197" t="s">
        <v>428</v>
      </c>
      <c r="AO31" s="202"/>
      <c r="AP31" s="207"/>
      <c r="AQ31" s="197"/>
      <c r="AR31" s="197"/>
      <c r="AS31" s="197"/>
      <c r="AT31" s="197"/>
      <c r="AU31" s="197"/>
      <c r="AV31" s="197"/>
      <c r="AW31" s="197"/>
      <c r="AX31" s="197"/>
      <c r="AY31" s="197"/>
      <c r="AZ31" s="197"/>
      <c r="BA31" s="197"/>
      <c r="BB31" s="197"/>
      <c r="BC31" s="197"/>
      <c r="BD31" s="197"/>
      <c r="BE31" s="197"/>
      <c r="BF31" s="197"/>
      <c r="BG31" s="197"/>
      <c r="BH31" s="197"/>
      <c r="BI31" s="197"/>
      <c r="BJ31" s="197"/>
      <c r="BK31" s="197"/>
      <c r="BL31" s="197"/>
      <c r="BM31" s="197"/>
      <c r="BN31" s="208"/>
      <c r="BO31" s="208"/>
      <c r="BP31" s="208"/>
      <c r="BQ31" s="208"/>
      <c r="BR31" s="208"/>
      <c r="BS31" s="208"/>
      <c r="BT31" s="208"/>
      <c r="BU31" s="208"/>
      <c r="BV31" s="208"/>
      <c r="BW31" s="208"/>
      <c r="BX31" s="208"/>
      <c r="BY31" s="208"/>
      <c r="BZ31" s="208"/>
      <c r="CA31" s="208"/>
      <c r="CB31" s="208"/>
      <c r="CC31" s="208"/>
      <c r="CD31" s="208"/>
      <c r="CE31" s="208"/>
      <c r="CF31" s="208"/>
      <c r="CG31" s="208"/>
      <c r="CH31" s="208"/>
      <c r="CI31" s="208"/>
      <c r="CJ31" s="208"/>
      <c r="CK31" s="208"/>
      <c r="CL31" s="208"/>
      <c r="CM31" s="208"/>
      <c r="CN31" s="208"/>
      <c r="CO31" s="208"/>
      <c r="CP31" s="208"/>
      <c r="CQ31" s="208"/>
      <c r="CR31" s="208"/>
      <c r="CS31" s="208"/>
      <c r="CT31" s="208"/>
      <c r="CU31" s="208"/>
      <c r="CV31" s="208"/>
      <c r="CW31" s="208"/>
      <c r="CX31" s="208"/>
      <c r="CY31" s="208"/>
      <c r="CZ31" s="208"/>
      <c r="DA31" s="208"/>
      <c r="DB31" s="208"/>
      <c r="DC31" s="208"/>
      <c r="DD31" s="208"/>
      <c r="DE31" s="208"/>
      <c r="DF31" s="208"/>
      <c r="DG31" s="208"/>
      <c r="DH31" s="208"/>
      <c r="DI31" s="208"/>
      <c r="DJ31" s="208"/>
      <c r="DK31" s="208"/>
      <c r="DL31" s="208"/>
      <c r="DM31" s="208"/>
      <c r="DN31" s="208"/>
      <c r="DO31" s="208"/>
      <c r="DP31" s="208"/>
      <c r="DQ31" s="208"/>
      <c r="DR31" s="208"/>
      <c r="DS31" s="208"/>
      <c r="DT31" s="208"/>
      <c r="DU31" s="208"/>
      <c r="DV31" s="208"/>
      <c r="DW31" s="208"/>
      <c r="DX31" s="208"/>
      <c r="DY31" s="208"/>
      <c r="DZ31" s="208"/>
      <c r="EA31" s="208"/>
      <c r="EB31" s="208"/>
      <c r="EC31" s="208"/>
      <c r="ED31" s="208"/>
      <c r="EE31" s="208"/>
      <c r="EF31" s="208"/>
      <c r="EG31" s="208"/>
      <c r="EH31" s="208"/>
      <c r="EI31" s="208"/>
      <c r="EJ31" s="208"/>
      <c r="EK31" s="208"/>
      <c r="EL31" s="208"/>
      <c r="EM31" s="208"/>
      <c r="EN31" s="208"/>
      <c r="EO31" s="208"/>
      <c r="EP31" s="208"/>
      <c r="EQ31" s="208"/>
      <c r="ER31" s="208"/>
      <c r="ES31" s="208"/>
      <c r="ET31" s="208"/>
      <c r="EU31" s="208"/>
      <c r="EV31" s="208"/>
      <c r="EW31" s="208"/>
      <c r="EX31" s="208"/>
      <c r="EY31" s="208"/>
      <c r="EZ31" s="208"/>
      <c r="FA31" s="208"/>
      <c r="FB31" s="208"/>
      <c r="FC31" s="208"/>
      <c r="FD31" s="208"/>
      <c r="FE31" s="208"/>
      <c r="FF31" s="208"/>
      <c r="FG31" s="208"/>
      <c r="FH31" s="208"/>
      <c r="FI31" s="208"/>
      <c r="FJ31" s="208"/>
      <c r="FK31" s="208"/>
      <c r="FL31" s="208"/>
      <c r="FM31" s="208"/>
      <c r="FN31" s="208"/>
      <c r="FO31" s="208"/>
      <c r="FP31" s="208"/>
      <c r="FQ31" s="208"/>
      <c r="FR31" s="208"/>
      <c r="FS31" s="208"/>
      <c r="FT31" s="208"/>
      <c r="FU31" s="208"/>
      <c r="FV31" s="208"/>
      <c r="FW31" s="208"/>
      <c r="FX31" s="208"/>
      <c r="FY31" s="208"/>
      <c r="FZ31" s="208"/>
      <c r="GA31" s="208"/>
      <c r="GB31" s="208"/>
      <c r="GC31" s="208"/>
      <c r="GD31" s="208"/>
      <c r="GE31" s="208"/>
      <c r="GF31" s="208"/>
      <c r="GG31" s="208"/>
      <c r="GH31" s="208"/>
      <c r="GI31" s="208"/>
      <c r="GJ31" s="208"/>
      <c r="GK31" s="208"/>
      <c r="GL31" s="208"/>
      <c r="GM31" s="208"/>
      <c r="GN31" s="208"/>
      <c r="GO31" s="208"/>
      <c r="GP31" s="208"/>
      <c r="GQ31" s="208"/>
      <c r="GR31" s="208"/>
      <c r="GS31" s="208"/>
      <c r="GT31" s="208"/>
      <c r="GU31" s="208"/>
      <c r="GV31" s="208"/>
      <c r="GW31" s="208"/>
      <c r="GX31" s="208"/>
      <c r="GY31" s="208"/>
      <c r="GZ31" s="208"/>
      <c r="HA31" s="208"/>
      <c r="HB31" s="208"/>
      <c r="HC31" s="208"/>
      <c r="HD31" s="208"/>
      <c r="HE31" s="208"/>
      <c r="HF31" s="208"/>
      <c r="HG31" s="208"/>
      <c r="HH31" s="208"/>
      <c r="HI31" s="208"/>
      <c r="HJ31" s="208"/>
      <c r="HK31" s="208"/>
      <c r="HL31" s="208"/>
      <c r="HM31" s="208"/>
      <c r="HN31" s="208"/>
      <c r="HO31" s="208"/>
      <c r="HP31" s="208"/>
      <c r="HQ31" s="208"/>
      <c r="HR31" s="208"/>
      <c r="HS31" s="208"/>
      <c r="HT31" s="208"/>
      <c r="HU31" s="208"/>
      <c r="HV31" s="208"/>
      <c r="HW31" s="208"/>
      <c r="HX31" s="208"/>
      <c r="HY31" s="208"/>
      <c r="HZ31" s="208"/>
      <c r="IA31" s="208"/>
      <c r="IB31" s="208"/>
      <c r="IC31" s="208"/>
      <c r="ID31" s="208"/>
      <c r="IE31" s="208"/>
      <c r="IF31" s="208"/>
      <c r="IG31" s="208"/>
      <c r="IH31" s="208"/>
      <c r="II31" s="208"/>
      <c r="IJ31" s="208"/>
      <c r="IK31" s="208"/>
      <c r="IL31" s="208"/>
      <c r="IM31" s="208"/>
      <c r="IN31" s="208"/>
      <c r="IO31" s="208"/>
      <c r="IP31" s="208"/>
      <c r="IQ31" s="208"/>
      <c r="IR31" s="208"/>
      <c r="IS31" s="208"/>
      <c r="IT31" s="208"/>
      <c r="IU31" s="208"/>
      <c r="IV31" s="208"/>
      <c r="IW31" s="208"/>
      <c r="IX31" s="208"/>
      <c r="IY31" s="208"/>
    </row>
    <row r="32" spans="1:1077" ht="15" customHeight="1" x14ac:dyDescent="0.2">
      <c r="A32" s="195">
        <v>0</v>
      </c>
      <c r="B32" s="196"/>
      <c r="C32" s="196"/>
      <c r="D32" s="197" t="s">
        <v>573</v>
      </c>
      <c r="E32" s="198">
        <v>1</v>
      </c>
      <c r="F32" s="197" t="s">
        <v>430</v>
      </c>
      <c r="G32" s="198">
        <v>1</v>
      </c>
      <c r="H32" s="199" t="s">
        <v>426</v>
      </c>
      <c r="I32" s="197">
        <v>4</v>
      </c>
      <c r="J32" s="197">
        <v>1</v>
      </c>
      <c r="K32" s="197">
        <v>1</v>
      </c>
      <c r="L32" s="198" t="s">
        <v>429</v>
      </c>
      <c r="M32" s="198"/>
      <c r="N32" s="200"/>
      <c r="O32" s="200" t="s">
        <v>574</v>
      </c>
      <c r="P32" s="201" t="s">
        <v>537</v>
      </c>
      <c r="Q32" s="197">
        <v>400</v>
      </c>
      <c r="R32" s="197" t="s">
        <v>538</v>
      </c>
      <c r="S32" s="197"/>
      <c r="T32" s="197"/>
      <c r="U32" s="197"/>
      <c r="V32" s="197"/>
      <c r="W32" s="197"/>
      <c r="X32" s="197"/>
      <c r="Y32" s="197"/>
      <c r="Z32" s="197"/>
      <c r="AA32" s="197" t="s">
        <v>1</v>
      </c>
      <c r="AB32" s="198" t="s">
        <v>2</v>
      </c>
      <c r="AC32" s="198" t="s">
        <v>578</v>
      </c>
      <c r="AD32" s="197" t="s">
        <v>428</v>
      </c>
      <c r="AE32" s="197" t="s">
        <v>428</v>
      </c>
      <c r="AF32" s="197" t="s">
        <v>428</v>
      </c>
      <c r="AG32" s="197" t="s">
        <v>428</v>
      </c>
      <c r="AH32" s="197" t="s">
        <v>428</v>
      </c>
      <c r="AI32" s="197" t="s">
        <v>428</v>
      </c>
      <c r="AJ32" s="197" t="s">
        <v>428</v>
      </c>
      <c r="AK32" s="197" t="s">
        <v>428</v>
      </c>
      <c r="AL32" s="197" t="s">
        <v>428</v>
      </c>
      <c r="AM32" s="197" t="s">
        <v>428</v>
      </c>
      <c r="AN32" s="197" t="s">
        <v>428</v>
      </c>
      <c r="AO32" s="202"/>
      <c r="AP32" s="207"/>
      <c r="AQ32" s="197"/>
      <c r="AR32" s="197"/>
      <c r="AS32" s="197"/>
      <c r="AT32" s="197"/>
      <c r="AU32" s="197"/>
      <c r="AV32" s="197"/>
      <c r="AW32" s="197"/>
      <c r="AX32" s="197"/>
      <c r="AY32" s="197"/>
      <c r="AZ32" s="197"/>
      <c r="BA32" s="197"/>
      <c r="BB32" s="197"/>
      <c r="BC32" s="197"/>
      <c r="BD32" s="197"/>
      <c r="BE32" s="197"/>
      <c r="BF32" s="197"/>
      <c r="BG32" s="197"/>
      <c r="BH32" s="197"/>
      <c r="BI32" s="197"/>
      <c r="BJ32" s="197"/>
      <c r="BK32" s="197"/>
      <c r="BL32" s="197"/>
      <c r="BM32" s="197"/>
      <c r="BN32" s="208"/>
      <c r="BO32" s="208"/>
      <c r="BP32" s="208"/>
      <c r="BQ32" s="208"/>
      <c r="BR32" s="208"/>
      <c r="BS32" s="208"/>
      <c r="BT32" s="208"/>
      <c r="BU32" s="208"/>
      <c r="BV32" s="208"/>
      <c r="BW32" s="208"/>
      <c r="BX32" s="208"/>
      <c r="BY32" s="208"/>
      <c r="BZ32" s="208"/>
      <c r="CA32" s="208"/>
      <c r="CB32" s="208"/>
      <c r="CC32" s="208"/>
      <c r="CD32" s="208"/>
      <c r="CE32" s="208"/>
      <c r="CF32" s="208"/>
      <c r="CG32" s="208"/>
      <c r="CH32" s="208"/>
      <c r="CI32" s="208"/>
      <c r="CJ32" s="208"/>
      <c r="CK32" s="208"/>
      <c r="CL32" s="208"/>
      <c r="CM32" s="208"/>
      <c r="CN32" s="208"/>
      <c r="CO32" s="208"/>
      <c r="CP32" s="208"/>
      <c r="CQ32" s="208"/>
      <c r="CR32" s="208"/>
      <c r="CS32" s="208"/>
      <c r="CT32" s="208"/>
      <c r="CU32" s="208"/>
      <c r="CV32" s="208"/>
      <c r="CW32" s="208"/>
      <c r="CX32" s="208"/>
      <c r="CY32" s="208"/>
      <c r="CZ32" s="208"/>
      <c r="DA32" s="208"/>
      <c r="DB32" s="208"/>
      <c r="DC32" s="208"/>
      <c r="DD32" s="208"/>
      <c r="DE32" s="208"/>
      <c r="DF32" s="208"/>
      <c r="DG32" s="208"/>
      <c r="DH32" s="208"/>
      <c r="DI32" s="208"/>
      <c r="DJ32" s="208"/>
      <c r="DK32" s="208"/>
      <c r="DL32" s="208"/>
      <c r="DM32" s="208"/>
      <c r="DN32" s="208"/>
      <c r="DO32" s="208"/>
      <c r="DP32" s="208"/>
      <c r="DQ32" s="208"/>
      <c r="DR32" s="208"/>
      <c r="DS32" s="208"/>
      <c r="DT32" s="208"/>
      <c r="DU32" s="208"/>
      <c r="DV32" s="208"/>
      <c r="DW32" s="208"/>
      <c r="DX32" s="208"/>
      <c r="DY32" s="208"/>
      <c r="DZ32" s="208"/>
      <c r="EA32" s="208"/>
      <c r="EB32" s="208"/>
      <c r="EC32" s="208"/>
      <c r="ED32" s="208"/>
      <c r="EE32" s="208"/>
      <c r="EF32" s="208"/>
      <c r="EG32" s="208"/>
      <c r="EH32" s="208"/>
      <c r="EI32" s="208"/>
      <c r="EJ32" s="208"/>
      <c r="EK32" s="208"/>
      <c r="EL32" s="208"/>
      <c r="EM32" s="208"/>
      <c r="EN32" s="208"/>
      <c r="EO32" s="208"/>
      <c r="EP32" s="208"/>
      <c r="EQ32" s="208"/>
      <c r="ER32" s="208"/>
      <c r="ES32" s="208"/>
      <c r="ET32" s="208"/>
      <c r="EU32" s="208"/>
      <c r="EV32" s="208"/>
      <c r="EW32" s="208"/>
      <c r="EX32" s="208"/>
      <c r="EY32" s="208"/>
      <c r="EZ32" s="208"/>
      <c r="FA32" s="208"/>
      <c r="FB32" s="208"/>
      <c r="FC32" s="208"/>
      <c r="FD32" s="208"/>
      <c r="FE32" s="208"/>
      <c r="FF32" s="208"/>
      <c r="FG32" s="208"/>
      <c r="FH32" s="208"/>
      <c r="FI32" s="208"/>
      <c r="FJ32" s="208"/>
      <c r="FK32" s="208"/>
      <c r="FL32" s="208"/>
      <c r="FM32" s="208"/>
      <c r="FN32" s="208"/>
      <c r="FO32" s="208"/>
      <c r="FP32" s="208"/>
      <c r="FQ32" s="208"/>
      <c r="FR32" s="208"/>
      <c r="FS32" s="208"/>
      <c r="FT32" s="208"/>
      <c r="FU32" s="208"/>
      <c r="FV32" s="208"/>
      <c r="FW32" s="208"/>
      <c r="FX32" s="208"/>
      <c r="FY32" s="208"/>
      <c r="FZ32" s="208"/>
      <c r="GA32" s="208"/>
      <c r="GB32" s="208"/>
      <c r="GC32" s="208"/>
      <c r="GD32" s="208"/>
      <c r="GE32" s="208"/>
      <c r="GF32" s="208"/>
      <c r="GG32" s="208"/>
      <c r="GH32" s="208"/>
      <c r="GI32" s="208"/>
      <c r="GJ32" s="208"/>
      <c r="GK32" s="208"/>
      <c r="GL32" s="208"/>
      <c r="GM32" s="208"/>
      <c r="GN32" s="208"/>
      <c r="GO32" s="208"/>
      <c r="GP32" s="208"/>
      <c r="GQ32" s="208"/>
      <c r="GR32" s="208"/>
      <c r="GS32" s="208"/>
      <c r="GT32" s="208"/>
      <c r="GU32" s="208"/>
      <c r="GV32" s="208"/>
      <c r="GW32" s="208"/>
      <c r="GX32" s="208"/>
      <c r="GY32" s="208"/>
      <c r="GZ32" s="208"/>
      <c r="HA32" s="208"/>
      <c r="HB32" s="208"/>
      <c r="HC32" s="208"/>
      <c r="HD32" s="208"/>
      <c r="HE32" s="208"/>
      <c r="HF32" s="208"/>
      <c r="HG32" s="208"/>
      <c r="HH32" s="208"/>
      <c r="HI32" s="208"/>
      <c r="HJ32" s="208"/>
      <c r="HK32" s="208"/>
      <c r="HL32" s="208"/>
      <c r="HM32" s="208"/>
      <c r="HN32" s="208"/>
      <c r="HO32" s="208"/>
      <c r="HP32" s="208"/>
      <c r="HQ32" s="208"/>
      <c r="HR32" s="208"/>
      <c r="HS32" s="208"/>
      <c r="HT32" s="208"/>
      <c r="HU32" s="208"/>
      <c r="HV32" s="208"/>
      <c r="HW32" s="208"/>
      <c r="HX32" s="208"/>
      <c r="HY32" s="208"/>
      <c r="HZ32" s="208"/>
      <c r="IA32" s="208"/>
      <c r="IB32" s="208"/>
      <c r="IC32" s="208"/>
      <c r="ID32" s="208"/>
      <c r="IE32" s="208"/>
      <c r="IF32" s="208"/>
      <c r="IG32" s="208"/>
      <c r="IH32" s="208"/>
      <c r="II32" s="208"/>
      <c r="IJ32" s="208"/>
      <c r="IK32" s="208"/>
      <c r="IL32" s="208"/>
      <c r="IM32" s="208"/>
      <c r="IN32" s="208"/>
      <c r="IO32" s="208"/>
      <c r="IP32" s="208"/>
      <c r="IQ32" s="208"/>
      <c r="IR32" s="208"/>
      <c r="IS32" s="208"/>
      <c r="IT32" s="208"/>
      <c r="IU32" s="208"/>
      <c r="IV32" s="208"/>
      <c r="IW32" s="208"/>
      <c r="IX32" s="208"/>
      <c r="IY32" s="208"/>
    </row>
    <row r="33" spans="1:259" ht="15" customHeight="1" x14ac:dyDescent="0.2">
      <c r="A33" s="195">
        <v>0</v>
      </c>
      <c r="B33" s="196"/>
      <c r="C33" s="196"/>
      <c r="D33" s="197" t="s">
        <v>573</v>
      </c>
      <c r="E33" s="198">
        <v>1</v>
      </c>
      <c r="F33" s="197" t="s">
        <v>430</v>
      </c>
      <c r="G33" s="198">
        <v>1</v>
      </c>
      <c r="H33" s="199" t="s">
        <v>426</v>
      </c>
      <c r="I33" s="197">
        <v>4</v>
      </c>
      <c r="J33" s="197">
        <v>1</v>
      </c>
      <c r="K33" s="197">
        <v>1</v>
      </c>
      <c r="L33" s="198" t="s">
        <v>429</v>
      </c>
      <c r="M33" s="198"/>
      <c r="N33" s="200"/>
      <c r="O33" s="200" t="s">
        <v>574</v>
      </c>
      <c r="P33" s="201" t="s">
        <v>537</v>
      </c>
      <c r="Q33" s="197">
        <v>400</v>
      </c>
      <c r="R33" s="197" t="s">
        <v>538</v>
      </c>
      <c r="S33" s="197"/>
      <c r="T33" s="197"/>
      <c r="U33" s="197"/>
      <c r="V33" s="197"/>
      <c r="W33" s="197"/>
      <c r="X33" s="197"/>
      <c r="Y33" s="197"/>
      <c r="Z33" s="197"/>
      <c r="AA33" s="197" t="s">
        <v>1</v>
      </c>
      <c r="AB33" s="198" t="s">
        <v>2</v>
      </c>
      <c r="AC33" s="198" t="s">
        <v>578</v>
      </c>
      <c r="AD33" s="197" t="s">
        <v>428</v>
      </c>
      <c r="AE33" s="197" t="s">
        <v>428</v>
      </c>
      <c r="AF33" s="197" t="s">
        <v>428</v>
      </c>
      <c r="AG33" s="197" t="s">
        <v>428</v>
      </c>
      <c r="AH33" s="197" t="s">
        <v>428</v>
      </c>
      <c r="AI33" s="197" t="s">
        <v>428</v>
      </c>
      <c r="AJ33" s="197" t="s">
        <v>428</v>
      </c>
      <c r="AK33" s="197" t="s">
        <v>428</v>
      </c>
      <c r="AL33" s="197" t="s">
        <v>428</v>
      </c>
      <c r="AM33" s="197" t="s">
        <v>428</v>
      </c>
      <c r="AN33" s="197" t="s">
        <v>428</v>
      </c>
      <c r="AO33" s="202"/>
      <c r="AP33" s="207"/>
      <c r="AQ33" s="197"/>
      <c r="AR33" s="197"/>
      <c r="AS33" s="197"/>
      <c r="AT33" s="197"/>
      <c r="AU33" s="197"/>
      <c r="AV33" s="197"/>
      <c r="AW33" s="197"/>
      <c r="AX33" s="197"/>
      <c r="AY33" s="197"/>
      <c r="AZ33" s="197"/>
      <c r="BA33" s="197"/>
      <c r="BB33" s="197"/>
      <c r="BC33" s="197"/>
      <c r="BD33" s="197"/>
      <c r="BE33" s="197"/>
      <c r="BF33" s="197"/>
      <c r="BG33" s="197"/>
      <c r="BH33" s="197"/>
      <c r="BI33" s="197"/>
      <c r="BJ33" s="197"/>
      <c r="BK33" s="197"/>
      <c r="BL33" s="197"/>
      <c r="BM33" s="197"/>
      <c r="BN33" s="208"/>
      <c r="BO33" s="208"/>
      <c r="BP33" s="208"/>
      <c r="BQ33" s="208"/>
      <c r="BR33" s="208"/>
      <c r="BS33" s="208"/>
      <c r="BT33" s="208"/>
      <c r="BU33" s="208"/>
      <c r="BV33" s="208"/>
      <c r="BW33" s="208"/>
      <c r="BX33" s="208"/>
      <c r="BY33" s="208"/>
      <c r="BZ33" s="208"/>
      <c r="CA33" s="208"/>
      <c r="CB33" s="208"/>
      <c r="CC33" s="208"/>
      <c r="CD33" s="208"/>
      <c r="CE33" s="208"/>
      <c r="CF33" s="208"/>
      <c r="CG33" s="208"/>
      <c r="CH33" s="208"/>
      <c r="CI33" s="208"/>
      <c r="CJ33" s="208"/>
      <c r="CK33" s="208"/>
      <c r="CL33" s="208"/>
      <c r="CM33" s="208"/>
      <c r="CN33" s="208"/>
      <c r="CO33" s="208"/>
      <c r="CP33" s="208"/>
      <c r="CQ33" s="208"/>
      <c r="CR33" s="208"/>
      <c r="CS33" s="208"/>
      <c r="CT33" s="208"/>
      <c r="CU33" s="208"/>
      <c r="CV33" s="208"/>
      <c r="CW33" s="208"/>
      <c r="CX33" s="208"/>
      <c r="CY33" s="208"/>
      <c r="CZ33" s="208"/>
      <c r="DA33" s="208"/>
      <c r="DB33" s="208"/>
      <c r="DC33" s="208"/>
      <c r="DD33" s="208"/>
      <c r="DE33" s="208"/>
      <c r="DF33" s="208"/>
      <c r="DG33" s="208"/>
      <c r="DH33" s="208"/>
      <c r="DI33" s="208"/>
      <c r="DJ33" s="208"/>
      <c r="DK33" s="208"/>
      <c r="DL33" s="208"/>
      <c r="DM33" s="208"/>
      <c r="DN33" s="208"/>
      <c r="DO33" s="208"/>
      <c r="DP33" s="208"/>
      <c r="DQ33" s="208"/>
      <c r="DR33" s="208"/>
      <c r="DS33" s="208"/>
      <c r="DT33" s="208"/>
      <c r="DU33" s="208"/>
      <c r="DV33" s="208"/>
      <c r="DW33" s="208"/>
      <c r="DX33" s="208"/>
      <c r="DY33" s="208"/>
      <c r="DZ33" s="208"/>
      <c r="EA33" s="208"/>
      <c r="EB33" s="208"/>
      <c r="EC33" s="208"/>
      <c r="ED33" s="208"/>
      <c r="EE33" s="208"/>
      <c r="EF33" s="208"/>
      <c r="EG33" s="208"/>
      <c r="EH33" s="208"/>
      <c r="EI33" s="208"/>
      <c r="EJ33" s="208"/>
      <c r="EK33" s="208"/>
      <c r="EL33" s="208"/>
      <c r="EM33" s="208"/>
      <c r="EN33" s="208"/>
      <c r="EO33" s="208"/>
      <c r="EP33" s="208"/>
      <c r="EQ33" s="208"/>
      <c r="ER33" s="208"/>
      <c r="ES33" s="208"/>
      <c r="ET33" s="208"/>
      <c r="EU33" s="208"/>
      <c r="EV33" s="208"/>
      <c r="EW33" s="208"/>
      <c r="EX33" s="208"/>
      <c r="EY33" s="208"/>
      <c r="EZ33" s="208"/>
      <c r="FA33" s="208"/>
      <c r="FB33" s="208"/>
      <c r="FC33" s="208"/>
      <c r="FD33" s="208"/>
      <c r="FE33" s="208"/>
      <c r="FF33" s="208"/>
      <c r="FG33" s="208"/>
      <c r="FH33" s="208"/>
      <c r="FI33" s="208"/>
      <c r="FJ33" s="208"/>
      <c r="FK33" s="208"/>
      <c r="FL33" s="208"/>
      <c r="FM33" s="208"/>
      <c r="FN33" s="208"/>
      <c r="FO33" s="208"/>
      <c r="FP33" s="208"/>
      <c r="FQ33" s="208"/>
      <c r="FR33" s="208"/>
      <c r="FS33" s="208"/>
      <c r="FT33" s="208"/>
      <c r="FU33" s="208"/>
      <c r="FV33" s="208"/>
      <c r="FW33" s="208"/>
      <c r="FX33" s="208"/>
      <c r="FY33" s="208"/>
      <c r="FZ33" s="208"/>
      <c r="GA33" s="208"/>
      <c r="GB33" s="208"/>
      <c r="GC33" s="208"/>
      <c r="GD33" s="208"/>
      <c r="GE33" s="208"/>
      <c r="GF33" s="208"/>
      <c r="GG33" s="208"/>
      <c r="GH33" s="208"/>
      <c r="GI33" s="208"/>
      <c r="GJ33" s="208"/>
      <c r="GK33" s="208"/>
      <c r="GL33" s="208"/>
      <c r="GM33" s="208"/>
      <c r="GN33" s="208"/>
      <c r="GO33" s="208"/>
      <c r="GP33" s="208"/>
      <c r="GQ33" s="208"/>
      <c r="GR33" s="208"/>
      <c r="GS33" s="208"/>
      <c r="GT33" s="208"/>
      <c r="GU33" s="208"/>
      <c r="GV33" s="208"/>
      <c r="GW33" s="208"/>
      <c r="GX33" s="208"/>
      <c r="GY33" s="208"/>
      <c r="GZ33" s="208"/>
      <c r="HA33" s="208"/>
      <c r="HB33" s="208"/>
      <c r="HC33" s="208"/>
      <c r="HD33" s="208"/>
      <c r="HE33" s="208"/>
      <c r="HF33" s="208"/>
      <c r="HG33" s="208"/>
      <c r="HH33" s="208"/>
      <c r="HI33" s="208"/>
      <c r="HJ33" s="208"/>
      <c r="HK33" s="208"/>
      <c r="HL33" s="208"/>
      <c r="HM33" s="208"/>
      <c r="HN33" s="208"/>
      <c r="HO33" s="208"/>
      <c r="HP33" s="208"/>
      <c r="HQ33" s="208"/>
      <c r="HR33" s="208"/>
      <c r="HS33" s="208"/>
      <c r="HT33" s="208"/>
      <c r="HU33" s="208"/>
      <c r="HV33" s="208"/>
      <c r="HW33" s="208"/>
      <c r="HX33" s="208"/>
      <c r="HY33" s="208"/>
      <c r="HZ33" s="208"/>
      <c r="IA33" s="208"/>
      <c r="IB33" s="208"/>
      <c r="IC33" s="208"/>
      <c r="ID33" s="208"/>
      <c r="IE33" s="208"/>
      <c r="IF33" s="208"/>
      <c r="IG33" s="208"/>
      <c r="IH33" s="208"/>
      <c r="II33" s="208"/>
      <c r="IJ33" s="208"/>
      <c r="IK33" s="208"/>
      <c r="IL33" s="208"/>
      <c r="IM33" s="208"/>
      <c r="IN33" s="208"/>
      <c r="IO33" s="208"/>
      <c r="IP33" s="208"/>
      <c r="IQ33" s="208"/>
      <c r="IR33" s="208"/>
      <c r="IS33" s="208"/>
      <c r="IT33" s="208"/>
      <c r="IU33" s="208"/>
      <c r="IV33" s="208"/>
      <c r="IW33" s="208"/>
      <c r="IX33" s="208"/>
      <c r="IY33" s="208"/>
    </row>
    <row r="34" spans="1:259" ht="15" customHeight="1" x14ac:dyDescent="0.2">
      <c r="A34" s="195">
        <v>0</v>
      </c>
      <c r="B34" s="196"/>
      <c r="C34" s="196"/>
      <c r="D34" s="197" t="s">
        <v>573</v>
      </c>
      <c r="E34" s="198">
        <v>1</v>
      </c>
      <c r="F34" s="197" t="s">
        <v>430</v>
      </c>
      <c r="G34" s="198">
        <v>1</v>
      </c>
      <c r="H34" s="199" t="s">
        <v>426</v>
      </c>
      <c r="I34" s="197">
        <v>4</v>
      </c>
      <c r="J34" s="197">
        <v>1</v>
      </c>
      <c r="K34" s="197">
        <v>1</v>
      </c>
      <c r="L34" s="198" t="s">
        <v>429</v>
      </c>
      <c r="M34" s="198"/>
      <c r="N34" s="200"/>
      <c r="O34" s="200" t="s">
        <v>574</v>
      </c>
      <c r="P34" s="201" t="s">
        <v>537</v>
      </c>
      <c r="Q34" s="197">
        <v>400</v>
      </c>
      <c r="R34" s="197" t="s">
        <v>538</v>
      </c>
      <c r="S34" s="197"/>
      <c r="T34" s="197"/>
      <c r="U34" s="197"/>
      <c r="V34" s="197"/>
      <c r="W34" s="197"/>
      <c r="X34" s="197"/>
      <c r="Y34" s="197"/>
      <c r="Z34" s="197"/>
      <c r="AA34" s="197" t="s">
        <v>1</v>
      </c>
      <c r="AB34" s="198" t="s">
        <v>2</v>
      </c>
      <c r="AC34" s="198" t="s">
        <v>578</v>
      </c>
      <c r="AD34" s="197" t="s">
        <v>428</v>
      </c>
      <c r="AE34" s="197" t="s">
        <v>428</v>
      </c>
      <c r="AF34" s="197" t="s">
        <v>428</v>
      </c>
      <c r="AG34" s="197" t="s">
        <v>428</v>
      </c>
      <c r="AH34" s="197" t="s">
        <v>428</v>
      </c>
      <c r="AI34" s="197" t="s">
        <v>428</v>
      </c>
      <c r="AJ34" s="197" t="s">
        <v>428</v>
      </c>
      <c r="AK34" s="197" t="s">
        <v>428</v>
      </c>
      <c r="AL34" s="197" t="s">
        <v>428</v>
      </c>
      <c r="AM34" s="197" t="s">
        <v>428</v>
      </c>
      <c r="AN34" s="197" t="s">
        <v>428</v>
      </c>
      <c r="AO34" s="202"/>
      <c r="AP34" s="207"/>
      <c r="AQ34" s="197"/>
      <c r="AR34" s="197"/>
      <c r="AS34" s="197"/>
      <c r="AT34" s="197"/>
      <c r="AU34" s="197"/>
      <c r="AV34" s="197"/>
      <c r="AW34" s="197"/>
      <c r="AX34" s="197"/>
      <c r="AY34" s="197"/>
      <c r="AZ34" s="197"/>
      <c r="BA34" s="197"/>
      <c r="BB34" s="197"/>
      <c r="BC34" s="197"/>
      <c r="BD34" s="197"/>
      <c r="BE34" s="197"/>
      <c r="BF34" s="197"/>
      <c r="BG34" s="197"/>
      <c r="BH34" s="197"/>
      <c r="BI34" s="197"/>
      <c r="BJ34" s="197"/>
      <c r="BK34" s="197"/>
      <c r="BL34" s="197"/>
      <c r="BM34" s="197"/>
      <c r="BN34" s="208"/>
      <c r="BO34" s="208"/>
      <c r="BP34" s="208"/>
      <c r="BQ34" s="208"/>
      <c r="BR34" s="208"/>
      <c r="BS34" s="208"/>
      <c r="BT34" s="208"/>
      <c r="BU34" s="208"/>
      <c r="BV34" s="208"/>
      <c r="BW34" s="208"/>
      <c r="BX34" s="208"/>
      <c r="BY34" s="208"/>
      <c r="BZ34" s="208"/>
      <c r="CA34" s="208"/>
      <c r="CB34" s="208"/>
      <c r="CC34" s="208"/>
      <c r="CD34" s="208"/>
      <c r="CE34" s="208"/>
      <c r="CF34" s="208"/>
      <c r="CG34" s="208"/>
      <c r="CH34" s="208"/>
      <c r="CI34" s="208"/>
      <c r="CJ34" s="208"/>
      <c r="CK34" s="208"/>
      <c r="CL34" s="208"/>
      <c r="CM34" s="208"/>
      <c r="CN34" s="208"/>
      <c r="CO34" s="208"/>
      <c r="CP34" s="208"/>
      <c r="CQ34" s="208"/>
      <c r="CR34" s="208"/>
      <c r="CS34" s="208"/>
      <c r="CT34" s="208"/>
      <c r="CU34" s="208"/>
      <c r="CV34" s="208"/>
      <c r="CW34" s="208"/>
      <c r="CX34" s="208"/>
      <c r="CY34" s="208"/>
      <c r="CZ34" s="208"/>
      <c r="DA34" s="208"/>
      <c r="DB34" s="208"/>
      <c r="DC34" s="208"/>
      <c r="DD34" s="208"/>
      <c r="DE34" s="208"/>
      <c r="DF34" s="208"/>
      <c r="DG34" s="208"/>
      <c r="DH34" s="208"/>
      <c r="DI34" s="208"/>
      <c r="DJ34" s="208"/>
      <c r="DK34" s="208"/>
      <c r="DL34" s="208"/>
      <c r="DM34" s="208"/>
      <c r="DN34" s="208"/>
      <c r="DO34" s="208"/>
      <c r="DP34" s="208"/>
      <c r="DQ34" s="208"/>
      <c r="DR34" s="208"/>
      <c r="DS34" s="208"/>
      <c r="DT34" s="208"/>
      <c r="DU34" s="208"/>
      <c r="DV34" s="208"/>
      <c r="DW34" s="208"/>
      <c r="DX34" s="208"/>
      <c r="DY34" s="208"/>
      <c r="DZ34" s="208"/>
      <c r="EA34" s="208"/>
      <c r="EB34" s="208"/>
      <c r="EC34" s="208"/>
      <c r="ED34" s="208"/>
      <c r="EE34" s="208"/>
      <c r="EF34" s="208"/>
      <c r="EG34" s="208"/>
      <c r="EH34" s="208"/>
      <c r="EI34" s="208"/>
      <c r="EJ34" s="208"/>
      <c r="EK34" s="208"/>
      <c r="EL34" s="208"/>
      <c r="EM34" s="208"/>
      <c r="EN34" s="208"/>
      <c r="EO34" s="208"/>
      <c r="EP34" s="208"/>
      <c r="EQ34" s="208"/>
      <c r="ER34" s="208"/>
      <c r="ES34" s="208"/>
      <c r="ET34" s="208"/>
      <c r="EU34" s="208"/>
      <c r="EV34" s="208"/>
      <c r="EW34" s="208"/>
      <c r="EX34" s="208"/>
      <c r="EY34" s="208"/>
      <c r="EZ34" s="208"/>
      <c r="FA34" s="208"/>
      <c r="FB34" s="208"/>
      <c r="FC34" s="208"/>
      <c r="FD34" s="208"/>
      <c r="FE34" s="208"/>
      <c r="FF34" s="208"/>
      <c r="FG34" s="208"/>
      <c r="FH34" s="208"/>
      <c r="FI34" s="208"/>
      <c r="FJ34" s="208"/>
      <c r="FK34" s="208"/>
      <c r="FL34" s="208"/>
      <c r="FM34" s="208"/>
      <c r="FN34" s="208"/>
      <c r="FO34" s="208"/>
      <c r="FP34" s="208"/>
      <c r="FQ34" s="208"/>
      <c r="FR34" s="208"/>
      <c r="FS34" s="208"/>
      <c r="FT34" s="208"/>
      <c r="FU34" s="208"/>
      <c r="FV34" s="208"/>
      <c r="FW34" s="208"/>
      <c r="FX34" s="208"/>
      <c r="FY34" s="208"/>
      <c r="FZ34" s="208"/>
      <c r="GA34" s="208"/>
      <c r="GB34" s="208"/>
      <c r="GC34" s="208"/>
      <c r="GD34" s="208"/>
      <c r="GE34" s="208"/>
      <c r="GF34" s="208"/>
      <c r="GG34" s="208"/>
      <c r="GH34" s="208"/>
      <c r="GI34" s="208"/>
      <c r="GJ34" s="208"/>
      <c r="GK34" s="208"/>
      <c r="GL34" s="208"/>
      <c r="GM34" s="208"/>
      <c r="GN34" s="208"/>
      <c r="GO34" s="208"/>
      <c r="GP34" s="208"/>
      <c r="GQ34" s="208"/>
      <c r="GR34" s="208"/>
      <c r="GS34" s="208"/>
      <c r="GT34" s="208"/>
      <c r="GU34" s="208"/>
      <c r="GV34" s="208"/>
      <c r="GW34" s="208"/>
      <c r="GX34" s="208"/>
      <c r="GY34" s="208"/>
      <c r="GZ34" s="208"/>
      <c r="HA34" s="208"/>
      <c r="HB34" s="208"/>
      <c r="HC34" s="208"/>
      <c r="HD34" s="208"/>
      <c r="HE34" s="208"/>
      <c r="HF34" s="208"/>
      <c r="HG34" s="208"/>
      <c r="HH34" s="208"/>
      <c r="HI34" s="208"/>
      <c r="HJ34" s="208"/>
      <c r="HK34" s="208"/>
      <c r="HL34" s="208"/>
      <c r="HM34" s="208"/>
      <c r="HN34" s="208"/>
      <c r="HO34" s="208"/>
      <c r="HP34" s="208"/>
      <c r="HQ34" s="208"/>
      <c r="HR34" s="208"/>
      <c r="HS34" s="208"/>
      <c r="HT34" s="208"/>
      <c r="HU34" s="208"/>
      <c r="HV34" s="208"/>
      <c r="HW34" s="208"/>
      <c r="HX34" s="208"/>
      <c r="HY34" s="208"/>
      <c r="HZ34" s="208"/>
      <c r="IA34" s="208"/>
      <c r="IB34" s="208"/>
      <c r="IC34" s="208"/>
      <c r="ID34" s="208"/>
      <c r="IE34" s="208"/>
      <c r="IF34" s="208"/>
      <c r="IG34" s="208"/>
      <c r="IH34" s="208"/>
      <c r="II34" s="208"/>
      <c r="IJ34" s="208"/>
      <c r="IK34" s="208"/>
      <c r="IL34" s="208"/>
      <c r="IM34" s="208"/>
      <c r="IN34" s="208"/>
      <c r="IO34" s="208"/>
      <c r="IP34" s="208"/>
      <c r="IQ34" s="208"/>
      <c r="IR34" s="208"/>
      <c r="IS34" s="208"/>
      <c r="IT34" s="208"/>
      <c r="IU34" s="208"/>
      <c r="IV34" s="208"/>
      <c r="IW34" s="208"/>
      <c r="IX34" s="208"/>
      <c r="IY34" s="208"/>
    </row>
    <row r="35" spans="1:259" ht="15" customHeight="1" x14ac:dyDescent="0.2">
      <c r="A35" s="195">
        <v>0</v>
      </c>
      <c r="B35" s="196"/>
      <c r="C35" s="196"/>
      <c r="D35" s="197" t="s">
        <v>573</v>
      </c>
      <c r="E35" s="198">
        <v>1</v>
      </c>
      <c r="F35" s="197" t="s">
        <v>430</v>
      </c>
      <c r="G35" s="198">
        <v>1</v>
      </c>
      <c r="H35" s="199" t="s">
        <v>426</v>
      </c>
      <c r="I35" s="197">
        <v>4</v>
      </c>
      <c r="J35" s="197">
        <v>1</v>
      </c>
      <c r="K35" s="197">
        <v>1</v>
      </c>
      <c r="L35" s="198" t="s">
        <v>429</v>
      </c>
      <c r="M35" s="198"/>
      <c r="N35" s="200"/>
      <c r="O35" s="200" t="s">
        <v>574</v>
      </c>
      <c r="P35" s="201" t="s">
        <v>537</v>
      </c>
      <c r="Q35" s="197">
        <v>400</v>
      </c>
      <c r="R35" s="197" t="s">
        <v>538</v>
      </c>
      <c r="S35" s="197"/>
      <c r="T35" s="197"/>
      <c r="U35" s="197"/>
      <c r="V35" s="197"/>
      <c r="W35" s="197"/>
      <c r="X35" s="197"/>
      <c r="Y35" s="197"/>
      <c r="Z35" s="197"/>
      <c r="AA35" s="197" t="s">
        <v>1</v>
      </c>
      <c r="AB35" s="198" t="s">
        <v>2</v>
      </c>
      <c r="AC35" s="198" t="s">
        <v>578</v>
      </c>
      <c r="AD35" s="197" t="s">
        <v>428</v>
      </c>
      <c r="AE35" s="197" t="s">
        <v>428</v>
      </c>
      <c r="AF35" s="197" t="s">
        <v>428</v>
      </c>
      <c r="AG35" s="197" t="s">
        <v>428</v>
      </c>
      <c r="AH35" s="197" t="s">
        <v>428</v>
      </c>
      <c r="AI35" s="197" t="s">
        <v>428</v>
      </c>
      <c r="AJ35" s="197" t="s">
        <v>428</v>
      </c>
      <c r="AK35" s="197" t="s">
        <v>428</v>
      </c>
      <c r="AL35" s="197" t="s">
        <v>428</v>
      </c>
      <c r="AM35" s="197" t="s">
        <v>428</v>
      </c>
      <c r="AN35" s="197" t="s">
        <v>428</v>
      </c>
      <c r="AO35" s="202"/>
      <c r="AP35" s="207"/>
      <c r="AQ35" s="197"/>
      <c r="AR35" s="197"/>
      <c r="AS35" s="197"/>
      <c r="AT35" s="197"/>
      <c r="AU35" s="197"/>
      <c r="AV35" s="197"/>
      <c r="AW35" s="197"/>
      <c r="AX35" s="197"/>
      <c r="AY35" s="197"/>
      <c r="AZ35" s="197"/>
      <c r="BA35" s="197"/>
      <c r="BB35" s="197"/>
      <c r="BC35" s="197"/>
      <c r="BD35" s="197"/>
      <c r="BE35" s="197"/>
      <c r="BF35" s="197"/>
      <c r="BG35" s="197"/>
      <c r="BH35" s="197"/>
      <c r="BI35" s="197"/>
      <c r="BJ35" s="197"/>
      <c r="BK35" s="197"/>
      <c r="BL35" s="197"/>
      <c r="BM35" s="197"/>
      <c r="BN35" s="208"/>
      <c r="BO35" s="208"/>
      <c r="BP35" s="208"/>
      <c r="BQ35" s="208"/>
      <c r="BR35" s="208"/>
      <c r="BS35" s="208"/>
      <c r="BT35" s="208"/>
      <c r="BU35" s="208"/>
      <c r="BV35" s="208"/>
      <c r="BW35" s="208"/>
      <c r="BX35" s="208"/>
      <c r="BY35" s="208"/>
      <c r="BZ35" s="208"/>
      <c r="CA35" s="208"/>
      <c r="CB35" s="208"/>
      <c r="CC35" s="208"/>
      <c r="CD35" s="208"/>
      <c r="CE35" s="208"/>
      <c r="CF35" s="208"/>
      <c r="CG35" s="208"/>
      <c r="CH35" s="208"/>
      <c r="CI35" s="208"/>
      <c r="CJ35" s="208"/>
      <c r="CK35" s="208"/>
      <c r="CL35" s="208"/>
      <c r="CM35" s="208"/>
      <c r="CN35" s="208"/>
      <c r="CO35" s="208"/>
      <c r="CP35" s="208"/>
      <c r="CQ35" s="208"/>
      <c r="CR35" s="208"/>
      <c r="CS35" s="208"/>
      <c r="CT35" s="208"/>
      <c r="CU35" s="208"/>
      <c r="CV35" s="208"/>
      <c r="CW35" s="208"/>
      <c r="CX35" s="208"/>
      <c r="CY35" s="208"/>
      <c r="CZ35" s="208"/>
      <c r="DA35" s="208"/>
      <c r="DB35" s="208"/>
      <c r="DC35" s="208"/>
      <c r="DD35" s="208"/>
      <c r="DE35" s="208"/>
      <c r="DF35" s="208"/>
      <c r="DG35" s="208"/>
      <c r="DH35" s="208"/>
      <c r="DI35" s="208"/>
      <c r="DJ35" s="208"/>
      <c r="DK35" s="208"/>
      <c r="DL35" s="208"/>
      <c r="DM35" s="208"/>
      <c r="DN35" s="208"/>
      <c r="DO35" s="208"/>
      <c r="DP35" s="208"/>
      <c r="DQ35" s="208"/>
      <c r="DR35" s="208"/>
      <c r="DS35" s="208"/>
      <c r="DT35" s="208"/>
      <c r="DU35" s="208"/>
      <c r="DV35" s="208"/>
      <c r="DW35" s="208"/>
      <c r="DX35" s="208"/>
      <c r="DY35" s="208"/>
      <c r="DZ35" s="208"/>
      <c r="EA35" s="208"/>
      <c r="EB35" s="208"/>
      <c r="EC35" s="208"/>
      <c r="ED35" s="208"/>
      <c r="EE35" s="208"/>
      <c r="EF35" s="208"/>
      <c r="EG35" s="208"/>
      <c r="EH35" s="208"/>
      <c r="EI35" s="208"/>
      <c r="EJ35" s="208"/>
      <c r="EK35" s="208"/>
      <c r="EL35" s="208"/>
      <c r="EM35" s="208"/>
      <c r="EN35" s="208"/>
      <c r="EO35" s="208"/>
      <c r="EP35" s="208"/>
      <c r="EQ35" s="208"/>
      <c r="ER35" s="208"/>
      <c r="ES35" s="208"/>
      <c r="ET35" s="208"/>
      <c r="EU35" s="208"/>
      <c r="EV35" s="208"/>
      <c r="EW35" s="208"/>
      <c r="EX35" s="208"/>
      <c r="EY35" s="208"/>
      <c r="EZ35" s="208"/>
      <c r="FA35" s="208"/>
      <c r="FB35" s="208"/>
      <c r="FC35" s="208"/>
      <c r="FD35" s="208"/>
      <c r="FE35" s="208"/>
      <c r="FF35" s="208"/>
      <c r="FG35" s="208"/>
      <c r="FH35" s="208"/>
      <c r="FI35" s="208"/>
      <c r="FJ35" s="208"/>
      <c r="FK35" s="208"/>
      <c r="FL35" s="208"/>
      <c r="FM35" s="208"/>
      <c r="FN35" s="208"/>
      <c r="FO35" s="208"/>
      <c r="FP35" s="208"/>
      <c r="FQ35" s="208"/>
      <c r="FR35" s="208"/>
      <c r="FS35" s="208"/>
      <c r="FT35" s="208"/>
      <c r="FU35" s="208"/>
      <c r="FV35" s="208"/>
      <c r="FW35" s="208"/>
      <c r="FX35" s="208"/>
      <c r="FY35" s="208"/>
      <c r="FZ35" s="208"/>
      <c r="GA35" s="208"/>
      <c r="GB35" s="208"/>
      <c r="GC35" s="208"/>
      <c r="GD35" s="208"/>
      <c r="GE35" s="208"/>
      <c r="GF35" s="208"/>
      <c r="GG35" s="208"/>
      <c r="GH35" s="208"/>
      <c r="GI35" s="208"/>
      <c r="GJ35" s="208"/>
      <c r="GK35" s="208"/>
      <c r="GL35" s="208"/>
      <c r="GM35" s="208"/>
      <c r="GN35" s="208"/>
      <c r="GO35" s="208"/>
      <c r="GP35" s="208"/>
      <c r="GQ35" s="208"/>
      <c r="GR35" s="208"/>
      <c r="GS35" s="208"/>
      <c r="GT35" s="208"/>
      <c r="GU35" s="208"/>
      <c r="GV35" s="208"/>
      <c r="GW35" s="208"/>
      <c r="GX35" s="208"/>
      <c r="GY35" s="208"/>
      <c r="GZ35" s="208"/>
      <c r="HA35" s="208"/>
      <c r="HB35" s="208"/>
      <c r="HC35" s="208"/>
      <c r="HD35" s="208"/>
      <c r="HE35" s="208"/>
      <c r="HF35" s="208"/>
      <c r="HG35" s="208"/>
      <c r="HH35" s="208"/>
      <c r="HI35" s="208"/>
      <c r="HJ35" s="208"/>
      <c r="HK35" s="208"/>
      <c r="HL35" s="208"/>
      <c r="HM35" s="208"/>
      <c r="HN35" s="208"/>
      <c r="HO35" s="208"/>
      <c r="HP35" s="208"/>
      <c r="HQ35" s="208"/>
      <c r="HR35" s="208"/>
      <c r="HS35" s="208"/>
      <c r="HT35" s="208"/>
      <c r="HU35" s="208"/>
      <c r="HV35" s="208"/>
      <c r="HW35" s="208"/>
      <c r="HX35" s="208"/>
      <c r="HY35" s="208"/>
      <c r="HZ35" s="208"/>
      <c r="IA35" s="208"/>
      <c r="IB35" s="208"/>
      <c r="IC35" s="208"/>
      <c r="ID35" s="208"/>
      <c r="IE35" s="208"/>
      <c r="IF35" s="208"/>
      <c r="IG35" s="208"/>
      <c r="IH35" s="208"/>
      <c r="II35" s="208"/>
      <c r="IJ35" s="208"/>
      <c r="IK35" s="208"/>
      <c r="IL35" s="208"/>
      <c r="IM35" s="208"/>
      <c r="IN35" s="208"/>
      <c r="IO35" s="208"/>
      <c r="IP35" s="208"/>
      <c r="IQ35" s="208"/>
      <c r="IR35" s="208"/>
      <c r="IS35" s="208"/>
      <c r="IT35" s="208"/>
      <c r="IU35" s="208"/>
      <c r="IV35" s="208"/>
      <c r="IW35" s="208"/>
      <c r="IX35" s="208"/>
      <c r="IY35" s="208"/>
    </row>
    <row r="36" spans="1:259" ht="15" customHeight="1" x14ac:dyDescent="0.2">
      <c r="A36" s="195">
        <v>0</v>
      </c>
      <c r="B36" s="196"/>
      <c r="C36" s="196"/>
      <c r="D36" s="197" t="s">
        <v>573</v>
      </c>
      <c r="E36" s="198">
        <v>1</v>
      </c>
      <c r="F36" s="197" t="s">
        <v>430</v>
      </c>
      <c r="G36" s="198">
        <v>1</v>
      </c>
      <c r="H36" s="199" t="s">
        <v>565</v>
      </c>
      <c r="I36" s="197">
        <v>4</v>
      </c>
      <c r="J36" s="197">
        <v>1</v>
      </c>
      <c r="K36" s="197">
        <v>1</v>
      </c>
      <c r="L36" s="198" t="s">
        <v>429</v>
      </c>
      <c r="M36" s="198"/>
      <c r="N36" s="200"/>
      <c r="O36" s="200" t="s">
        <v>574</v>
      </c>
      <c r="P36" s="201" t="s">
        <v>582</v>
      </c>
      <c r="Q36" s="197" t="s">
        <v>428</v>
      </c>
      <c r="R36" s="197" t="s">
        <v>428</v>
      </c>
      <c r="S36" s="197"/>
      <c r="T36" s="197"/>
      <c r="U36" s="197"/>
      <c r="V36" s="197"/>
      <c r="W36" s="197"/>
      <c r="X36" s="197"/>
      <c r="Y36" s="197"/>
      <c r="Z36" s="197"/>
      <c r="AA36" s="197" t="s">
        <v>1</v>
      </c>
      <c r="AB36" s="198" t="s">
        <v>2</v>
      </c>
      <c r="AC36" s="198" t="s">
        <v>578</v>
      </c>
      <c r="AD36" s="197" t="s">
        <v>438</v>
      </c>
      <c r="AE36" s="197" t="s">
        <v>438</v>
      </c>
      <c r="AF36" s="197" t="s">
        <v>438</v>
      </c>
      <c r="AG36" s="197" t="s">
        <v>438</v>
      </c>
      <c r="AH36" s="197" t="s">
        <v>438</v>
      </c>
      <c r="AI36" s="197" t="s">
        <v>438</v>
      </c>
      <c r="AJ36" s="197" t="s">
        <v>438</v>
      </c>
      <c r="AK36" s="197" t="s">
        <v>438</v>
      </c>
      <c r="AL36" s="197" t="s">
        <v>438</v>
      </c>
      <c r="AM36" s="197" t="s">
        <v>428</v>
      </c>
      <c r="AN36" s="197" t="s">
        <v>428</v>
      </c>
      <c r="AO36" s="202"/>
      <c r="AP36" s="207"/>
      <c r="AQ36" s="197"/>
      <c r="AR36" s="197"/>
      <c r="AS36" s="197"/>
      <c r="AT36" s="197"/>
      <c r="AU36" s="197"/>
      <c r="AV36" s="197"/>
      <c r="AW36" s="197"/>
      <c r="AX36" s="197"/>
      <c r="AY36" s="197"/>
      <c r="AZ36" s="197"/>
      <c r="BA36" s="197"/>
      <c r="BB36" s="197"/>
      <c r="BC36" s="197"/>
      <c r="BD36" s="197"/>
      <c r="BE36" s="197"/>
      <c r="BF36" s="197"/>
      <c r="BG36" s="197"/>
      <c r="BH36" s="197"/>
      <c r="BI36" s="197"/>
      <c r="BJ36" s="197"/>
      <c r="BK36" s="197"/>
      <c r="BL36" s="197"/>
      <c r="BM36" s="197"/>
      <c r="BN36" s="208"/>
      <c r="BO36" s="208"/>
      <c r="BP36" s="208"/>
      <c r="BQ36" s="208"/>
      <c r="BR36" s="208"/>
      <c r="BS36" s="208"/>
      <c r="BT36" s="208"/>
      <c r="BU36" s="208"/>
      <c r="BV36" s="208"/>
      <c r="BW36" s="208"/>
      <c r="BX36" s="208"/>
      <c r="BY36" s="208"/>
      <c r="BZ36" s="208"/>
      <c r="CA36" s="208"/>
      <c r="CB36" s="208"/>
      <c r="CC36" s="208"/>
      <c r="CD36" s="208"/>
      <c r="CE36" s="208"/>
      <c r="CF36" s="208"/>
      <c r="CG36" s="208"/>
      <c r="CH36" s="208"/>
      <c r="CI36" s="208"/>
      <c r="CJ36" s="208"/>
      <c r="CK36" s="208"/>
      <c r="CL36" s="208"/>
      <c r="CM36" s="208"/>
      <c r="CN36" s="208"/>
      <c r="CO36" s="208"/>
      <c r="CP36" s="208"/>
      <c r="CQ36" s="208"/>
      <c r="CR36" s="208"/>
      <c r="CS36" s="208"/>
      <c r="CT36" s="208"/>
      <c r="CU36" s="208"/>
      <c r="CV36" s="208"/>
      <c r="CW36" s="208"/>
      <c r="CX36" s="208"/>
      <c r="CY36" s="208"/>
      <c r="CZ36" s="208"/>
      <c r="DA36" s="208"/>
      <c r="DB36" s="208"/>
      <c r="DC36" s="208"/>
      <c r="DD36" s="208"/>
      <c r="DE36" s="208"/>
      <c r="DF36" s="208"/>
      <c r="DG36" s="208"/>
      <c r="DH36" s="208"/>
      <c r="DI36" s="208"/>
      <c r="DJ36" s="208"/>
      <c r="DK36" s="208"/>
      <c r="DL36" s="208"/>
      <c r="DM36" s="208"/>
      <c r="DN36" s="208"/>
      <c r="DO36" s="208"/>
      <c r="DP36" s="208"/>
      <c r="DQ36" s="208"/>
      <c r="DR36" s="208"/>
      <c r="DS36" s="208"/>
      <c r="DT36" s="208"/>
      <c r="DU36" s="208"/>
      <c r="DV36" s="208"/>
      <c r="DW36" s="208"/>
      <c r="DX36" s="208"/>
      <c r="DY36" s="208"/>
      <c r="DZ36" s="208"/>
      <c r="EA36" s="208"/>
      <c r="EB36" s="208"/>
      <c r="EC36" s="208"/>
      <c r="ED36" s="208"/>
      <c r="EE36" s="208"/>
      <c r="EF36" s="208"/>
      <c r="EG36" s="208"/>
      <c r="EH36" s="208"/>
      <c r="EI36" s="208"/>
      <c r="EJ36" s="208"/>
      <c r="EK36" s="208"/>
      <c r="EL36" s="208"/>
      <c r="EM36" s="208"/>
      <c r="EN36" s="208"/>
      <c r="EO36" s="208"/>
      <c r="EP36" s="208"/>
      <c r="EQ36" s="208"/>
      <c r="ER36" s="208"/>
      <c r="ES36" s="208"/>
      <c r="ET36" s="208"/>
      <c r="EU36" s="208"/>
      <c r="EV36" s="208"/>
      <c r="EW36" s="208"/>
      <c r="EX36" s="208"/>
      <c r="EY36" s="208"/>
      <c r="EZ36" s="208"/>
      <c r="FA36" s="208"/>
      <c r="FB36" s="208"/>
      <c r="FC36" s="208"/>
      <c r="FD36" s="208"/>
      <c r="FE36" s="208"/>
      <c r="FF36" s="208"/>
      <c r="FG36" s="208"/>
      <c r="FH36" s="208"/>
      <c r="FI36" s="208"/>
      <c r="FJ36" s="208"/>
      <c r="FK36" s="208"/>
      <c r="FL36" s="208"/>
      <c r="FM36" s="208"/>
      <c r="FN36" s="208"/>
      <c r="FO36" s="208"/>
      <c r="FP36" s="208"/>
      <c r="FQ36" s="208"/>
      <c r="FR36" s="208"/>
      <c r="FS36" s="208"/>
      <c r="FT36" s="208"/>
      <c r="FU36" s="208"/>
      <c r="FV36" s="208"/>
      <c r="FW36" s="208"/>
      <c r="FX36" s="208"/>
      <c r="FY36" s="208"/>
      <c r="FZ36" s="208"/>
      <c r="GA36" s="208"/>
      <c r="GB36" s="208"/>
      <c r="GC36" s="208"/>
      <c r="GD36" s="208"/>
      <c r="GE36" s="208"/>
      <c r="GF36" s="208"/>
      <c r="GG36" s="208"/>
      <c r="GH36" s="208"/>
      <c r="GI36" s="208"/>
      <c r="GJ36" s="208"/>
      <c r="GK36" s="208"/>
      <c r="GL36" s="208"/>
      <c r="GM36" s="208"/>
      <c r="GN36" s="208"/>
      <c r="GO36" s="208"/>
      <c r="GP36" s="208"/>
      <c r="GQ36" s="208"/>
      <c r="GR36" s="208"/>
      <c r="GS36" s="208"/>
      <c r="GT36" s="208"/>
      <c r="GU36" s="208"/>
      <c r="GV36" s="208"/>
      <c r="GW36" s="208"/>
      <c r="GX36" s="208"/>
      <c r="GY36" s="208"/>
      <c r="GZ36" s="208"/>
      <c r="HA36" s="208"/>
      <c r="HB36" s="208"/>
      <c r="HC36" s="208"/>
      <c r="HD36" s="208"/>
      <c r="HE36" s="208"/>
      <c r="HF36" s="208"/>
      <c r="HG36" s="208"/>
      <c r="HH36" s="208"/>
      <c r="HI36" s="208"/>
      <c r="HJ36" s="208"/>
      <c r="HK36" s="208"/>
      <c r="HL36" s="208"/>
      <c r="HM36" s="208"/>
      <c r="HN36" s="208"/>
      <c r="HO36" s="208"/>
      <c r="HP36" s="208"/>
      <c r="HQ36" s="208"/>
      <c r="HR36" s="208"/>
      <c r="HS36" s="208"/>
      <c r="HT36" s="208"/>
      <c r="HU36" s="208"/>
      <c r="HV36" s="208"/>
      <c r="HW36" s="208"/>
      <c r="HX36" s="208"/>
      <c r="HY36" s="208"/>
      <c r="HZ36" s="208"/>
      <c r="IA36" s="208"/>
      <c r="IB36" s="208"/>
      <c r="IC36" s="208"/>
      <c r="ID36" s="208"/>
      <c r="IE36" s="208"/>
      <c r="IF36" s="208"/>
      <c r="IG36" s="208"/>
      <c r="IH36" s="208"/>
      <c r="II36" s="208"/>
      <c r="IJ36" s="208"/>
      <c r="IK36" s="208"/>
      <c r="IL36" s="208"/>
      <c r="IM36" s="208"/>
      <c r="IN36" s="208"/>
      <c r="IO36" s="208"/>
      <c r="IP36" s="208"/>
      <c r="IQ36" s="208"/>
      <c r="IR36" s="208"/>
      <c r="IS36" s="208"/>
      <c r="IT36" s="208"/>
      <c r="IU36" s="208"/>
      <c r="IV36" s="208"/>
      <c r="IW36" s="208"/>
      <c r="IX36" s="208"/>
      <c r="IY36" s="208"/>
    </row>
    <row r="37" spans="1:259" ht="15" customHeight="1" x14ac:dyDescent="0.2">
      <c r="A37" s="195">
        <v>0</v>
      </c>
      <c r="B37" s="196"/>
      <c r="C37" s="196"/>
      <c r="D37" s="197" t="s">
        <v>573</v>
      </c>
      <c r="E37" s="198">
        <v>1</v>
      </c>
      <c r="F37" s="197" t="s">
        <v>430</v>
      </c>
      <c r="G37" s="198">
        <v>1</v>
      </c>
      <c r="H37" s="199" t="s">
        <v>431</v>
      </c>
      <c r="I37" s="197">
        <v>4</v>
      </c>
      <c r="J37" s="197">
        <v>2</v>
      </c>
      <c r="K37" s="197">
        <v>1</v>
      </c>
      <c r="L37" s="198">
        <v>310</v>
      </c>
      <c r="M37" s="198"/>
      <c r="N37" s="200"/>
      <c r="O37" s="200" t="s">
        <v>574</v>
      </c>
      <c r="P37" s="201" t="s">
        <v>583</v>
      </c>
      <c r="Q37" s="197">
        <v>430</v>
      </c>
      <c r="R37" s="197" t="s">
        <v>538</v>
      </c>
      <c r="S37" s="197">
        <v>500</v>
      </c>
      <c r="T37" s="197" t="s">
        <v>576</v>
      </c>
      <c r="U37" s="197"/>
      <c r="V37" s="197"/>
      <c r="W37" s="197"/>
      <c r="X37" s="197"/>
      <c r="Y37" s="197"/>
      <c r="Z37" s="197"/>
      <c r="AA37" s="197" t="s">
        <v>1</v>
      </c>
      <c r="AB37" s="198" t="s">
        <v>577</v>
      </c>
      <c r="AC37" s="198" t="s">
        <v>578</v>
      </c>
      <c r="AD37" s="197">
        <v>373</v>
      </c>
      <c r="AE37" s="197">
        <v>380</v>
      </c>
      <c r="AF37" s="197">
        <v>3</v>
      </c>
      <c r="AG37" s="197">
        <v>60</v>
      </c>
      <c r="AH37" s="197" t="s">
        <v>428</v>
      </c>
      <c r="AI37" s="197" t="s">
        <v>428</v>
      </c>
      <c r="AJ37" s="197" t="s">
        <v>428</v>
      </c>
      <c r="AK37" s="197" t="s">
        <v>428</v>
      </c>
      <c r="AL37" s="197" t="s">
        <v>428</v>
      </c>
      <c r="AM37" s="197" t="s">
        <v>579</v>
      </c>
      <c r="AN37" s="197" t="s">
        <v>580</v>
      </c>
      <c r="AO37" s="202"/>
      <c r="AP37" s="207"/>
      <c r="AQ37" s="197"/>
      <c r="AR37" s="197"/>
      <c r="AS37" s="197"/>
      <c r="AT37" s="197"/>
      <c r="AU37" s="197"/>
      <c r="AV37" s="197"/>
      <c r="AW37" s="197"/>
      <c r="AX37" s="197"/>
      <c r="AY37" s="197"/>
      <c r="AZ37" s="197"/>
      <c r="BA37" s="197"/>
      <c r="BB37" s="197"/>
      <c r="BC37" s="197"/>
      <c r="BD37" s="197"/>
      <c r="BE37" s="197"/>
      <c r="BF37" s="197"/>
      <c r="BG37" s="197"/>
      <c r="BH37" s="197"/>
      <c r="BI37" s="197"/>
      <c r="BJ37" s="197"/>
      <c r="BK37" s="197"/>
      <c r="BL37" s="197"/>
      <c r="BM37" s="197"/>
      <c r="BN37" s="208"/>
      <c r="BO37" s="208"/>
      <c r="BP37" s="208"/>
      <c r="BQ37" s="208"/>
      <c r="BR37" s="208"/>
      <c r="BS37" s="208"/>
      <c r="BT37" s="208"/>
      <c r="BU37" s="208"/>
      <c r="BV37" s="208"/>
      <c r="BW37" s="208"/>
      <c r="BX37" s="208"/>
      <c r="BY37" s="208"/>
      <c r="BZ37" s="208"/>
      <c r="CA37" s="208"/>
      <c r="CB37" s="208"/>
      <c r="CC37" s="208"/>
      <c r="CD37" s="208"/>
      <c r="CE37" s="208"/>
      <c r="CF37" s="208"/>
      <c r="CG37" s="208"/>
      <c r="CH37" s="208"/>
      <c r="CI37" s="208"/>
      <c r="CJ37" s="208"/>
      <c r="CK37" s="208"/>
      <c r="CL37" s="208"/>
      <c r="CM37" s="208"/>
      <c r="CN37" s="208"/>
      <c r="CO37" s="208"/>
      <c r="CP37" s="208"/>
      <c r="CQ37" s="208"/>
      <c r="CR37" s="208"/>
      <c r="CS37" s="208"/>
      <c r="CT37" s="208"/>
      <c r="CU37" s="208"/>
      <c r="CV37" s="208"/>
      <c r="CW37" s="208"/>
      <c r="CX37" s="208"/>
      <c r="CY37" s="208"/>
      <c r="CZ37" s="208"/>
      <c r="DA37" s="208"/>
      <c r="DB37" s="208"/>
      <c r="DC37" s="208"/>
      <c r="DD37" s="208"/>
      <c r="DE37" s="208"/>
      <c r="DF37" s="208"/>
      <c r="DG37" s="208"/>
      <c r="DH37" s="208"/>
      <c r="DI37" s="208"/>
      <c r="DJ37" s="208"/>
      <c r="DK37" s="208"/>
      <c r="DL37" s="208"/>
      <c r="DM37" s="208"/>
      <c r="DN37" s="208"/>
      <c r="DO37" s="208"/>
      <c r="DP37" s="208"/>
      <c r="DQ37" s="208"/>
      <c r="DR37" s="208"/>
      <c r="DS37" s="208"/>
      <c r="DT37" s="208"/>
      <c r="DU37" s="208"/>
      <c r="DV37" s="208"/>
      <c r="DW37" s="208"/>
      <c r="DX37" s="208"/>
      <c r="DY37" s="208"/>
      <c r="DZ37" s="208"/>
      <c r="EA37" s="208"/>
      <c r="EB37" s="208"/>
      <c r="EC37" s="208"/>
      <c r="ED37" s="208"/>
      <c r="EE37" s="208"/>
      <c r="EF37" s="208"/>
      <c r="EG37" s="208"/>
      <c r="EH37" s="208"/>
      <c r="EI37" s="208"/>
      <c r="EJ37" s="208"/>
      <c r="EK37" s="208"/>
      <c r="EL37" s="208"/>
      <c r="EM37" s="208"/>
      <c r="EN37" s="208"/>
      <c r="EO37" s="208"/>
      <c r="EP37" s="208"/>
      <c r="EQ37" s="208"/>
      <c r="ER37" s="208"/>
      <c r="ES37" s="208"/>
      <c r="ET37" s="208"/>
      <c r="EU37" s="208"/>
      <c r="EV37" s="208"/>
      <c r="EW37" s="208"/>
      <c r="EX37" s="208"/>
      <c r="EY37" s="208"/>
      <c r="EZ37" s="208"/>
      <c r="FA37" s="208"/>
      <c r="FB37" s="208"/>
      <c r="FC37" s="208"/>
      <c r="FD37" s="208"/>
      <c r="FE37" s="208"/>
      <c r="FF37" s="208"/>
      <c r="FG37" s="208"/>
      <c r="FH37" s="208"/>
      <c r="FI37" s="208"/>
      <c r="FJ37" s="208"/>
      <c r="FK37" s="208"/>
      <c r="FL37" s="208"/>
      <c r="FM37" s="208"/>
      <c r="FN37" s="208"/>
      <c r="FO37" s="208"/>
      <c r="FP37" s="208"/>
      <c r="FQ37" s="208"/>
      <c r="FR37" s="208"/>
      <c r="FS37" s="208"/>
      <c r="FT37" s="208"/>
      <c r="FU37" s="208"/>
      <c r="FV37" s="208"/>
      <c r="FW37" s="208"/>
      <c r="FX37" s="208"/>
      <c r="FY37" s="208"/>
      <c r="FZ37" s="208"/>
      <c r="GA37" s="208"/>
      <c r="GB37" s="208"/>
      <c r="GC37" s="208"/>
      <c r="GD37" s="208"/>
      <c r="GE37" s="208"/>
      <c r="GF37" s="208"/>
      <c r="GG37" s="208"/>
      <c r="GH37" s="208"/>
      <c r="GI37" s="208"/>
      <c r="GJ37" s="208"/>
      <c r="GK37" s="208"/>
      <c r="GL37" s="208"/>
      <c r="GM37" s="208"/>
      <c r="GN37" s="208"/>
      <c r="GO37" s="208"/>
      <c r="GP37" s="208"/>
      <c r="GQ37" s="208"/>
      <c r="GR37" s="208"/>
      <c r="GS37" s="208"/>
      <c r="GT37" s="208"/>
      <c r="GU37" s="208"/>
      <c r="GV37" s="208"/>
      <c r="GW37" s="208"/>
      <c r="GX37" s="208"/>
      <c r="GY37" s="208"/>
      <c r="GZ37" s="208"/>
      <c r="HA37" s="208"/>
      <c r="HB37" s="208"/>
      <c r="HC37" s="208"/>
      <c r="HD37" s="208"/>
      <c r="HE37" s="208"/>
      <c r="HF37" s="208"/>
      <c r="HG37" s="208"/>
      <c r="HH37" s="208"/>
      <c r="HI37" s="208"/>
      <c r="HJ37" s="208"/>
      <c r="HK37" s="208"/>
      <c r="HL37" s="208"/>
      <c r="HM37" s="208"/>
      <c r="HN37" s="208"/>
      <c r="HO37" s="208"/>
      <c r="HP37" s="208"/>
      <c r="HQ37" s="208"/>
      <c r="HR37" s="208"/>
      <c r="HS37" s="208"/>
      <c r="HT37" s="208"/>
      <c r="HU37" s="208"/>
      <c r="HV37" s="208"/>
      <c r="HW37" s="208"/>
      <c r="HX37" s="208"/>
      <c r="HY37" s="208"/>
      <c r="HZ37" s="208"/>
      <c r="IA37" s="208"/>
      <c r="IB37" s="208"/>
      <c r="IC37" s="208"/>
      <c r="ID37" s="208"/>
      <c r="IE37" s="208"/>
      <c r="IF37" s="208"/>
      <c r="IG37" s="208"/>
      <c r="IH37" s="208"/>
      <c r="II37" s="208"/>
      <c r="IJ37" s="208"/>
      <c r="IK37" s="208"/>
      <c r="IL37" s="208"/>
      <c r="IM37" s="208"/>
      <c r="IN37" s="208"/>
      <c r="IO37" s="208"/>
      <c r="IP37" s="208"/>
      <c r="IQ37" s="208"/>
      <c r="IR37" s="208"/>
      <c r="IS37" s="208"/>
      <c r="IT37" s="208"/>
      <c r="IU37" s="208"/>
      <c r="IV37" s="208"/>
      <c r="IW37" s="208"/>
      <c r="IX37" s="208"/>
      <c r="IY37" s="208"/>
    </row>
    <row r="38" spans="1:259" ht="15" customHeight="1" x14ac:dyDescent="0.2">
      <c r="A38" s="195">
        <v>0</v>
      </c>
      <c r="B38" s="196"/>
      <c r="C38" s="196"/>
      <c r="D38" s="197" t="s">
        <v>573</v>
      </c>
      <c r="E38" s="198">
        <v>1</v>
      </c>
      <c r="F38" s="197" t="s">
        <v>430</v>
      </c>
      <c r="G38" s="198">
        <v>1</v>
      </c>
      <c r="H38" s="199" t="s">
        <v>565</v>
      </c>
      <c r="I38" s="197">
        <v>4</v>
      </c>
      <c r="J38" s="197">
        <v>2</v>
      </c>
      <c r="K38" s="197">
        <v>1</v>
      </c>
      <c r="L38" s="198" t="s">
        <v>429</v>
      </c>
      <c r="M38" s="198"/>
      <c r="N38" s="200"/>
      <c r="O38" s="200" t="s">
        <v>574</v>
      </c>
      <c r="P38" s="201" t="s">
        <v>584</v>
      </c>
      <c r="Q38" s="197" t="s">
        <v>428</v>
      </c>
      <c r="R38" s="197" t="s">
        <v>428</v>
      </c>
      <c r="S38" s="197"/>
      <c r="T38" s="197"/>
      <c r="U38" s="197"/>
      <c r="V38" s="197"/>
      <c r="W38" s="197"/>
      <c r="X38" s="197"/>
      <c r="Y38" s="197"/>
      <c r="Z38" s="197"/>
      <c r="AA38" s="197" t="s">
        <v>1</v>
      </c>
      <c r="AB38" s="198" t="s">
        <v>2</v>
      </c>
      <c r="AC38" s="198" t="s">
        <v>578</v>
      </c>
      <c r="AD38" s="197" t="s">
        <v>438</v>
      </c>
      <c r="AE38" s="197" t="s">
        <v>438</v>
      </c>
      <c r="AF38" s="197" t="s">
        <v>438</v>
      </c>
      <c r="AG38" s="197" t="s">
        <v>438</v>
      </c>
      <c r="AH38" s="197" t="s">
        <v>438</v>
      </c>
      <c r="AI38" s="197" t="s">
        <v>438</v>
      </c>
      <c r="AJ38" s="197" t="s">
        <v>438</v>
      </c>
      <c r="AK38" s="197" t="s">
        <v>438</v>
      </c>
      <c r="AL38" s="197" t="s">
        <v>438</v>
      </c>
      <c r="AM38" s="197" t="s">
        <v>428</v>
      </c>
      <c r="AN38" s="197" t="s">
        <v>428</v>
      </c>
      <c r="AO38" s="202"/>
      <c r="AP38" s="207"/>
      <c r="AQ38" s="197"/>
      <c r="AR38" s="197"/>
      <c r="AS38" s="197"/>
      <c r="AT38" s="197"/>
      <c r="AU38" s="197"/>
      <c r="AV38" s="197"/>
      <c r="AW38" s="197"/>
      <c r="AX38" s="197"/>
      <c r="AY38" s="197"/>
      <c r="AZ38" s="197"/>
      <c r="BA38" s="197"/>
      <c r="BB38" s="197"/>
      <c r="BC38" s="197"/>
      <c r="BD38" s="197"/>
      <c r="BE38" s="197"/>
      <c r="BF38" s="197"/>
      <c r="BG38" s="197"/>
      <c r="BH38" s="197"/>
      <c r="BI38" s="197"/>
      <c r="BJ38" s="197"/>
      <c r="BK38" s="197"/>
      <c r="BL38" s="197"/>
      <c r="BM38" s="197"/>
      <c r="BN38" s="208"/>
      <c r="BO38" s="208"/>
      <c r="BP38" s="208"/>
      <c r="BQ38" s="208"/>
      <c r="BR38" s="208"/>
      <c r="BS38" s="208"/>
      <c r="BT38" s="208"/>
      <c r="BU38" s="208"/>
      <c r="BV38" s="208"/>
      <c r="BW38" s="208"/>
      <c r="BX38" s="208"/>
      <c r="BY38" s="208"/>
      <c r="BZ38" s="208"/>
      <c r="CA38" s="208"/>
      <c r="CB38" s="208"/>
      <c r="CC38" s="208"/>
      <c r="CD38" s="208"/>
      <c r="CE38" s="208"/>
      <c r="CF38" s="208"/>
      <c r="CG38" s="208"/>
      <c r="CH38" s="208"/>
      <c r="CI38" s="208"/>
      <c r="CJ38" s="208"/>
      <c r="CK38" s="208"/>
      <c r="CL38" s="208"/>
      <c r="CM38" s="208"/>
      <c r="CN38" s="208"/>
      <c r="CO38" s="208"/>
      <c r="CP38" s="208"/>
      <c r="CQ38" s="208"/>
      <c r="CR38" s="208"/>
      <c r="CS38" s="208"/>
      <c r="CT38" s="208"/>
      <c r="CU38" s="208"/>
      <c r="CV38" s="208"/>
      <c r="CW38" s="208"/>
      <c r="CX38" s="208"/>
      <c r="CY38" s="208"/>
      <c r="CZ38" s="208"/>
      <c r="DA38" s="208"/>
      <c r="DB38" s="208"/>
      <c r="DC38" s="208"/>
      <c r="DD38" s="208"/>
      <c r="DE38" s="208"/>
      <c r="DF38" s="208"/>
      <c r="DG38" s="208"/>
      <c r="DH38" s="208"/>
      <c r="DI38" s="208"/>
      <c r="DJ38" s="208"/>
      <c r="DK38" s="208"/>
      <c r="DL38" s="208"/>
      <c r="DM38" s="208"/>
      <c r="DN38" s="208"/>
      <c r="DO38" s="208"/>
      <c r="DP38" s="208"/>
      <c r="DQ38" s="208"/>
      <c r="DR38" s="208"/>
      <c r="DS38" s="208"/>
      <c r="DT38" s="208"/>
      <c r="DU38" s="208"/>
      <c r="DV38" s="208"/>
      <c r="DW38" s="208"/>
      <c r="DX38" s="208"/>
      <c r="DY38" s="208"/>
      <c r="DZ38" s="208"/>
      <c r="EA38" s="208"/>
      <c r="EB38" s="208"/>
      <c r="EC38" s="208"/>
      <c r="ED38" s="208"/>
      <c r="EE38" s="208"/>
      <c r="EF38" s="208"/>
      <c r="EG38" s="208"/>
      <c r="EH38" s="208"/>
      <c r="EI38" s="208"/>
      <c r="EJ38" s="208"/>
      <c r="EK38" s="208"/>
      <c r="EL38" s="208"/>
      <c r="EM38" s="208"/>
      <c r="EN38" s="208"/>
      <c r="EO38" s="208"/>
      <c r="EP38" s="208"/>
      <c r="EQ38" s="208"/>
      <c r="ER38" s="208"/>
      <c r="ES38" s="208"/>
      <c r="ET38" s="208"/>
      <c r="EU38" s="208"/>
      <c r="EV38" s="208"/>
      <c r="EW38" s="208"/>
      <c r="EX38" s="208"/>
      <c r="EY38" s="208"/>
      <c r="EZ38" s="208"/>
      <c r="FA38" s="208"/>
      <c r="FB38" s="208"/>
      <c r="FC38" s="208"/>
      <c r="FD38" s="208"/>
      <c r="FE38" s="208"/>
      <c r="FF38" s="208"/>
      <c r="FG38" s="208"/>
      <c r="FH38" s="208"/>
      <c r="FI38" s="208"/>
      <c r="FJ38" s="208"/>
      <c r="FK38" s="208"/>
      <c r="FL38" s="208"/>
      <c r="FM38" s="208"/>
      <c r="FN38" s="208"/>
      <c r="FO38" s="208"/>
      <c r="FP38" s="208"/>
      <c r="FQ38" s="208"/>
      <c r="FR38" s="208"/>
      <c r="FS38" s="208"/>
      <c r="FT38" s="208"/>
      <c r="FU38" s="208"/>
      <c r="FV38" s="208"/>
      <c r="FW38" s="208"/>
      <c r="FX38" s="208"/>
      <c r="FY38" s="208"/>
      <c r="FZ38" s="208"/>
      <c r="GA38" s="208"/>
      <c r="GB38" s="208"/>
      <c r="GC38" s="208"/>
      <c r="GD38" s="208"/>
      <c r="GE38" s="208"/>
      <c r="GF38" s="208"/>
      <c r="GG38" s="208"/>
      <c r="GH38" s="208"/>
      <c r="GI38" s="208"/>
      <c r="GJ38" s="208"/>
      <c r="GK38" s="208"/>
      <c r="GL38" s="208"/>
      <c r="GM38" s="208"/>
      <c r="GN38" s="208"/>
      <c r="GO38" s="208"/>
      <c r="GP38" s="208"/>
      <c r="GQ38" s="208"/>
      <c r="GR38" s="208"/>
      <c r="GS38" s="208"/>
      <c r="GT38" s="208"/>
      <c r="GU38" s="208"/>
      <c r="GV38" s="208"/>
      <c r="GW38" s="208"/>
      <c r="GX38" s="208"/>
      <c r="GY38" s="208"/>
      <c r="GZ38" s="208"/>
      <c r="HA38" s="208"/>
      <c r="HB38" s="208"/>
      <c r="HC38" s="208"/>
      <c r="HD38" s="208"/>
      <c r="HE38" s="208"/>
      <c r="HF38" s="208"/>
      <c r="HG38" s="208"/>
      <c r="HH38" s="208"/>
      <c r="HI38" s="208"/>
      <c r="HJ38" s="208"/>
      <c r="HK38" s="208"/>
      <c r="HL38" s="208"/>
      <c r="HM38" s="208"/>
      <c r="HN38" s="208"/>
      <c r="HO38" s="208"/>
      <c r="HP38" s="208"/>
      <c r="HQ38" s="208"/>
      <c r="HR38" s="208"/>
      <c r="HS38" s="208"/>
      <c r="HT38" s="208"/>
      <c r="HU38" s="208"/>
      <c r="HV38" s="208"/>
      <c r="HW38" s="208"/>
      <c r="HX38" s="208"/>
      <c r="HY38" s="208"/>
      <c r="HZ38" s="208"/>
      <c r="IA38" s="208"/>
      <c r="IB38" s="208"/>
      <c r="IC38" s="208"/>
      <c r="ID38" s="208"/>
      <c r="IE38" s="208"/>
      <c r="IF38" s="208"/>
      <c r="IG38" s="208"/>
      <c r="IH38" s="208"/>
      <c r="II38" s="208"/>
      <c r="IJ38" s="208"/>
      <c r="IK38" s="208"/>
      <c r="IL38" s="208"/>
      <c r="IM38" s="208"/>
      <c r="IN38" s="208"/>
      <c r="IO38" s="208"/>
      <c r="IP38" s="208"/>
      <c r="IQ38" s="208"/>
      <c r="IR38" s="208"/>
      <c r="IS38" s="208"/>
      <c r="IT38" s="208"/>
      <c r="IU38" s="208"/>
      <c r="IV38" s="208"/>
      <c r="IW38" s="208"/>
      <c r="IX38" s="208"/>
      <c r="IY38" s="208"/>
    </row>
    <row r="39" spans="1:259" ht="15" customHeight="1" x14ac:dyDescent="0.2">
      <c r="A39" s="195">
        <v>0</v>
      </c>
      <c r="B39" s="196"/>
      <c r="C39" s="196"/>
      <c r="D39" s="197" t="s">
        <v>573</v>
      </c>
      <c r="E39" s="198">
        <v>1</v>
      </c>
      <c r="F39" s="197" t="s">
        <v>430</v>
      </c>
      <c r="G39" s="198">
        <v>1</v>
      </c>
      <c r="H39" s="199" t="s">
        <v>426</v>
      </c>
      <c r="I39" s="197">
        <v>4</v>
      </c>
      <c r="J39" s="197">
        <v>2</v>
      </c>
      <c r="K39" s="197">
        <v>1</v>
      </c>
      <c r="L39" s="198" t="s">
        <v>429</v>
      </c>
      <c r="M39" s="198"/>
      <c r="N39" s="200"/>
      <c r="O39" s="200" t="s">
        <v>574</v>
      </c>
      <c r="P39" s="201" t="s">
        <v>537</v>
      </c>
      <c r="Q39" s="197">
        <v>400</v>
      </c>
      <c r="R39" s="197" t="s">
        <v>538</v>
      </c>
      <c r="S39" s="197"/>
      <c r="T39" s="197"/>
      <c r="U39" s="197"/>
      <c r="V39" s="197"/>
      <c r="W39" s="197"/>
      <c r="X39" s="197"/>
      <c r="Y39" s="197"/>
      <c r="Z39" s="197"/>
      <c r="AA39" s="197" t="s">
        <v>1</v>
      </c>
      <c r="AB39" s="198" t="s">
        <v>2</v>
      </c>
      <c r="AC39" s="198" t="s">
        <v>578</v>
      </c>
      <c r="AD39" s="197" t="s">
        <v>428</v>
      </c>
      <c r="AE39" s="197" t="s">
        <v>428</v>
      </c>
      <c r="AF39" s="197" t="s">
        <v>428</v>
      </c>
      <c r="AG39" s="197" t="s">
        <v>428</v>
      </c>
      <c r="AH39" s="197" t="s">
        <v>428</v>
      </c>
      <c r="AI39" s="197" t="s">
        <v>428</v>
      </c>
      <c r="AJ39" s="197" t="s">
        <v>428</v>
      </c>
      <c r="AK39" s="197" t="s">
        <v>428</v>
      </c>
      <c r="AL39" s="197" t="s">
        <v>428</v>
      </c>
      <c r="AM39" s="197" t="s">
        <v>428</v>
      </c>
      <c r="AN39" s="197" t="s">
        <v>428</v>
      </c>
      <c r="AO39" s="202"/>
      <c r="AP39" s="207"/>
      <c r="AQ39" s="197"/>
      <c r="AR39" s="197"/>
      <c r="AS39" s="197"/>
      <c r="AT39" s="197"/>
      <c r="AU39" s="197"/>
      <c r="AV39" s="197"/>
      <c r="AW39" s="197"/>
      <c r="AX39" s="197"/>
      <c r="AY39" s="197"/>
      <c r="AZ39" s="197"/>
      <c r="BA39" s="197"/>
      <c r="BB39" s="197"/>
      <c r="BC39" s="197"/>
      <c r="BD39" s="197"/>
      <c r="BE39" s="197"/>
      <c r="BF39" s="197"/>
      <c r="BG39" s="197"/>
      <c r="BH39" s="197"/>
      <c r="BI39" s="197"/>
      <c r="BJ39" s="197"/>
      <c r="BK39" s="197"/>
      <c r="BL39" s="197"/>
      <c r="BM39" s="197"/>
      <c r="BN39" s="208"/>
      <c r="BO39" s="208"/>
      <c r="BP39" s="208"/>
      <c r="BQ39" s="208"/>
      <c r="BR39" s="208"/>
      <c r="BS39" s="208"/>
      <c r="BT39" s="208"/>
      <c r="BU39" s="208"/>
      <c r="BV39" s="208"/>
      <c r="BW39" s="208"/>
      <c r="BX39" s="208"/>
      <c r="BY39" s="208"/>
      <c r="BZ39" s="208"/>
      <c r="CA39" s="208"/>
      <c r="CB39" s="208"/>
      <c r="CC39" s="208"/>
      <c r="CD39" s="208"/>
      <c r="CE39" s="208"/>
      <c r="CF39" s="208"/>
      <c r="CG39" s="208"/>
      <c r="CH39" s="208"/>
      <c r="CI39" s="208"/>
      <c r="CJ39" s="208"/>
      <c r="CK39" s="208"/>
      <c r="CL39" s="208"/>
      <c r="CM39" s="208"/>
      <c r="CN39" s="208"/>
      <c r="CO39" s="208"/>
      <c r="CP39" s="208"/>
      <c r="CQ39" s="208"/>
      <c r="CR39" s="208"/>
      <c r="CS39" s="208"/>
      <c r="CT39" s="208"/>
      <c r="CU39" s="208"/>
      <c r="CV39" s="208"/>
      <c r="CW39" s="208"/>
      <c r="CX39" s="208"/>
      <c r="CY39" s="208"/>
      <c r="CZ39" s="208"/>
      <c r="DA39" s="208"/>
      <c r="DB39" s="208"/>
      <c r="DC39" s="208"/>
      <c r="DD39" s="208"/>
      <c r="DE39" s="208"/>
      <c r="DF39" s="208"/>
      <c r="DG39" s="208"/>
      <c r="DH39" s="208"/>
      <c r="DI39" s="208"/>
      <c r="DJ39" s="208"/>
      <c r="DK39" s="208"/>
      <c r="DL39" s="208"/>
      <c r="DM39" s="208"/>
      <c r="DN39" s="208"/>
      <c r="DO39" s="208"/>
      <c r="DP39" s="208"/>
      <c r="DQ39" s="208"/>
      <c r="DR39" s="208"/>
      <c r="DS39" s="208"/>
      <c r="DT39" s="208"/>
      <c r="DU39" s="208"/>
      <c r="DV39" s="208"/>
      <c r="DW39" s="208"/>
      <c r="DX39" s="208"/>
      <c r="DY39" s="208"/>
      <c r="DZ39" s="208"/>
      <c r="EA39" s="208"/>
      <c r="EB39" s="208"/>
      <c r="EC39" s="208"/>
      <c r="ED39" s="208"/>
      <c r="EE39" s="208"/>
      <c r="EF39" s="208"/>
      <c r="EG39" s="208"/>
      <c r="EH39" s="208"/>
      <c r="EI39" s="208"/>
      <c r="EJ39" s="208"/>
      <c r="EK39" s="208"/>
      <c r="EL39" s="208"/>
      <c r="EM39" s="208"/>
      <c r="EN39" s="208"/>
      <c r="EO39" s="208"/>
      <c r="EP39" s="208"/>
      <c r="EQ39" s="208"/>
      <c r="ER39" s="208"/>
      <c r="ES39" s="208"/>
      <c r="ET39" s="208"/>
      <c r="EU39" s="208"/>
      <c r="EV39" s="208"/>
      <c r="EW39" s="208"/>
      <c r="EX39" s="208"/>
      <c r="EY39" s="208"/>
      <c r="EZ39" s="208"/>
      <c r="FA39" s="208"/>
      <c r="FB39" s="208"/>
      <c r="FC39" s="208"/>
      <c r="FD39" s="208"/>
      <c r="FE39" s="208"/>
      <c r="FF39" s="208"/>
      <c r="FG39" s="208"/>
      <c r="FH39" s="208"/>
      <c r="FI39" s="208"/>
      <c r="FJ39" s="208"/>
      <c r="FK39" s="208"/>
      <c r="FL39" s="208"/>
      <c r="FM39" s="208"/>
      <c r="FN39" s="208"/>
      <c r="FO39" s="208"/>
      <c r="FP39" s="208"/>
      <c r="FQ39" s="208"/>
      <c r="FR39" s="208"/>
      <c r="FS39" s="208"/>
      <c r="FT39" s="208"/>
      <c r="FU39" s="208"/>
      <c r="FV39" s="208"/>
      <c r="FW39" s="208"/>
      <c r="FX39" s="208"/>
      <c r="FY39" s="208"/>
      <c r="FZ39" s="208"/>
      <c r="GA39" s="208"/>
      <c r="GB39" s="208"/>
      <c r="GC39" s="208"/>
      <c r="GD39" s="208"/>
      <c r="GE39" s="208"/>
      <c r="GF39" s="208"/>
      <c r="GG39" s="208"/>
      <c r="GH39" s="208"/>
      <c r="GI39" s="208"/>
      <c r="GJ39" s="208"/>
      <c r="GK39" s="208"/>
      <c r="GL39" s="208"/>
      <c r="GM39" s="208"/>
      <c r="GN39" s="208"/>
      <c r="GO39" s="208"/>
      <c r="GP39" s="208"/>
      <c r="GQ39" s="208"/>
      <c r="GR39" s="208"/>
      <c r="GS39" s="208"/>
      <c r="GT39" s="208"/>
      <c r="GU39" s="208"/>
      <c r="GV39" s="208"/>
      <c r="GW39" s="208"/>
      <c r="GX39" s="208"/>
      <c r="GY39" s="208"/>
      <c r="GZ39" s="208"/>
      <c r="HA39" s="208"/>
      <c r="HB39" s="208"/>
      <c r="HC39" s="208"/>
      <c r="HD39" s="208"/>
      <c r="HE39" s="208"/>
      <c r="HF39" s="208"/>
      <c r="HG39" s="208"/>
      <c r="HH39" s="208"/>
      <c r="HI39" s="208"/>
      <c r="HJ39" s="208"/>
      <c r="HK39" s="208"/>
      <c r="HL39" s="208"/>
      <c r="HM39" s="208"/>
      <c r="HN39" s="208"/>
      <c r="HO39" s="208"/>
      <c r="HP39" s="208"/>
      <c r="HQ39" s="208"/>
      <c r="HR39" s="208"/>
      <c r="HS39" s="208"/>
      <c r="HT39" s="208"/>
      <c r="HU39" s="208"/>
      <c r="HV39" s="208"/>
      <c r="HW39" s="208"/>
      <c r="HX39" s="208"/>
      <c r="HY39" s="208"/>
      <c r="HZ39" s="208"/>
      <c r="IA39" s="208"/>
      <c r="IB39" s="208"/>
      <c r="IC39" s="208"/>
      <c r="ID39" s="208"/>
      <c r="IE39" s="208"/>
      <c r="IF39" s="208"/>
      <c r="IG39" s="208"/>
      <c r="IH39" s="208"/>
      <c r="II39" s="208"/>
      <c r="IJ39" s="208"/>
      <c r="IK39" s="208"/>
      <c r="IL39" s="208"/>
      <c r="IM39" s="208"/>
      <c r="IN39" s="208"/>
      <c r="IO39" s="208"/>
      <c r="IP39" s="208"/>
      <c r="IQ39" s="208"/>
      <c r="IR39" s="208"/>
      <c r="IS39" s="208"/>
      <c r="IT39" s="208"/>
      <c r="IU39" s="208"/>
      <c r="IV39" s="208"/>
      <c r="IW39" s="208"/>
      <c r="IX39" s="208"/>
      <c r="IY39" s="208"/>
    </row>
    <row r="40" spans="1:259" ht="15" customHeight="1" x14ac:dyDescent="0.2">
      <c r="A40" s="195">
        <v>0</v>
      </c>
      <c r="B40" s="196"/>
      <c r="C40" s="196"/>
      <c r="D40" s="197" t="s">
        <v>573</v>
      </c>
      <c r="E40" s="198">
        <v>1</v>
      </c>
      <c r="F40" s="197" t="s">
        <v>430</v>
      </c>
      <c r="G40" s="198">
        <v>1</v>
      </c>
      <c r="H40" s="199" t="s">
        <v>426</v>
      </c>
      <c r="I40" s="197">
        <v>4</v>
      </c>
      <c r="J40" s="197">
        <v>2</v>
      </c>
      <c r="K40" s="197">
        <v>1</v>
      </c>
      <c r="L40" s="198" t="s">
        <v>429</v>
      </c>
      <c r="M40" s="198"/>
      <c r="N40" s="200"/>
      <c r="O40" s="200" t="s">
        <v>574</v>
      </c>
      <c r="P40" s="201" t="s">
        <v>537</v>
      </c>
      <c r="Q40" s="197">
        <v>400</v>
      </c>
      <c r="R40" s="197" t="s">
        <v>538</v>
      </c>
      <c r="S40" s="197"/>
      <c r="T40" s="197"/>
      <c r="U40" s="197"/>
      <c r="V40" s="197"/>
      <c r="W40" s="197"/>
      <c r="X40" s="197"/>
      <c r="Y40" s="197"/>
      <c r="Z40" s="197"/>
      <c r="AA40" s="197" t="s">
        <v>1</v>
      </c>
      <c r="AB40" s="198" t="s">
        <v>2</v>
      </c>
      <c r="AC40" s="198" t="s">
        <v>578</v>
      </c>
      <c r="AD40" s="197" t="s">
        <v>428</v>
      </c>
      <c r="AE40" s="197" t="s">
        <v>428</v>
      </c>
      <c r="AF40" s="197" t="s">
        <v>428</v>
      </c>
      <c r="AG40" s="197" t="s">
        <v>428</v>
      </c>
      <c r="AH40" s="197" t="s">
        <v>428</v>
      </c>
      <c r="AI40" s="197" t="s">
        <v>428</v>
      </c>
      <c r="AJ40" s="197" t="s">
        <v>428</v>
      </c>
      <c r="AK40" s="197" t="s">
        <v>428</v>
      </c>
      <c r="AL40" s="197" t="s">
        <v>428</v>
      </c>
      <c r="AM40" s="197" t="s">
        <v>428</v>
      </c>
      <c r="AN40" s="197" t="s">
        <v>428</v>
      </c>
      <c r="AO40" s="202"/>
      <c r="AP40" s="207"/>
      <c r="AQ40" s="197"/>
      <c r="AR40" s="197"/>
      <c r="AS40" s="197"/>
      <c r="AT40" s="197"/>
      <c r="AU40" s="197"/>
      <c r="AV40" s="197"/>
      <c r="AW40" s="197"/>
      <c r="AX40" s="197"/>
      <c r="AY40" s="197"/>
      <c r="AZ40" s="197"/>
      <c r="BA40" s="197"/>
      <c r="BB40" s="197"/>
      <c r="BC40" s="197"/>
      <c r="BD40" s="197"/>
      <c r="BE40" s="197"/>
      <c r="BF40" s="197"/>
      <c r="BG40" s="197"/>
      <c r="BH40" s="197"/>
      <c r="BI40" s="197"/>
      <c r="BJ40" s="197"/>
      <c r="BK40" s="197"/>
      <c r="BL40" s="197"/>
      <c r="BM40" s="197"/>
      <c r="BN40" s="208"/>
      <c r="BO40" s="208"/>
      <c r="BP40" s="208"/>
      <c r="BQ40" s="208"/>
      <c r="BR40" s="208"/>
      <c r="BS40" s="208"/>
      <c r="BT40" s="208"/>
      <c r="BU40" s="208"/>
      <c r="BV40" s="208"/>
      <c r="BW40" s="208"/>
      <c r="BX40" s="208"/>
      <c r="BY40" s="208"/>
      <c r="BZ40" s="208"/>
      <c r="CA40" s="208"/>
      <c r="CB40" s="208"/>
      <c r="CC40" s="208"/>
      <c r="CD40" s="208"/>
      <c r="CE40" s="208"/>
      <c r="CF40" s="208"/>
      <c r="CG40" s="208"/>
      <c r="CH40" s="208"/>
      <c r="CI40" s="208"/>
      <c r="CJ40" s="208"/>
      <c r="CK40" s="208"/>
      <c r="CL40" s="208"/>
      <c r="CM40" s="208"/>
      <c r="CN40" s="208"/>
      <c r="CO40" s="208"/>
      <c r="CP40" s="208"/>
      <c r="CQ40" s="208"/>
      <c r="CR40" s="208"/>
      <c r="CS40" s="208"/>
      <c r="CT40" s="208"/>
      <c r="CU40" s="208"/>
      <c r="CV40" s="208"/>
      <c r="CW40" s="208"/>
      <c r="CX40" s="208"/>
      <c r="CY40" s="208"/>
      <c r="CZ40" s="208"/>
      <c r="DA40" s="208"/>
      <c r="DB40" s="208"/>
      <c r="DC40" s="208"/>
      <c r="DD40" s="208"/>
      <c r="DE40" s="208"/>
      <c r="DF40" s="208"/>
      <c r="DG40" s="208"/>
      <c r="DH40" s="208"/>
      <c r="DI40" s="208"/>
      <c r="DJ40" s="208"/>
      <c r="DK40" s="208"/>
      <c r="DL40" s="208"/>
      <c r="DM40" s="208"/>
      <c r="DN40" s="208"/>
      <c r="DO40" s="208"/>
      <c r="DP40" s="208"/>
      <c r="DQ40" s="208"/>
      <c r="DR40" s="208"/>
      <c r="DS40" s="208"/>
      <c r="DT40" s="208"/>
      <c r="DU40" s="208"/>
      <c r="DV40" s="208"/>
      <c r="DW40" s="208"/>
      <c r="DX40" s="208"/>
      <c r="DY40" s="208"/>
      <c r="DZ40" s="208"/>
      <c r="EA40" s="208"/>
      <c r="EB40" s="208"/>
      <c r="EC40" s="208"/>
      <c r="ED40" s="208"/>
      <c r="EE40" s="208"/>
      <c r="EF40" s="208"/>
      <c r="EG40" s="208"/>
      <c r="EH40" s="208"/>
      <c r="EI40" s="208"/>
      <c r="EJ40" s="208"/>
      <c r="EK40" s="208"/>
      <c r="EL40" s="208"/>
      <c r="EM40" s="208"/>
      <c r="EN40" s="208"/>
      <c r="EO40" s="208"/>
      <c r="EP40" s="208"/>
      <c r="EQ40" s="208"/>
      <c r="ER40" s="208"/>
      <c r="ES40" s="208"/>
      <c r="ET40" s="208"/>
      <c r="EU40" s="208"/>
      <c r="EV40" s="208"/>
      <c r="EW40" s="208"/>
      <c r="EX40" s="208"/>
      <c r="EY40" s="208"/>
      <c r="EZ40" s="208"/>
      <c r="FA40" s="208"/>
      <c r="FB40" s="208"/>
      <c r="FC40" s="208"/>
      <c r="FD40" s="208"/>
      <c r="FE40" s="208"/>
      <c r="FF40" s="208"/>
      <c r="FG40" s="208"/>
      <c r="FH40" s="208"/>
      <c r="FI40" s="208"/>
      <c r="FJ40" s="208"/>
      <c r="FK40" s="208"/>
      <c r="FL40" s="208"/>
      <c r="FM40" s="208"/>
      <c r="FN40" s="208"/>
      <c r="FO40" s="208"/>
      <c r="FP40" s="208"/>
      <c r="FQ40" s="208"/>
      <c r="FR40" s="208"/>
      <c r="FS40" s="208"/>
      <c r="FT40" s="208"/>
      <c r="FU40" s="208"/>
      <c r="FV40" s="208"/>
      <c r="FW40" s="208"/>
      <c r="FX40" s="208"/>
      <c r="FY40" s="208"/>
      <c r="FZ40" s="208"/>
      <c r="GA40" s="208"/>
      <c r="GB40" s="208"/>
      <c r="GC40" s="208"/>
      <c r="GD40" s="208"/>
      <c r="GE40" s="208"/>
      <c r="GF40" s="208"/>
      <c r="GG40" s="208"/>
      <c r="GH40" s="208"/>
      <c r="GI40" s="208"/>
      <c r="GJ40" s="208"/>
      <c r="GK40" s="208"/>
      <c r="GL40" s="208"/>
      <c r="GM40" s="208"/>
      <c r="GN40" s="208"/>
      <c r="GO40" s="208"/>
      <c r="GP40" s="208"/>
      <c r="GQ40" s="208"/>
      <c r="GR40" s="208"/>
      <c r="GS40" s="208"/>
      <c r="GT40" s="208"/>
      <c r="GU40" s="208"/>
      <c r="GV40" s="208"/>
      <c r="GW40" s="208"/>
      <c r="GX40" s="208"/>
      <c r="GY40" s="208"/>
      <c r="GZ40" s="208"/>
      <c r="HA40" s="208"/>
      <c r="HB40" s="208"/>
      <c r="HC40" s="208"/>
      <c r="HD40" s="208"/>
      <c r="HE40" s="208"/>
      <c r="HF40" s="208"/>
      <c r="HG40" s="208"/>
      <c r="HH40" s="208"/>
      <c r="HI40" s="208"/>
      <c r="HJ40" s="208"/>
      <c r="HK40" s="208"/>
      <c r="HL40" s="208"/>
      <c r="HM40" s="208"/>
      <c r="HN40" s="208"/>
      <c r="HO40" s="208"/>
      <c r="HP40" s="208"/>
      <c r="HQ40" s="208"/>
      <c r="HR40" s="208"/>
      <c r="HS40" s="208"/>
      <c r="HT40" s="208"/>
      <c r="HU40" s="208"/>
      <c r="HV40" s="208"/>
      <c r="HW40" s="208"/>
      <c r="HX40" s="208"/>
      <c r="HY40" s="208"/>
      <c r="HZ40" s="208"/>
      <c r="IA40" s="208"/>
      <c r="IB40" s="208"/>
      <c r="IC40" s="208"/>
      <c r="ID40" s="208"/>
      <c r="IE40" s="208"/>
      <c r="IF40" s="208"/>
      <c r="IG40" s="208"/>
      <c r="IH40" s="208"/>
      <c r="II40" s="208"/>
      <c r="IJ40" s="208"/>
      <c r="IK40" s="208"/>
      <c r="IL40" s="208"/>
      <c r="IM40" s="208"/>
      <c r="IN40" s="208"/>
      <c r="IO40" s="208"/>
      <c r="IP40" s="208"/>
      <c r="IQ40" s="208"/>
      <c r="IR40" s="208"/>
      <c r="IS40" s="208"/>
      <c r="IT40" s="208"/>
      <c r="IU40" s="208"/>
      <c r="IV40" s="208"/>
      <c r="IW40" s="208"/>
      <c r="IX40" s="208"/>
      <c r="IY40" s="208"/>
    </row>
    <row r="41" spans="1:259" ht="15" customHeight="1" x14ac:dyDescent="0.2">
      <c r="A41" s="195">
        <v>0</v>
      </c>
      <c r="B41" s="196"/>
      <c r="C41" s="196"/>
      <c r="D41" s="197" t="s">
        <v>573</v>
      </c>
      <c r="E41" s="198">
        <v>1</v>
      </c>
      <c r="F41" s="197" t="s">
        <v>430</v>
      </c>
      <c r="G41" s="198">
        <v>1</v>
      </c>
      <c r="H41" s="199" t="s">
        <v>426</v>
      </c>
      <c r="I41" s="197">
        <v>4</v>
      </c>
      <c r="J41" s="197">
        <v>2</v>
      </c>
      <c r="K41" s="197">
        <v>1</v>
      </c>
      <c r="L41" s="198" t="s">
        <v>429</v>
      </c>
      <c r="M41" s="198"/>
      <c r="N41" s="200"/>
      <c r="O41" s="200" t="s">
        <v>574</v>
      </c>
      <c r="P41" s="201" t="s">
        <v>537</v>
      </c>
      <c r="Q41" s="197">
        <v>400</v>
      </c>
      <c r="R41" s="197" t="s">
        <v>538</v>
      </c>
      <c r="S41" s="197"/>
      <c r="T41" s="197"/>
      <c r="U41" s="197"/>
      <c r="V41" s="197"/>
      <c r="W41" s="197"/>
      <c r="X41" s="197"/>
      <c r="Y41" s="197"/>
      <c r="Z41" s="197"/>
      <c r="AA41" s="197" t="s">
        <v>1</v>
      </c>
      <c r="AB41" s="198" t="s">
        <v>2</v>
      </c>
      <c r="AC41" s="198" t="s">
        <v>578</v>
      </c>
      <c r="AD41" s="197" t="s">
        <v>428</v>
      </c>
      <c r="AE41" s="197" t="s">
        <v>428</v>
      </c>
      <c r="AF41" s="197" t="s">
        <v>428</v>
      </c>
      <c r="AG41" s="197" t="s">
        <v>428</v>
      </c>
      <c r="AH41" s="197" t="s">
        <v>428</v>
      </c>
      <c r="AI41" s="197" t="s">
        <v>428</v>
      </c>
      <c r="AJ41" s="197" t="s">
        <v>428</v>
      </c>
      <c r="AK41" s="197" t="s">
        <v>428</v>
      </c>
      <c r="AL41" s="197" t="s">
        <v>428</v>
      </c>
      <c r="AM41" s="197" t="s">
        <v>428</v>
      </c>
      <c r="AN41" s="197" t="s">
        <v>428</v>
      </c>
      <c r="AO41" s="202"/>
      <c r="AP41" s="207"/>
      <c r="AQ41" s="197"/>
      <c r="AR41" s="197"/>
      <c r="AS41" s="197"/>
      <c r="AT41" s="197"/>
      <c r="AU41" s="197"/>
      <c r="AV41" s="197"/>
      <c r="AW41" s="197"/>
      <c r="AX41" s="197"/>
      <c r="AY41" s="197"/>
      <c r="AZ41" s="197"/>
      <c r="BA41" s="197"/>
      <c r="BB41" s="197"/>
      <c r="BC41" s="197"/>
      <c r="BD41" s="197"/>
      <c r="BE41" s="197"/>
      <c r="BF41" s="197"/>
      <c r="BG41" s="197"/>
      <c r="BH41" s="197"/>
      <c r="BI41" s="197"/>
      <c r="BJ41" s="197"/>
      <c r="BK41" s="197"/>
      <c r="BL41" s="197"/>
      <c r="BM41" s="197"/>
      <c r="BN41" s="208"/>
      <c r="BO41" s="208"/>
      <c r="BP41" s="208"/>
      <c r="BQ41" s="208"/>
      <c r="BR41" s="208"/>
      <c r="BS41" s="208"/>
      <c r="BT41" s="208"/>
      <c r="BU41" s="208"/>
      <c r="BV41" s="208"/>
      <c r="BW41" s="208"/>
      <c r="BX41" s="208"/>
      <c r="BY41" s="208"/>
      <c r="BZ41" s="208"/>
      <c r="CA41" s="208"/>
      <c r="CB41" s="208"/>
      <c r="CC41" s="208"/>
      <c r="CD41" s="208"/>
      <c r="CE41" s="208"/>
      <c r="CF41" s="208"/>
      <c r="CG41" s="208"/>
      <c r="CH41" s="208"/>
      <c r="CI41" s="208"/>
      <c r="CJ41" s="208"/>
      <c r="CK41" s="208"/>
      <c r="CL41" s="208"/>
      <c r="CM41" s="208"/>
      <c r="CN41" s="208"/>
      <c r="CO41" s="208"/>
      <c r="CP41" s="208"/>
      <c r="CQ41" s="208"/>
      <c r="CR41" s="208"/>
      <c r="CS41" s="208"/>
      <c r="CT41" s="208"/>
      <c r="CU41" s="208"/>
      <c r="CV41" s="208"/>
      <c r="CW41" s="208"/>
      <c r="CX41" s="208"/>
      <c r="CY41" s="208"/>
      <c r="CZ41" s="208"/>
      <c r="DA41" s="208"/>
      <c r="DB41" s="208"/>
      <c r="DC41" s="208"/>
      <c r="DD41" s="208"/>
      <c r="DE41" s="208"/>
      <c r="DF41" s="208"/>
      <c r="DG41" s="208"/>
      <c r="DH41" s="208"/>
      <c r="DI41" s="208"/>
      <c r="DJ41" s="208"/>
      <c r="DK41" s="208"/>
      <c r="DL41" s="208"/>
      <c r="DM41" s="208"/>
      <c r="DN41" s="208"/>
      <c r="DO41" s="208"/>
      <c r="DP41" s="208"/>
      <c r="DQ41" s="208"/>
      <c r="DR41" s="208"/>
      <c r="DS41" s="208"/>
      <c r="DT41" s="208"/>
      <c r="DU41" s="208"/>
      <c r="DV41" s="208"/>
      <c r="DW41" s="208"/>
      <c r="DX41" s="208"/>
      <c r="DY41" s="208"/>
      <c r="DZ41" s="208"/>
      <c r="EA41" s="208"/>
      <c r="EB41" s="208"/>
      <c r="EC41" s="208"/>
      <c r="ED41" s="208"/>
      <c r="EE41" s="208"/>
      <c r="EF41" s="208"/>
      <c r="EG41" s="208"/>
      <c r="EH41" s="208"/>
      <c r="EI41" s="208"/>
      <c r="EJ41" s="208"/>
      <c r="EK41" s="208"/>
      <c r="EL41" s="208"/>
      <c r="EM41" s="208"/>
      <c r="EN41" s="208"/>
      <c r="EO41" s="208"/>
      <c r="EP41" s="208"/>
      <c r="EQ41" s="208"/>
      <c r="ER41" s="208"/>
      <c r="ES41" s="208"/>
      <c r="ET41" s="208"/>
      <c r="EU41" s="208"/>
      <c r="EV41" s="208"/>
      <c r="EW41" s="208"/>
      <c r="EX41" s="208"/>
      <c r="EY41" s="208"/>
      <c r="EZ41" s="208"/>
      <c r="FA41" s="208"/>
      <c r="FB41" s="208"/>
      <c r="FC41" s="208"/>
      <c r="FD41" s="208"/>
      <c r="FE41" s="208"/>
      <c r="FF41" s="208"/>
      <c r="FG41" s="208"/>
      <c r="FH41" s="208"/>
      <c r="FI41" s="208"/>
      <c r="FJ41" s="208"/>
      <c r="FK41" s="208"/>
      <c r="FL41" s="208"/>
      <c r="FM41" s="208"/>
      <c r="FN41" s="208"/>
      <c r="FO41" s="208"/>
      <c r="FP41" s="208"/>
      <c r="FQ41" s="208"/>
      <c r="FR41" s="208"/>
      <c r="FS41" s="208"/>
      <c r="FT41" s="208"/>
      <c r="FU41" s="208"/>
      <c r="FV41" s="208"/>
      <c r="FW41" s="208"/>
      <c r="FX41" s="208"/>
      <c r="FY41" s="208"/>
      <c r="FZ41" s="208"/>
      <c r="GA41" s="208"/>
      <c r="GB41" s="208"/>
      <c r="GC41" s="208"/>
      <c r="GD41" s="208"/>
      <c r="GE41" s="208"/>
      <c r="GF41" s="208"/>
      <c r="GG41" s="208"/>
      <c r="GH41" s="208"/>
      <c r="GI41" s="208"/>
      <c r="GJ41" s="208"/>
      <c r="GK41" s="208"/>
      <c r="GL41" s="208"/>
      <c r="GM41" s="208"/>
      <c r="GN41" s="208"/>
      <c r="GO41" s="208"/>
      <c r="GP41" s="208"/>
      <c r="GQ41" s="208"/>
      <c r="GR41" s="208"/>
      <c r="GS41" s="208"/>
      <c r="GT41" s="208"/>
      <c r="GU41" s="208"/>
      <c r="GV41" s="208"/>
      <c r="GW41" s="208"/>
      <c r="GX41" s="208"/>
      <c r="GY41" s="208"/>
      <c r="GZ41" s="208"/>
      <c r="HA41" s="208"/>
      <c r="HB41" s="208"/>
      <c r="HC41" s="208"/>
      <c r="HD41" s="208"/>
      <c r="HE41" s="208"/>
      <c r="HF41" s="208"/>
      <c r="HG41" s="208"/>
      <c r="HH41" s="208"/>
      <c r="HI41" s="208"/>
      <c r="HJ41" s="208"/>
      <c r="HK41" s="208"/>
      <c r="HL41" s="208"/>
      <c r="HM41" s="208"/>
      <c r="HN41" s="208"/>
      <c r="HO41" s="208"/>
      <c r="HP41" s="208"/>
      <c r="HQ41" s="208"/>
      <c r="HR41" s="208"/>
      <c r="HS41" s="208"/>
      <c r="HT41" s="208"/>
      <c r="HU41" s="208"/>
      <c r="HV41" s="208"/>
      <c r="HW41" s="208"/>
      <c r="HX41" s="208"/>
      <c r="HY41" s="208"/>
      <c r="HZ41" s="208"/>
      <c r="IA41" s="208"/>
      <c r="IB41" s="208"/>
      <c r="IC41" s="208"/>
      <c r="ID41" s="208"/>
      <c r="IE41" s="208"/>
      <c r="IF41" s="208"/>
      <c r="IG41" s="208"/>
      <c r="IH41" s="208"/>
      <c r="II41" s="208"/>
      <c r="IJ41" s="208"/>
      <c r="IK41" s="208"/>
      <c r="IL41" s="208"/>
      <c r="IM41" s="208"/>
      <c r="IN41" s="208"/>
      <c r="IO41" s="208"/>
      <c r="IP41" s="208"/>
      <c r="IQ41" s="208"/>
      <c r="IR41" s="208"/>
      <c r="IS41" s="208"/>
      <c r="IT41" s="208"/>
      <c r="IU41" s="208"/>
      <c r="IV41" s="208"/>
      <c r="IW41" s="208"/>
      <c r="IX41" s="208"/>
      <c r="IY41" s="208"/>
    </row>
    <row r="42" spans="1:259" ht="14.25" customHeight="1" x14ac:dyDescent="0.2">
      <c r="A42" s="195">
        <v>0</v>
      </c>
      <c r="B42" s="196"/>
      <c r="C42" s="196"/>
      <c r="D42" s="197" t="s">
        <v>573</v>
      </c>
      <c r="E42" s="198">
        <v>1</v>
      </c>
      <c r="F42" s="197" t="s">
        <v>430</v>
      </c>
      <c r="G42" s="198">
        <v>1</v>
      </c>
      <c r="H42" s="199" t="s">
        <v>426</v>
      </c>
      <c r="I42" s="197">
        <v>4</v>
      </c>
      <c r="J42" s="197">
        <v>2</v>
      </c>
      <c r="K42" s="197">
        <v>1</v>
      </c>
      <c r="L42" s="198" t="s">
        <v>429</v>
      </c>
      <c r="M42" s="198"/>
      <c r="N42" s="200"/>
      <c r="O42" s="200" t="s">
        <v>574</v>
      </c>
      <c r="P42" s="201" t="s">
        <v>537</v>
      </c>
      <c r="Q42" s="197">
        <v>400</v>
      </c>
      <c r="R42" s="197" t="s">
        <v>538</v>
      </c>
      <c r="S42" s="197"/>
      <c r="T42" s="197"/>
      <c r="U42" s="197"/>
      <c r="V42" s="197"/>
      <c r="W42" s="197"/>
      <c r="X42" s="197"/>
      <c r="Y42" s="197"/>
      <c r="Z42" s="197"/>
      <c r="AA42" s="197" t="s">
        <v>1</v>
      </c>
      <c r="AB42" s="198" t="s">
        <v>2</v>
      </c>
      <c r="AC42" s="198" t="s">
        <v>578</v>
      </c>
      <c r="AD42" s="197" t="s">
        <v>428</v>
      </c>
      <c r="AE42" s="197" t="s">
        <v>428</v>
      </c>
      <c r="AF42" s="197" t="s">
        <v>428</v>
      </c>
      <c r="AG42" s="197" t="s">
        <v>428</v>
      </c>
      <c r="AH42" s="197" t="s">
        <v>428</v>
      </c>
      <c r="AI42" s="197" t="s">
        <v>428</v>
      </c>
      <c r="AJ42" s="197" t="s">
        <v>428</v>
      </c>
      <c r="AK42" s="197" t="s">
        <v>428</v>
      </c>
      <c r="AL42" s="197" t="s">
        <v>428</v>
      </c>
      <c r="AM42" s="197" t="s">
        <v>428</v>
      </c>
      <c r="AN42" s="197" t="s">
        <v>428</v>
      </c>
      <c r="AO42" s="202"/>
      <c r="AP42" s="207"/>
      <c r="AQ42" s="197"/>
      <c r="AR42" s="197"/>
      <c r="AS42" s="197"/>
      <c r="AT42" s="197"/>
      <c r="AU42" s="197"/>
      <c r="AV42" s="197"/>
      <c r="AW42" s="197"/>
      <c r="AX42" s="197"/>
      <c r="AY42" s="197"/>
      <c r="AZ42" s="197"/>
      <c r="BA42" s="197"/>
      <c r="BB42" s="197"/>
      <c r="BC42" s="197"/>
      <c r="BD42" s="197"/>
      <c r="BE42" s="197"/>
      <c r="BF42" s="197"/>
      <c r="BG42" s="197"/>
      <c r="BH42" s="197"/>
      <c r="BI42" s="197"/>
      <c r="BJ42" s="197"/>
      <c r="BK42" s="197"/>
      <c r="BL42" s="197"/>
      <c r="BM42" s="197"/>
      <c r="BN42" s="208"/>
      <c r="BO42" s="208"/>
      <c r="BP42" s="208"/>
      <c r="BQ42" s="208"/>
      <c r="BR42" s="208"/>
      <c r="BS42" s="208"/>
      <c r="BT42" s="208"/>
      <c r="BU42" s="208"/>
      <c r="BV42" s="208"/>
      <c r="BW42" s="208"/>
      <c r="BX42" s="208"/>
      <c r="BY42" s="208"/>
      <c r="BZ42" s="208"/>
      <c r="CA42" s="208"/>
      <c r="CB42" s="208"/>
      <c r="CC42" s="208"/>
      <c r="CD42" s="208"/>
      <c r="CE42" s="208"/>
      <c r="CF42" s="208"/>
      <c r="CG42" s="208"/>
      <c r="CH42" s="208"/>
      <c r="CI42" s="208"/>
      <c r="CJ42" s="208"/>
      <c r="CK42" s="208"/>
      <c r="CL42" s="208"/>
      <c r="CM42" s="208"/>
      <c r="CN42" s="208"/>
      <c r="CO42" s="208"/>
      <c r="CP42" s="208"/>
      <c r="CQ42" s="208"/>
      <c r="CR42" s="208"/>
      <c r="CS42" s="208"/>
      <c r="CT42" s="208"/>
      <c r="CU42" s="208"/>
      <c r="CV42" s="208"/>
      <c r="CW42" s="208"/>
      <c r="CX42" s="208"/>
      <c r="CY42" s="208"/>
      <c r="CZ42" s="208"/>
      <c r="DA42" s="208"/>
      <c r="DB42" s="208"/>
      <c r="DC42" s="208"/>
      <c r="DD42" s="208"/>
      <c r="DE42" s="208"/>
      <c r="DF42" s="208"/>
      <c r="DG42" s="208"/>
      <c r="DH42" s="208"/>
      <c r="DI42" s="208"/>
      <c r="DJ42" s="208"/>
      <c r="DK42" s="208"/>
      <c r="DL42" s="208"/>
      <c r="DM42" s="208"/>
      <c r="DN42" s="208"/>
      <c r="DO42" s="208"/>
      <c r="DP42" s="208"/>
      <c r="DQ42" s="208"/>
      <c r="DR42" s="208"/>
      <c r="DS42" s="208"/>
      <c r="DT42" s="208"/>
      <c r="DU42" s="208"/>
      <c r="DV42" s="208"/>
      <c r="DW42" s="208"/>
      <c r="DX42" s="208"/>
      <c r="DY42" s="208"/>
      <c r="DZ42" s="208"/>
      <c r="EA42" s="208"/>
      <c r="EB42" s="208"/>
      <c r="EC42" s="208"/>
      <c r="ED42" s="208"/>
      <c r="EE42" s="208"/>
      <c r="EF42" s="208"/>
      <c r="EG42" s="208"/>
      <c r="EH42" s="208"/>
      <c r="EI42" s="208"/>
      <c r="EJ42" s="208"/>
      <c r="EK42" s="208"/>
      <c r="EL42" s="208"/>
      <c r="EM42" s="208"/>
      <c r="EN42" s="208"/>
      <c r="EO42" s="208"/>
      <c r="EP42" s="208"/>
      <c r="EQ42" s="208"/>
      <c r="ER42" s="208"/>
      <c r="ES42" s="208"/>
      <c r="ET42" s="208"/>
      <c r="EU42" s="208"/>
      <c r="EV42" s="208"/>
      <c r="EW42" s="208"/>
      <c r="EX42" s="208"/>
      <c r="EY42" s="208"/>
      <c r="EZ42" s="208"/>
      <c r="FA42" s="208"/>
      <c r="FB42" s="208"/>
      <c r="FC42" s="208"/>
      <c r="FD42" s="208"/>
      <c r="FE42" s="208"/>
      <c r="FF42" s="208"/>
      <c r="FG42" s="208"/>
      <c r="FH42" s="208"/>
      <c r="FI42" s="208"/>
      <c r="FJ42" s="208"/>
      <c r="FK42" s="208"/>
      <c r="FL42" s="208"/>
      <c r="FM42" s="208"/>
      <c r="FN42" s="208"/>
      <c r="FO42" s="208"/>
      <c r="FP42" s="208"/>
      <c r="FQ42" s="208"/>
      <c r="FR42" s="208"/>
      <c r="FS42" s="208"/>
      <c r="FT42" s="208"/>
      <c r="FU42" s="208"/>
      <c r="FV42" s="208"/>
      <c r="FW42" s="208"/>
      <c r="FX42" s="208"/>
      <c r="FY42" s="208"/>
      <c r="FZ42" s="208"/>
      <c r="GA42" s="208"/>
      <c r="GB42" s="208"/>
      <c r="GC42" s="208"/>
      <c r="GD42" s="208"/>
      <c r="GE42" s="208"/>
      <c r="GF42" s="208"/>
      <c r="GG42" s="208"/>
      <c r="GH42" s="208"/>
      <c r="GI42" s="208"/>
      <c r="GJ42" s="208"/>
      <c r="GK42" s="208"/>
      <c r="GL42" s="208"/>
      <c r="GM42" s="208"/>
      <c r="GN42" s="208"/>
      <c r="GO42" s="208"/>
      <c r="GP42" s="208"/>
      <c r="GQ42" s="208"/>
      <c r="GR42" s="208"/>
      <c r="GS42" s="208"/>
      <c r="GT42" s="208"/>
      <c r="GU42" s="208"/>
      <c r="GV42" s="208"/>
      <c r="GW42" s="208"/>
      <c r="GX42" s="208"/>
      <c r="GY42" s="208"/>
      <c r="GZ42" s="208"/>
      <c r="HA42" s="208"/>
      <c r="HB42" s="208"/>
      <c r="HC42" s="208"/>
      <c r="HD42" s="208"/>
      <c r="HE42" s="208"/>
      <c r="HF42" s="208"/>
      <c r="HG42" s="208"/>
      <c r="HH42" s="208"/>
      <c r="HI42" s="208"/>
      <c r="HJ42" s="208"/>
      <c r="HK42" s="208"/>
      <c r="HL42" s="208"/>
      <c r="HM42" s="208"/>
      <c r="HN42" s="208"/>
      <c r="HO42" s="208"/>
      <c r="HP42" s="208"/>
      <c r="HQ42" s="208"/>
      <c r="HR42" s="208"/>
      <c r="HS42" s="208"/>
      <c r="HT42" s="208"/>
      <c r="HU42" s="208"/>
      <c r="HV42" s="208"/>
      <c r="HW42" s="208"/>
      <c r="HX42" s="208"/>
      <c r="HY42" s="208"/>
      <c r="HZ42" s="208"/>
      <c r="IA42" s="208"/>
      <c r="IB42" s="208"/>
      <c r="IC42" s="208"/>
      <c r="ID42" s="208"/>
      <c r="IE42" s="208"/>
      <c r="IF42" s="208"/>
      <c r="IG42" s="208"/>
      <c r="IH42" s="208"/>
      <c r="II42" s="208"/>
      <c r="IJ42" s="208"/>
      <c r="IK42" s="208"/>
      <c r="IL42" s="208"/>
      <c r="IM42" s="208"/>
      <c r="IN42" s="208"/>
      <c r="IO42" s="208"/>
      <c r="IP42" s="208"/>
      <c r="IQ42" s="208"/>
      <c r="IR42" s="208"/>
      <c r="IS42" s="208"/>
      <c r="IT42" s="208"/>
      <c r="IU42" s="208"/>
      <c r="IV42" s="208"/>
      <c r="IW42" s="208"/>
      <c r="IX42" s="208"/>
      <c r="IY42" s="208"/>
    </row>
    <row r="43" spans="1:259" ht="15" customHeight="1" x14ac:dyDescent="0.2">
      <c r="A43" s="195">
        <v>0</v>
      </c>
      <c r="B43" s="196"/>
      <c r="C43" s="196"/>
      <c r="D43" s="197" t="s">
        <v>425</v>
      </c>
      <c r="E43" s="198">
        <v>1</v>
      </c>
      <c r="F43" s="197" t="s">
        <v>535</v>
      </c>
      <c r="G43" s="198">
        <v>1</v>
      </c>
      <c r="H43" s="209" t="s">
        <v>585</v>
      </c>
      <c r="I43" s="197">
        <v>8</v>
      </c>
      <c r="J43" s="197">
        <v>1</v>
      </c>
      <c r="K43" s="197">
        <v>1</v>
      </c>
      <c r="L43" s="198" t="s">
        <v>349</v>
      </c>
      <c r="M43" s="198"/>
      <c r="N43" s="200"/>
      <c r="O43" s="200" t="s">
        <v>586</v>
      </c>
      <c r="P43" s="210" t="s">
        <v>587</v>
      </c>
      <c r="Q43" s="197">
        <v>43</v>
      </c>
      <c r="R43" s="197" t="s">
        <v>588</v>
      </c>
      <c r="S43" s="197" t="s">
        <v>428</v>
      </c>
      <c r="T43" s="197" t="s">
        <v>428</v>
      </c>
      <c r="U43" s="197"/>
      <c r="V43" s="197"/>
      <c r="W43" s="197"/>
      <c r="X43" s="197"/>
      <c r="Y43" s="197"/>
      <c r="Z43" s="197"/>
      <c r="AA43" s="197" t="s">
        <v>1</v>
      </c>
      <c r="AB43" s="198" t="s">
        <v>589</v>
      </c>
      <c r="AC43" s="198" t="s">
        <v>590</v>
      </c>
      <c r="AD43" s="197">
        <v>250</v>
      </c>
      <c r="AE43" s="197">
        <v>380</v>
      </c>
      <c r="AF43" s="197">
        <v>3</v>
      </c>
      <c r="AG43" s="197">
        <v>60</v>
      </c>
      <c r="AH43" s="197" t="s">
        <v>428</v>
      </c>
      <c r="AI43" s="197" t="s">
        <v>428</v>
      </c>
      <c r="AJ43" s="197" t="s">
        <v>1</v>
      </c>
      <c r="AK43" s="197" t="s">
        <v>428</v>
      </c>
      <c r="AL43" s="197" t="s">
        <v>428</v>
      </c>
      <c r="AM43" s="197" t="s">
        <v>591</v>
      </c>
      <c r="AN43" s="197" t="s">
        <v>592</v>
      </c>
      <c r="AO43" s="202"/>
      <c r="AP43" s="207"/>
      <c r="AQ43" s="197"/>
      <c r="AR43" s="197"/>
      <c r="AS43" s="197"/>
      <c r="AT43" s="197"/>
      <c r="AU43" s="197"/>
      <c r="AV43" s="197"/>
      <c r="AW43" s="197"/>
      <c r="AX43" s="197"/>
      <c r="AY43" s="197"/>
      <c r="AZ43" s="197"/>
      <c r="BA43" s="197"/>
      <c r="BB43" s="197"/>
      <c r="BC43" s="197"/>
      <c r="BD43" s="197"/>
      <c r="BE43" s="197"/>
      <c r="BF43" s="197"/>
      <c r="BG43" s="197"/>
      <c r="BH43" s="197"/>
      <c r="BI43" s="197"/>
      <c r="BJ43" s="197"/>
      <c r="BK43" s="197"/>
      <c r="BL43" s="197"/>
      <c r="BM43" s="197"/>
      <c r="BN43" s="208"/>
      <c r="BO43" s="208"/>
      <c r="BP43" s="208"/>
      <c r="BQ43" s="208"/>
      <c r="BR43" s="208"/>
      <c r="BS43" s="208"/>
      <c r="BT43" s="208"/>
      <c r="BU43" s="208"/>
      <c r="BV43" s="208"/>
      <c r="BW43" s="208"/>
      <c r="BX43" s="208"/>
      <c r="BY43" s="208"/>
      <c r="BZ43" s="208"/>
      <c r="CA43" s="208"/>
      <c r="CB43" s="208"/>
      <c r="CC43" s="208"/>
      <c r="CD43" s="208"/>
      <c r="CE43" s="208"/>
      <c r="CF43" s="208"/>
      <c r="CG43" s="208"/>
      <c r="CH43" s="208"/>
      <c r="CI43" s="208"/>
      <c r="CJ43" s="208"/>
      <c r="CK43" s="208"/>
      <c r="CL43" s="208"/>
      <c r="CM43" s="208"/>
      <c r="CN43" s="208"/>
      <c r="CO43" s="208"/>
      <c r="CP43" s="208"/>
      <c r="CQ43" s="208"/>
      <c r="CR43" s="208"/>
      <c r="CS43" s="208"/>
      <c r="CT43" s="208"/>
      <c r="CU43" s="208"/>
      <c r="CV43" s="208"/>
      <c r="CW43" s="208"/>
      <c r="CX43" s="208"/>
      <c r="CY43" s="208"/>
      <c r="CZ43" s="208"/>
      <c r="DA43" s="208"/>
      <c r="DB43" s="208"/>
      <c r="DC43" s="208"/>
      <c r="DD43" s="208"/>
      <c r="DE43" s="208"/>
      <c r="DF43" s="208"/>
      <c r="DG43" s="208"/>
      <c r="DH43" s="208"/>
      <c r="DI43" s="208"/>
      <c r="DJ43" s="208"/>
      <c r="DK43" s="208"/>
      <c r="DL43" s="208"/>
      <c r="DM43" s="208"/>
      <c r="DN43" s="208"/>
      <c r="DO43" s="208"/>
      <c r="DP43" s="208"/>
      <c r="DQ43" s="208"/>
      <c r="DR43" s="208"/>
      <c r="DS43" s="208"/>
      <c r="DT43" s="208"/>
      <c r="DU43" s="208"/>
      <c r="DV43" s="208"/>
      <c r="DW43" s="208"/>
      <c r="DX43" s="208"/>
      <c r="DY43" s="208"/>
      <c r="DZ43" s="208"/>
      <c r="EA43" s="208"/>
      <c r="EB43" s="208"/>
      <c r="EC43" s="208"/>
      <c r="ED43" s="208"/>
      <c r="EE43" s="208"/>
      <c r="EF43" s="208"/>
      <c r="EG43" s="208"/>
      <c r="EH43" s="208"/>
      <c r="EI43" s="208"/>
      <c r="EJ43" s="208"/>
      <c r="EK43" s="208"/>
      <c r="EL43" s="208"/>
      <c r="EM43" s="208"/>
      <c r="EN43" s="208"/>
      <c r="EO43" s="208"/>
      <c r="EP43" s="208"/>
      <c r="EQ43" s="208"/>
      <c r="ER43" s="208"/>
      <c r="ES43" s="208"/>
      <c r="ET43" s="208"/>
      <c r="EU43" s="208"/>
      <c r="EV43" s="208"/>
      <c r="EW43" s="208"/>
      <c r="EX43" s="208"/>
      <c r="EY43" s="208"/>
      <c r="EZ43" s="208"/>
      <c r="FA43" s="208"/>
      <c r="FB43" s="208"/>
      <c r="FC43" s="208"/>
      <c r="FD43" s="208"/>
      <c r="FE43" s="208"/>
      <c r="FF43" s="208"/>
      <c r="FG43" s="208"/>
      <c r="FH43" s="208"/>
      <c r="FI43" s="208"/>
      <c r="FJ43" s="208"/>
      <c r="FK43" s="208"/>
      <c r="FL43" s="208"/>
      <c r="FM43" s="208"/>
      <c r="FN43" s="208"/>
      <c r="FO43" s="208"/>
      <c r="FP43" s="208"/>
      <c r="FQ43" s="208"/>
      <c r="FR43" s="208"/>
      <c r="FS43" s="208"/>
      <c r="FT43" s="208"/>
      <c r="FU43" s="208"/>
      <c r="FV43" s="208"/>
      <c r="FW43" s="208"/>
      <c r="FX43" s="208"/>
      <c r="FY43" s="208"/>
      <c r="FZ43" s="208"/>
      <c r="GA43" s="208"/>
      <c r="GB43" s="208"/>
      <c r="GC43" s="208"/>
      <c r="GD43" s="208"/>
      <c r="GE43" s="208"/>
      <c r="GF43" s="208"/>
      <c r="GG43" s="208"/>
      <c r="GH43" s="208"/>
      <c r="GI43" s="208"/>
      <c r="GJ43" s="208"/>
      <c r="GK43" s="208"/>
      <c r="GL43" s="208"/>
      <c r="GM43" s="208"/>
      <c r="GN43" s="208"/>
      <c r="GO43" s="208"/>
      <c r="GP43" s="208"/>
      <c r="GQ43" s="208"/>
      <c r="GR43" s="208"/>
      <c r="GS43" s="208"/>
      <c r="GT43" s="208"/>
      <c r="GU43" s="208"/>
      <c r="GV43" s="208"/>
      <c r="GW43" s="208"/>
      <c r="GX43" s="208"/>
      <c r="GY43" s="208"/>
      <c r="GZ43" s="208"/>
      <c r="HA43" s="208"/>
      <c r="HB43" s="208"/>
      <c r="HC43" s="208"/>
      <c r="HD43" s="208"/>
      <c r="HE43" s="208"/>
      <c r="HF43" s="208"/>
      <c r="HG43" s="208"/>
      <c r="HH43" s="208"/>
      <c r="HI43" s="208"/>
      <c r="HJ43" s="208"/>
      <c r="HK43" s="208"/>
      <c r="HL43" s="208"/>
      <c r="HM43" s="208"/>
      <c r="HN43" s="208"/>
      <c r="HO43" s="208"/>
      <c r="HP43" s="208"/>
      <c r="HQ43" s="208"/>
      <c r="HR43" s="208"/>
      <c r="HS43" s="208"/>
      <c r="HT43" s="208"/>
      <c r="HU43" s="208"/>
      <c r="HV43" s="208"/>
      <c r="HW43" s="208"/>
      <c r="HX43" s="208"/>
      <c r="HY43" s="208"/>
      <c r="HZ43" s="208"/>
      <c r="IA43" s="208"/>
      <c r="IB43" s="208"/>
      <c r="IC43" s="208"/>
      <c r="ID43" s="208"/>
      <c r="IE43" s="208"/>
      <c r="IF43" s="208"/>
      <c r="IG43" s="208"/>
      <c r="IH43" s="208"/>
      <c r="II43" s="208"/>
      <c r="IJ43" s="208"/>
      <c r="IK43" s="208"/>
      <c r="IL43" s="208"/>
      <c r="IM43" s="208"/>
      <c r="IN43" s="208"/>
      <c r="IO43" s="208"/>
      <c r="IP43" s="208"/>
      <c r="IQ43" s="208"/>
      <c r="IR43" s="208"/>
      <c r="IS43" s="208"/>
      <c r="IT43" s="208"/>
      <c r="IU43" s="208"/>
      <c r="IV43" s="208"/>
      <c r="IW43" s="208"/>
      <c r="IX43" s="208"/>
      <c r="IY43" s="208"/>
    </row>
    <row r="44" spans="1:259" ht="15" customHeight="1" x14ac:dyDescent="0.2">
      <c r="A44" s="195">
        <v>0</v>
      </c>
      <c r="B44" s="196"/>
      <c r="C44" s="196"/>
      <c r="D44" s="197" t="s">
        <v>425</v>
      </c>
      <c r="E44" s="198">
        <v>1</v>
      </c>
      <c r="F44" s="197" t="s">
        <v>535</v>
      </c>
      <c r="G44" s="198">
        <v>1</v>
      </c>
      <c r="H44" s="209" t="s">
        <v>585</v>
      </c>
      <c r="I44" s="197">
        <v>8</v>
      </c>
      <c r="J44" s="197">
        <v>1</v>
      </c>
      <c r="K44" s="197">
        <v>1</v>
      </c>
      <c r="L44" s="198" t="s">
        <v>352</v>
      </c>
      <c r="M44" s="198"/>
      <c r="N44" s="200"/>
      <c r="O44" s="200" t="s">
        <v>586</v>
      </c>
      <c r="P44" s="210" t="s">
        <v>587</v>
      </c>
      <c r="Q44" s="197">
        <v>43</v>
      </c>
      <c r="R44" s="197" t="s">
        <v>588</v>
      </c>
      <c r="S44" s="197" t="s">
        <v>428</v>
      </c>
      <c r="T44" s="197" t="s">
        <v>428</v>
      </c>
      <c r="U44" s="197"/>
      <c r="V44" s="197"/>
      <c r="W44" s="197"/>
      <c r="X44" s="197"/>
      <c r="Y44" s="197"/>
      <c r="Z44" s="197"/>
      <c r="AA44" s="197" t="s">
        <v>1</v>
      </c>
      <c r="AB44" s="198" t="s">
        <v>589</v>
      </c>
      <c r="AC44" s="198" t="s">
        <v>590</v>
      </c>
      <c r="AD44" s="197">
        <v>250</v>
      </c>
      <c r="AE44" s="197">
        <v>380</v>
      </c>
      <c r="AF44" s="197">
        <v>3</v>
      </c>
      <c r="AG44" s="197">
        <v>60</v>
      </c>
      <c r="AH44" s="197" t="s">
        <v>428</v>
      </c>
      <c r="AI44" s="197" t="s">
        <v>428</v>
      </c>
      <c r="AJ44" s="197" t="s">
        <v>1</v>
      </c>
      <c r="AK44" s="197" t="s">
        <v>428</v>
      </c>
      <c r="AL44" s="197" t="s">
        <v>428</v>
      </c>
      <c r="AM44" s="197" t="s">
        <v>591</v>
      </c>
      <c r="AN44" s="197" t="s">
        <v>592</v>
      </c>
      <c r="AO44" s="202"/>
      <c r="AP44" s="207"/>
      <c r="AQ44" s="197"/>
      <c r="AR44" s="197"/>
      <c r="AS44" s="197"/>
      <c r="AT44" s="197"/>
      <c r="AU44" s="197"/>
      <c r="AV44" s="197"/>
      <c r="AW44" s="197"/>
      <c r="AX44" s="197"/>
      <c r="AY44" s="197"/>
      <c r="AZ44" s="197"/>
      <c r="BA44" s="197"/>
      <c r="BB44" s="197"/>
      <c r="BC44" s="197"/>
      <c r="BD44" s="197"/>
      <c r="BE44" s="197"/>
      <c r="BF44" s="197"/>
      <c r="BG44" s="197"/>
      <c r="BH44" s="197"/>
      <c r="BI44" s="197"/>
      <c r="BJ44" s="197"/>
      <c r="BK44" s="197"/>
      <c r="BL44" s="197"/>
      <c r="BM44" s="197"/>
      <c r="BN44" s="208"/>
      <c r="BO44" s="208"/>
      <c r="BP44" s="208"/>
      <c r="BQ44" s="208"/>
      <c r="BR44" s="208"/>
      <c r="BS44" s="208"/>
      <c r="BT44" s="208"/>
      <c r="BU44" s="208"/>
      <c r="BV44" s="208"/>
      <c r="BW44" s="208"/>
      <c r="BX44" s="208"/>
      <c r="BY44" s="208"/>
      <c r="BZ44" s="208"/>
      <c r="CA44" s="208"/>
      <c r="CB44" s="208"/>
      <c r="CC44" s="208"/>
      <c r="CD44" s="208"/>
      <c r="CE44" s="208"/>
      <c r="CF44" s="208"/>
      <c r="CG44" s="208"/>
      <c r="CH44" s="208"/>
      <c r="CI44" s="208"/>
      <c r="CJ44" s="208"/>
      <c r="CK44" s="208"/>
      <c r="CL44" s="208"/>
      <c r="CM44" s="208"/>
      <c r="CN44" s="208"/>
      <c r="CO44" s="208"/>
      <c r="CP44" s="208"/>
      <c r="CQ44" s="208"/>
      <c r="CR44" s="208"/>
      <c r="CS44" s="208"/>
      <c r="CT44" s="208"/>
      <c r="CU44" s="208"/>
      <c r="CV44" s="208"/>
      <c r="CW44" s="208"/>
      <c r="CX44" s="208"/>
      <c r="CY44" s="208"/>
      <c r="CZ44" s="208"/>
      <c r="DA44" s="208"/>
      <c r="DB44" s="208"/>
      <c r="DC44" s="208"/>
      <c r="DD44" s="208"/>
      <c r="DE44" s="208"/>
      <c r="DF44" s="208"/>
      <c r="DG44" s="208"/>
      <c r="DH44" s="208"/>
      <c r="DI44" s="208"/>
      <c r="DJ44" s="208"/>
      <c r="DK44" s="208"/>
      <c r="DL44" s="208"/>
      <c r="DM44" s="208"/>
      <c r="DN44" s="208"/>
      <c r="DO44" s="208"/>
      <c r="DP44" s="208"/>
      <c r="DQ44" s="208"/>
      <c r="DR44" s="208"/>
      <c r="DS44" s="208"/>
      <c r="DT44" s="208"/>
      <c r="DU44" s="208"/>
      <c r="DV44" s="208"/>
      <c r="DW44" s="208"/>
      <c r="DX44" s="208"/>
      <c r="DY44" s="208"/>
      <c r="DZ44" s="208"/>
      <c r="EA44" s="208"/>
      <c r="EB44" s="208"/>
      <c r="EC44" s="208"/>
      <c r="ED44" s="208"/>
      <c r="EE44" s="208"/>
      <c r="EF44" s="208"/>
      <c r="EG44" s="208"/>
      <c r="EH44" s="208"/>
      <c r="EI44" s="208"/>
      <c r="EJ44" s="208"/>
      <c r="EK44" s="208"/>
      <c r="EL44" s="208"/>
      <c r="EM44" s="208"/>
      <c r="EN44" s="208"/>
      <c r="EO44" s="208"/>
      <c r="EP44" s="208"/>
      <c r="EQ44" s="208"/>
      <c r="ER44" s="208"/>
      <c r="ES44" s="208"/>
      <c r="ET44" s="208"/>
      <c r="EU44" s="208"/>
      <c r="EV44" s="208"/>
      <c r="EW44" s="208"/>
      <c r="EX44" s="208"/>
      <c r="EY44" s="208"/>
      <c r="EZ44" s="208"/>
      <c r="FA44" s="208"/>
      <c r="FB44" s="208"/>
      <c r="FC44" s="208"/>
      <c r="FD44" s="208"/>
      <c r="FE44" s="208"/>
      <c r="FF44" s="208"/>
      <c r="FG44" s="208"/>
      <c r="FH44" s="208"/>
      <c r="FI44" s="208"/>
      <c r="FJ44" s="208"/>
      <c r="FK44" s="208"/>
      <c r="FL44" s="208"/>
      <c r="FM44" s="208"/>
      <c r="FN44" s="208"/>
      <c r="FO44" s="208"/>
      <c r="FP44" s="208"/>
      <c r="FQ44" s="208"/>
      <c r="FR44" s="208"/>
      <c r="FS44" s="208"/>
      <c r="FT44" s="208"/>
      <c r="FU44" s="208"/>
      <c r="FV44" s="208"/>
      <c r="FW44" s="208"/>
      <c r="FX44" s="208"/>
      <c r="FY44" s="208"/>
      <c r="FZ44" s="208"/>
      <c r="GA44" s="208"/>
      <c r="GB44" s="208"/>
      <c r="GC44" s="208"/>
      <c r="GD44" s="208"/>
      <c r="GE44" s="208"/>
      <c r="GF44" s="208"/>
      <c r="GG44" s="208"/>
      <c r="GH44" s="208"/>
      <c r="GI44" s="208"/>
      <c r="GJ44" s="208"/>
      <c r="GK44" s="208"/>
      <c r="GL44" s="208"/>
      <c r="GM44" s="208"/>
      <c r="GN44" s="208"/>
      <c r="GO44" s="208"/>
      <c r="GP44" s="208"/>
      <c r="GQ44" s="208"/>
      <c r="GR44" s="208"/>
      <c r="GS44" s="208"/>
      <c r="GT44" s="208"/>
      <c r="GU44" s="208"/>
      <c r="GV44" s="208"/>
      <c r="GW44" s="208"/>
      <c r="GX44" s="208"/>
      <c r="GY44" s="208"/>
      <c r="GZ44" s="208"/>
      <c r="HA44" s="208"/>
      <c r="HB44" s="208"/>
      <c r="HC44" s="208"/>
      <c r="HD44" s="208"/>
      <c r="HE44" s="208"/>
      <c r="HF44" s="208"/>
      <c r="HG44" s="208"/>
      <c r="HH44" s="208"/>
      <c r="HI44" s="208"/>
      <c r="HJ44" s="208"/>
      <c r="HK44" s="208"/>
      <c r="HL44" s="208"/>
      <c r="HM44" s="208"/>
      <c r="HN44" s="208"/>
      <c r="HO44" s="208"/>
      <c r="HP44" s="208"/>
      <c r="HQ44" s="208"/>
      <c r="HR44" s="208"/>
      <c r="HS44" s="208"/>
      <c r="HT44" s="208"/>
      <c r="HU44" s="208"/>
      <c r="HV44" s="208"/>
      <c r="HW44" s="208"/>
      <c r="HX44" s="208"/>
      <c r="HY44" s="208"/>
      <c r="HZ44" s="208"/>
      <c r="IA44" s="208"/>
      <c r="IB44" s="208"/>
      <c r="IC44" s="208"/>
      <c r="ID44" s="208"/>
      <c r="IE44" s="208"/>
      <c r="IF44" s="208"/>
      <c r="IG44" s="208"/>
      <c r="IH44" s="208"/>
      <c r="II44" s="208"/>
      <c r="IJ44" s="208"/>
      <c r="IK44" s="208"/>
      <c r="IL44" s="208"/>
      <c r="IM44" s="208"/>
      <c r="IN44" s="208"/>
      <c r="IO44" s="208"/>
      <c r="IP44" s="208"/>
      <c r="IQ44" s="208"/>
      <c r="IR44" s="208"/>
      <c r="IS44" s="208"/>
      <c r="IT44" s="208"/>
      <c r="IU44" s="208"/>
      <c r="IV44" s="208"/>
      <c r="IW44" s="208"/>
      <c r="IX44" s="208"/>
      <c r="IY44" s="208"/>
    </row>
    <row r="45" spans="1:259" ht="15" customHeight="1" x14ac:dyDescent="0.2">
      <c r="A45" s="195">
        <v>0</v>
      </c>
      <c r="B45" s="196"/>
      <c r="C45" s="196"/>
      <c r="D45" s="197" t="s">
        <v>425</v>
      </c>
      <c r="E45" s="198">
        <v>1</v>
      </c>
      <c r="F45" s="197" t="s">
        <v>535</v>
      </c>
      <c r="G45" s="198">
        <v>1</v>
      </c>
      <c r="H45" s="209" t="s">
        <v>585</v>
      </c>
      <c r="I45" s="197">
        <v>8</v>
      </c>
      <c r="J45" s="197">
        <v>1</v>
      </c>
      <c r="K45" s="197">
        <v>1</v>
      </c>
      <c r="L45" s="198" t="s">
        <v>549</v>
      </c>
      <c r="M45" s="198"/>
      <c r="N45" s="200"/>
      <c r="O45" s="200" t="s">
        <v>586</v>
      </c>
      <c r="P45" s="210" t="s">
        <v>587</v>
      </c>
      <c r="Q45" s="197">
        <v>43</v>
      </c>
      <c r="R45" s="197" t="s">
        <v>588</v>
      </c>
      <c r="S45" s="197" t="s">
        <v>428</v>
      </c>
      <c r="T45" s="197" t="s">
        <v>428</v>
      </c>
      <c r="U45" s="197"/>
      <c r="V45" s="197"/>
      <c r="W45" s="197"/>
      <c r="X45" s="197"/>
      <c r="Y45" s="197"/>
      <c r="Z45" s="197"/>
      <c r="AA45" s="197" t="s">
        <v>1</v>
      </c>
      <c r="AB45" s="198" t="s">
        <v>589</v>
      </c>
      <c r="AC45" s="198" t="s">
        <v>590</v>
      </c>
      <c r="AD45" s="197">
        <v>250</v>
      </c>
      <c r="AE45" s="197">
        <v>380</v>
      </c>
      <c r="AF45" s="197">
        <v>3</v>
      </c>
      <c r="AG45" s="197">
        <v>60</v>
      </c>
      <c r="AH45" s="197" t="s">
        <v>428</v>
      </c>
      <c r="AI45" s="197" t="s">
        <v>428</v>
      </c>
      <c r="AJ45" s="197" t="s">
        <v>385</v>
      </c>
      <c r="AK45" s="197" t="s">
        <v>428</v>
      </c>
      <c r="AL45" s="197" t="s">
        <v>428</v>
      </c>
      <c r="AM45" s="197" t="s">
        <v>591</v>
      </c>
      <c r="AN45" s="197" t="s">
        <v>593</v>
      </c>
      <c r="AO45" s="202"/>
      <c r="AP45" s="207"/>
      <c r="AQ45" s="197"/>
      <c r="AR45" s="197"/>
      <c r="AS45" s="197"/>
      <c r="AT45" s="197"/>
      <c r="AU45" s="197"/>
      <c r="AV45" s="197"/>
      <c r="AW45" s="197"/>
      <c r="AX45" s="197"/>
      <c r="AY45" s="197"/>
      <c r="AZ45" s="197"/>
      <c r="BA45" s="197"/>
      <c r="BB45" s="197"/>
      <c r="BC45" s="197"/>
      <c r="BD45" s="197"/>
      <c r="BE45" s="197"/>
      <c r="BF45" s="197"/>
      <c r="BG45" s="197"/>
      <c r="BH45" s="197"/>
      <c r="BI45" s="197"/>
      <c r="BJ45" s="197"/>
      <c r="BK45" s="197"/>
      <c r="BL45" s="197"/>
      <c r="BM45" s="197"/>
      <c r="BN45" s="208"/>
      <c r="BO45" s="208"/>
      <c r="BP45" s="208"/>
      <c r="BQ45" s="208"/>
      <c r="BR45" s="208"/>
      <c r="BS45" s="208"/>
      <c r="BT45" s="208"/>
      <c r="BU45" s="208"/>
      <c r="BV45" s="208"/>
      <c r="BW45" s="208"/>
      <c r="BX45" s="208"/>
      <c r="BY45" s="208"/>
      <c r="BZ45" s="208"/>
      <c r="CA45" s="208"/>
      <c r="CB45" s="208"/>
      <c r="CC45" s="208"/>
      <c r="CD45" s="208"/>
      <c r="CE45" s="208"/>
      <c r="CF45" s="208"/>
      <c r="CG45" s="208"/>
      <c r="CH45" s="208"/>
      <c r="CI45" s="208"/>
      <c r="CJ45" s="208"/>
      <c r="CK45" s="208"/>
      <c r="CL45" s="208"/>
      <c r="CM45" s="208"/>
      <c r="CN45" s="208"/>
      <c r="CO45" s="208"/>
      <c r="CP45" s="208"/>
      <c r="CQ45" s="208"/>
      <c r="CR45" s="208"/>
      <c r="CS45" s="208"/>
      <c r="CT45" s="208"/>
      <c r="CU45" s="208"/>
      <c r="CV45" s="208"/>
      <c r="CW45" s="208"/>
      <c r="CX45" s="208"/>
      <c r="CY45" s="208"/>
      <c r="CZ45" s="208"/>
      <c r="DA45" s="208"/>
      <c r="DB45" s="208"/>
      <c r="DC45" s="208"/>
      <c r="DD45" s="208"/>
      <c r="DE45" s="208"/>
      <c r="DF45" s="208"/>
      <c r="DG45" s="208"/>
      <c r="DH45" s="208"/>
      <c r="DI45" s="208"/>
      <c r="DJ45" s="208"/>
      <c r="DK45" s="208"/>
      <c r="DL45" s="208"/>
      <c r="DM45" s="208"/>
      <c r="DN45" s="208"/>
      <c r="DO45" s="208"/>
      <c r="DP45" s="208"/>
      <c r="DQ45" s="208"/>
      <c r="DR45" s="208"/>
      <c r="DS45" s="208"/>
      <c r="DT45" s="208"/>
      <c r="DU45" s="208"/>
      <c r="DV45" s="208"/>
      <c r="DW45" s="208"/>
      <c r="DX45" s="208"/>
      <c r="DY45" s="208"/>
      <c r="DZ45" s="208"/>
      <c r="EA45" s="208"/>
      <c r="EB45" s="208"/>
      <c r="EC45" s="208"/>
      <c r="ED45" s="208"/>
      <c r="EE45" s="208"/>
      <c r="EF45" s="208"/>
      <c r="EG45" s="208"/>
      <c r="EH45" s="208"/>
      <c r="EI45" s="208"/>
      <c r="EJ45" s="208"/>
      <c r="EK45" s="208"/>
      <c r="EL45" s="208"/>
      <c r="EM45" s="208"/>
      <c r="EN45" s="208"/>
      <c r="EO45" s="208"/>
      <c r="EP45" s="208"/>
      <c r="EQ45" s="208"/>
      <c r="ER45" s="208"/>
      <c r="ES45" s="208"/>
      <c r="ET45" s="208"/>
      <c r="EU45" s="208"/>
      <c r="EV45" s="208"/>
      <c r="EW45" s="208"/>
      <c r="EX45" s="208"/>
      <c r="EY45" s="208"/>
      <c r="EZ45" s="208"/>
      <c r="FA45" s="208"/>
      <c r="FB45" s="208"/>
      <c r="FC45" s="208"/>
      <c r="FD45" s="208"/>
      <c r="FE45" s="208"/>
      <c r="FF45" s="208"/>
      <c r="FG45" s="208"/>
      <c r="FH45" s="208"/>
      <c r="FI45" s="208"/>
      <c r="FJ45" s="208"/>
      <c r="FK45" s="208"/>
      <c r="FL45" s="208"/>
      <c r="FM45" s="208"/>
      <c r="FN45" s="208"/>
      <c r="FO45" s="208"/>
      <c r="FP45" s="208"/>
      <c r="FQ45" s="208"/>
      <c r="FR45" s="208"/>
      <c r="FS45" s="208"/>
      <c r="FT45" s="208"/>
      <c r="FU45" s="208"/>
      <c r="FV45" s="208"/>
      <c r="FW45" s="208"/>
      <c r="FX45" s="208"/>
      <c r="FY45" s="208"/>
      <c r="FZ45" s="208"/>
      <c r="GA45" s="208"/>
      <c r="GB45" s="208"/>
      <c r="GC45" s="208"/>
      <c r="GD45" s="208"/>
      <c r="GE45" s="208"/>
      <c r="GF45" s="208"/>
      <c r="GG45" s="208"/>
      <c r="GH45" s="208"/>
      <c r="GI45" s="208"/>
      <c r="GJ45" s="208"/>
      <c r="GK45" s="208"/>
      <c r="GL45" s="208"/>
      <c r="GM45" s="208"/>
      <c r="GN45" s="208"/>
      <c r="GO45" s="208"/>
      <c r="GP45" s="208"/>
      <c r="GQ45" s="208"/>
      <c r="GR45" s="208"/>
      <c r="GS45" s="208"/>
      <c r="GT45" s="208"/>
      <c r="GU45" s="208"/>
      <c r="GV45" s="208"/>
      <c r="GW45" s="208"/>
      <c r="GX45" s="208"/>
      <c r="GY45" s="208"/>
      <c r="GZ45" s="208"/>
      <c r="HA45" s="208"/>
      <c r="HB45" s="208"/>
      <c r="HC45" s="208"/>
      <c r="HD45" s="208"/>
      <c r="HE45" s="208"/>
      <c r="HF45" s="208"/>
      <c r="HG45" s="208"/>
      <c r="HH45" s="208"/>
      <c r="HI45" s="208"/>
      <c r="HJ45" s="208"/>
      <c r="HK45" s="208"/>
      <c r="HL45" s="208"/>
      <c r="HM45" s="208"/>
      <c r="HN45" s="208"/>
      <c r="HO45" s="208"/>
      <c r="HP45" s="208"/>
      <c r="HQ45" s="208"/>
      <c r="HR45" s="208"/>
      <c r="HS45" s="208"/>
      <c r="HT45" s="208"/>
      <c r="HU45" s="208"/>
      <c r="HV45" s="208"/>
      <c r="HW45" s="208"/>
      <c r="HX45" s="208"/>
      <c r="HY45" s="208"/>
      <c r="HZ45" s="208"/>
      <c r="IA45" s="208"/>
      <c r="IB45" s="208"/>
      <c r="IC45" s="208"/>
      <c r="ID45" s="208"/>
      <c r="IE45" s="208"/>
      <c r="IF45" s="208"/>
      <c r="IG45" s="208"/>
      <c r="IH45" s="208"/>
      <c r="II45" s="208"/>
      <c r="IJ45" s="208"/>
      <c r="IK45" s="208"/>
      <c r="IL45" s="208"/>
      <c r="IM45" s="208"/>
      <c r="IN45" s="208"/>
      <c r="IO45" s="208"/>
      <c r="IP45" s="208"/>
      <c r="IQ45" s="208"/>
      <c r="IR45" s="208"/>
      <c r="IS45" s="208"/>
      <c r="IT45" s="208"/>
      <c r="IU45" s="208"/>
      <c r="IV45" s="208"/>
      <c r="IW45" s="208"/>
      <c r="IX45" s="208"/>
      <c r="IY45" s="208"/>
    </row>
    <row r="46" spans="1:259" ht="15" customHeight="1" x14ac:dyDescent="0.2">
      <c r="A46" s="195">
        <v>0</v>
      </c>
      <c r="B46" s="196"/>
      <c r="C46" s="196"/>
      <c r="D46" s="197" t="s">
        <v>425</v>
      </c>
      <c r="E46" s="198">
        <v>1</v>
      </c>
      <c r="F46" s="197" t="s">
        <v>535</v>
      </c>
      <c r="G46" s="198">
        <v>1</v>
      </c>
      <c r="H46" s="209" t="s">
        <v>585</v>
      </c>
      <c r="I46" s="197">
        <v>8</v>
      </c>
      <c r="J46" s="197">
        <v>1</v>
      </c>
      <c r="K46" s="197">
        <v>1</v>
      </c>
      <c r="L46" s="198" t="s">
        <v>546</v>
      </c>
      <c r="M46" s="198"/>
      <c r="N46" s="200"/>
      <c r="O46" s="200" t="s">
        <v>586</v>
      </c>
      <c r="P46" s="210" t="s">
        <v>587</v>
      </c>
      <c r="Q46" s="197" t="s">
        <v>428</v>
      </c>
      <c r="R46" s="197" t="s">
        <v>428</v>
      </c>
      <c r="S46" s="197" t="s">
        <v>428</v>
      </c>
      <c r="T46" s="197" t="s">
        <v>428</v>
      </c>
      <c r="U46" s="197"/>
      <c r="V46" s="197"/>
      <c r="W46" s="197"/>
      <c r="X46" s="197"/>
      <c r="Y46" s="197"/>
      <c r="Z46" s="197"/>
      <c r="AA46" s="197" t="s">
        <v>1</v>
      </c>
      <c r="AB46" s="198" t="s">
        <v>589</v>
      </c>
      <c r="AC46" s="198" t="s">
        <v>590</v>
      </c>
      <c r="AD46" s="197" t="s">
        <v>428</v>
      </c>
      <c r="AE46" s="197">
        <v>380</v>
      </c>
      <c r="AF46" s="197">
        <v>3</v>
      </c>
      <c r="AG46" s="197">
        <v>60</v>
      </c>
      <c r="AH46" s="197" t="s">
        <v>428</v>
      </c>
      <c r="AI46" s="197" t="s">
        <v>428</v>
      </c>
      <c r="AJ46" s="197" t="s">
        <v>385</v>
      </c>
      <c r="AK46" s="197" t="s">
        <v>428</v>
      </c>
      <c r="AL46" s="197" t="s">
        <v>428</v>
      </c>
      <c r="AM46" s="197" t="s">
        <v>591</v>
      </c>
      <c r="AN46" s="197" t="s">
        <v>593</v>
      </c>
      <c r="AO46" s="202"/>
    </row>
    <row r="47" spans="1:259" ht="15" customHeight="1" x14ac:dyDescent="0.2">
      <c r="A47" s="195">
        <v>0</v>
      </c>
      <c r="B47" s="196"/>
      <c r="C47" s="196"/>
      <c r="D47" s="197" t="s">
        <v>425</v>
      </c>
      <c r="E47" s="198">
        <v>1</v>
      </c>
      <c r="F47" s="197" t="s">
        <v>535</v>
      </c>
      <c r="G47" s="198">
        <v>1</v>
      </c>
      <c r="H47" s="209" t="s">
        <v>585</v>
      </c>
      <c r="I47" s="197">
        <v>8</v>
      </c>
      <c r="J47" s="197">
        <v>1</v>
      </c>
      <c r="K47" s="197">
        <v>1</v>
      </c>
      <c r="L47" s="198" t="s">
        <v>433</v>
      </c>
      <c r="M47" s="198"/>
      <c r="N47" s="200"/>
      <c r="O47" s="200" t="s">
        <v>586</v>
      </c>
      <c r="P47" s="210" t="s">
        <v>587</v>
      </c>
      <c r="Q47" s="197" t="s">
        <v>428</v>
      </c>
      <c r="R47" s="197" t="s">
        <v>428</v>
      </c>
      <c r="S47" s="197" t="s">
        <v>428</v>
      </c>
      <c r="T47" s="197" t="s">
        <v>428</v>
      </c>
      <c r="U47" s="197"/>
      <c r="V47" s="197"/>
      <c r="W47" s="197"/>
      <c r="X47" s="197"/>
      <c r="Y47" s="197"/>
      <c r="Z47" s="197"/>
      <c r="AA47" s="197" t="s">
        <v>1</v>
      </c>
      <c r="AB47" s="198" t="s">
        <v>589</v>
      </c>
      <c r="AC47" s="198" t="s">
        <v>590</v>
      </c>
      <c r="AD47" s="197" t="s">
        <v>428</v>
      </c>
      <c r="AE47" s="197">
        <v>380</v>
      </c>
      <c r="AF47" s="197">
        <v>3</v>
      </c>
      <c r="AG47" s="197">
        <v>60</v>
      </c>
      <c r="AH47" s="197" t="s">
        <v>428</v>
      </c>
      <c r="AI47" s="197" t="s">
        <v>428</v>
      </c>
      <c r="AJ47" s="197" t="s">
        <v>385</v>
      </c>
      <c r="AK47" s="197" t="s">
        <v>428</v>
      </c>
      <c r="AL47" s="197" t="s">
        <v>428</v>
      </c>
      <c r="AM47" s="197" t="s">
        <v>591</v>
      </c>
      <c r="AN47" s="197" t="s">
        <v>593</v>
      </c>
      <c r="AO47" s="202"/>
    </row>
    <row r="48" spans="1:259" ht="15" customHeight="1" x14ac:dyDescent="0.2">
      <c r="A48" s="195">
        <v>0</v>
      </c>
      <c r="B48" s="196"/>
      <c r="C48" s="196"/>
      <c r="D48" s="197" t="s">
        <v>425</v>
      </c>
      <c r="E48" s="198">
        <v>1</v>
      </c>
      <c r="F48" s="197" t="s">
        <v>535</v>
      </c>
      <c r="G48" s="198">
        <v>1</v>
      </c>
      <c r="H48" s="209" t="s">
        <v>565</v>
      </c>
      <c r="I48" s="197">
        <v>8</v>
      </c>
      <c r="J48" s="197">
        <v>1</v>
      </c>
      <c r="K48" s="197">
        <v>1</v>
      </c>
      <c r="L48" s="198" t="s">
        <v>349</v>
      </c>
      <c r="M48" s="198"/>
      <c r="N48" s="200"/>
      <c r="O48" s="200" t="s">
        <v>586</v>
      </c>
      <c r="P48" s="210" t="s">
        <v>594</v>
      </c>
      <c r="Q48" s="197">
        <v>15</v>
      </c>
      <c r="R48" s="197" t="s">
        <v>567</v>
      </c>
      <c r="S48" s="197">
        <v>10</v>
      </c>
      <c r="T48" s="197" t="s">
        <v>595</v>
      </c>
      <c r="U48" s="197"/>
      <c r="V48" s="197"/>
      <c r="W48" s="197"/>
      <c r="X48" s="197"/>
      <c r="Y48" s="197"/>
      <c r="Z48" s="197"/>
      <c r="AA48" s="197" t="s">
        <v>1</v>
      </c>
      <c r="AB48" s="198" t="s">
        <v>589</v>
      </c>
      <c r="AC48" s="198" t="s">
        <v>590</v>
      </c>
      <c r="AD48" s="197" t="s">
        <v>438</v>
      </c>
      <c r="AE48" s="197" t="s">
        <v>438</v>
      </c>
      <c r="AF48" s="197" t="s">
        <v>438</v>
      </c>
      <c r="AG48" s="197" t="s">
        <v>438</v>
      </c>
      <c r="AH48" s="197" t="s">
        <v>438</v>
      </c>
      <c r="AI48" s="197" t="s">
        <v>438</v>
      </c>
      <c r="AJ48" s="197" t="s">
        <v>438</v>
      </c>
      <c r="AK48" s="197" t="s">
        <v>438</v>
      </c>
      <c r="AL48" s="197" t="s">
        <v>438</v>
      </c>
      <c r="AM48" s="197" t="s">
        <v>591</v>
      </c>
      <c r="AN48" s="197" t="s">
        <v>438</v>
      </c>
      <c r="AO48" s="202"/>
      <c r="AP48" s="207"/>
      <c r="AQ48" s="197"/>
      <c r="AR48" s="197"/>
      <c r="AS48" s="197"/>
      <c r="AT48" s="197"/>
      <c r="AU48" s="197"/>
      <c r="AV48" s="197"/>
      <c r="AW48" s="197"/>
      <c r="AX48" s="197"/>
      <c r="AY48" s="197"/>
      <c r="AZ48" s="197"/>
      <c r="BA48" s="197"/>
      <c r="BB48" s="197"/>
      <c r="BC48" s="197"/>
      <c r="BD48" s="197"/>
      <c r="BE48" s="197"/>
      <c r="BF48" s="197"/>
      <c r="BG48" s="197"/>
      <c r="BH48" s="197"/>
      <c r="BI48" s="197"/>
      <c r="BJ48" s="197"/>
      <c r="BK48" s="197"/>
      <c r="BL48" s="197"/>
      <c r="BM48" s="197"/>
      <c r="BN48" s="208"/>
      <c r="BO48" s="208"/>
      <c r="BP48" s="208"/>
      <c r="BQ48" s="208"/>
      <c r="BR48" s="208"/>
      <c r="BS48" s="208"/>
      <c r="BT48" s="208"/>
      <c r="BU48" s="208"/>
      <c r="BV48" s="208"/>
      <c r="BW48" s="208"/>
      <c r="BX48" s="208"/>
      <c r="BY48" s="208"/>
      <c r="BZ48" s="208"/>
      <c r="CA48" s="208"/>
      <c r="CB48" s="208"/>
      <c r="CC48" s="208"/>
      <c r="CD48" s="208"/>
      <c r="CE48" s="208"/>
      <c r="CF48" s="208"/>
      <c r="CG48" s="208"/>
      <c r="CH48" s="208"/>
      <c r="CI48" s="208"/>
      <c r="CJ48" s="208"/>
      <c r="CK48" s="208"/>
      <c r="CL48" s="208"/>
      <c r="CM48" s="208"/>
      <c r="CN48" s="208"/>
      <c r="CO48" s="208"/>
      <c r="CP48" s="208"/>
      <c r="CQ48" s="208"/>
      <c r="CR48" s="208"/>
      <c r="CS48" s="208"/>
      <c r="CT48" s="208"/>
      <c r="CU48" s="208"/>
      <c r="CV48" s="208"/>
      <c r="CW48" s="208"/>
      <c r="CX48" s="208"/>
      <c r="CY48" s="208"/>
      <c r="CZ48" s="208"/>
      <c r="DA48" s="208"/>
      <c r="DB48" s="208"/>
      <c r="DC48" s="208"/>
      <c r="DD48" s="208"/>
      <c r="DE48" s="208"/>
      <c r="DF48" s="208"/>
      <c r="DG48" s="208"/>
      <c r="DH48" s="208"/>
      <c r="DI48" s="208"/>
      <c r="DJ48" s="208"/>
      <c r="DK48" s="208"/>
      <c r="DL48" s="208"/>
      <c r="DM48" s="208"/>
      <c r="DN48" s="208"/>
      <c r="DO48" s="208"/>
      <c r="DP48" s="208"/>
      <c r="DQ48" s="208"/>
      <c r="DR48" s="208"/>
      <c r="DS48" s="208"/>
      <c r="DT48" s="208"/>
      <c r="DU48" s="208"/>
      <c r="DV48" s="208"/>
      <c r="DW48" s="208"/>
      <c r="DX48" s="208"/>
      <c r="DY48" s="208"/>
      <c r="DZ48" s="208"/>
      <c r="EA48" s="208"/>
      <c r="EB48" s="208"/>
      <c r="EC48" s="208"/>
      <c r="ED48" s="208"/>
      <c r="EE48" s="208"/>
      <c r="EF48" s="208"/>
      <c r="EG48" s="208"/>
      <c r="EH48" s="208"/>
      <c r="EI48" s="208"/>
      <c r="EJ48" s="208"/>
      <c r="EK48" s="208"/>
      <c r="EL48" s="208"/>
      <c r="EM48" s="208"/>
      <c r="EN48" s="208"/>
      <c r="EO48" s="208"/>
      <c r="EP48" s="208"/>
      <c r="EQ48" s="208"/>
      <c r="ER48" s="208"/>
      <c r="ES48" s="208"/>
      <c r="ET48" s="208"/>
      <c r="EU48" s="208"/>
      <c r="EV48" s="208"/>
      <c r="EW48" s="208"/>
      <c r="EX48" s="208"/>
      <c r="EY48" s="208"/>
      <c r="EZ48" s="208"/>
      <c r="FA48" s="208"/>
      <c r="FB48" s="208"/>
      <c r="FC48" s="208"/>
      <c r="FD48" s="208"/>
      <c r="FE48" s="208"/>
      <c r="FF48" s="208"/>
      <c r="FG48" s="208"/>
      <c r="FH48" s="208"/>
      <c r="FI48" s="208"/>
      <c r="FJ48" s="208"/>
      <c r="FK48" s="208"/>
      <c r="FL48" s="208"/>
      <c r="FM48" s="208"/>
      <c r="FN48" s="208"/>
      <c r="FO48" s="208"/>
      <c r="FP48" s="208"/>
      <c r="FQ48" s="208"/>
      <c r="FR48" s="208"/>
      <c r="FS48" s="208"/>
      <c r="FT48" s="208"/>
      <c r="FU48" s="208"/>
      <c r="FV48" s="208"/>
      <c r="FW48" s="208"/>
      <c r="FX48" s="208"/>
      <c r="FY48" s="208"/>
      <c r="FZ48" s="208"/>
      <c r="GA48" s="208"/>
      <c r="GB48" s="208"/>
      <c r="GC48" s="208"/>
      <c r="GD48" s="208"/>
      <c r="GE48" s="208"/>
      <c r="GF48" s="208"/>
      <c r="GG48" s="208"/>
      <c r="GH48" s="208"/>
      <c r="GI48" s="208"/>
      <c r="GJ48" s="208"/>
      <c r="GK48" s="208"/>
      <c r="GL48" s="208"/>
      <c r="GM48" s="208"/>
      <c r="GN48" s="208"/>
      <c r="GO48" s="208"/>
      <c r="GP48" s="208"/>
      <c r="GQ48" s="208"/>
      <c r="GR48" s="208"/>
      <c r="GS48" s="208"/>
      <c r="GT48" s="208"/>
      <c r="GU48" s="208"/>
      <c r="GV48" s="208"/>
      <c r="GW48" s="208"/>
      <c r="GX48" s="208"/>
      <c r="GY48" s="208"/>
      <c r="GZ48" s="208"/>
      <c r="HA48" s="208"/>
      <c r="HB48" s="208"/>
      <c r="HC48" s="208"/>
      <c r="HD48" s="208"/>
      <c r="HE48" s="208"/>
      <c r="HF48" s="208"/>
      <c r="HG48" s="208"/>
      <c r="HH48" s="208"/>
      <c r="HI48" s="208"/>
      <c r="HJ48" s="208"/>
      <c r="HK48" s="208"/>
      <c r="HL48" s="208"/>
      <c r="HM48" s="208"/>
      <c r="HN48" s="208"/>
      <c r="HO48" s="208"/>
      <c r="HP48" s="208"/>
      <c r="HQ48" s="208"/>
      <c r="HR48" s="208"/>
      <c r="HS48" s="208"/>
      <c r="HT48" s="208"/>
      <c r="HU48" s="208"/>
      <c r="HV48" s="208"/>
      <c r="HW48" s="208"/>
      <c r="HX48" s="208"/>
      <c r="HY48" s="208"/>
      <c r="HZ48" s="208"/>
      <c r="IA48" s="208"/>
      <c r="IB48" s="208"/>
      <c r="IC48" s="208"/>
      <c r="ID48" s="208"/>
      <c r="IE48" s="208"/>
      <c r="IF48" s="208"/>
      <c r="IG48" s="208"/>
      <c r="IH48" s="208"/>
      <c r="II48" s="208"/>
      <c r="IJ48" s="208"/>
      <c r="IK48" s="208"/>
      <c r="IL48" s="208"/>
      <c r="IM48" s="208"/>
      <c r="IN48" s="208"/>
      <c r="IO48" s="208"/>
      <c r="IP48" s="208"/>
      <c r="IQ48" s="208"/>
      <c r="IR48" s="208"/>
      <c r="IS48" s="208"/>
      <c r="IT48" s="208"/>
      <c r="IU48" s="208"/>
      <c r="IV48" s="208"/>
      <c r="IW48" s="208"/>
      <c r="IX48" s="208"/>
      <c r="IY48" s="208"/>
    </row>
    <row r="49" spans="1:259" ht="15" customHeight="1" x14ac:dyDescent="0.2">
      <c r="A49" s="195">
        <v>0</v>
      </c>
      <c r="B49" s="196"/>
      <c r="C49" s="196"/>
      <c r="D49" s="197" t="s">
        <v>425</v>
      </c>
      <c r="E49" s="198">
        <v>1</v>
      </c>
      <c r="F49" s="197" t="s">
        <v>535</v>
      </c>
      <c r="G49" s="198">
        <v>1</v>
      </c>
      <c r="H49" s="209" t="s">
        <v>565</v>
      </c>
      <c r="I49" s="197">
        <v>8</v>
      </c>
      <c r="J49" s="197">
        <v>1</v>
      </c>
      <c r="K49" s="197">
        <v>1</v>
      </c>
      <c r="L49" s="198" t="s">
        <v>352</v>
      </c>
      <c r="M49" s="198"/>
      <c r="N49" s="200"/>
      <c r="O49" s="200" t="s">
        <v>586</v>
      </c>
      <c r="P49" s="210" t="s">
        <v>594</v>
      </c>
      <c r="Q49" s="197">
        <v>15</v>
      </c>
      <c r="R49" s="197" t="s">
        <v>567</v>
      </c>
      <c r="S49" s="197">
        <v>10</v>
      </c>
      <c r="T49" s="197" t="s">
        <v>595</v>
      </c>
      <c r="U49" s="197"/>
      <c r="V49" s="197"/>
      <c r="W49" s="197"/>
      <c r="X49" s="197"/>
      <c r="Y49" s="197"/>
      <c r="Z49" s="197"/>
      <c r="AA49" s="197" t="s">
        <v>1</v>
      </c>
      <c r="AB49" s="198" t="s">
        <v>589</v>
      </c>
      <c r="AC49" s="198" t="s">
        <v>590</v>
      </c>
      <c r="AD49" s="197" t="s">
        <v>438</v>
      </c>
      <c r="AE49" s="197" t="s">
        <v>438</v>
      </c>
      <c r="AF49" s="197" t="s">
        <v>438</v>
      </c>
      <c r="AG49" s="197" t="s">
        <v>438</v>
      </c>
      <c r="AH49" s="197" t="s">
        <v>438</v>
      </c>
      <c r="AI49" s="197" t="s">
        <v>438</v>
      </c>
      <c r="AJ49" s="197" t="s">
        <v>438</v>
      </c>
      <c r="AK49" s="197" t="s">
        <v>438</v>
      </c>
      <c r="AL49" s="197" t="s">
        <v>438</v>
      </c>
      <c r="AM49" s="197" t="s">
        <v>591</v>
      </c>
      <c r="AN49" s="197" t="s">
        <v>438</v>
      </c>
      <c r="AO49" s="202"/>
      <c r="AP49" s="207"/>
      <c r="AQ49" s="197"/>
      <c r="AR49" s="197"/>
      <c r="AS49" s="197"/>
      <c r="AT49" s="197"/>
      <c r="AU49" s="197"/>
      <c r="AV49" s="197"/>
      <c r="AW49" s="197"/>
      <c r="AX49" s="197"/>
      <c r="AY49" s="197"/>
      <c r="AZ49" s="197"/>
      <c r="BA49" s="197"/>
      <c r="BB49" s="197"/>
      <c r="BC49" s="197"/>
      <c r="BD49" s="197"/>
      <c r="BE49" s="197"/>
      <c r="BF49" s="197"/>
      <c r="BG49" s="197"/>
      <c r="BH49" s="197"/>
      <c r="BI49" s="197"/>
      <c r="BJ49" s="197"/>
      <c r="BK49" s="197"/>
      <c r="BL49" s="197"/>
      <c r="BM49" s="197"/>
      <c r="BN49" s="208"/>
      <c r="BO49" s="208"/>
      <c r="BP49" s="208"/>
      <c r="BQ49" s="208"/>
      <c r="BR49" s="208"/>
      <c r="BS49" s="208"/>
      <c r="BT49" s="208"/>
      <c r="BU49" s="208"/>
      <c r="BV49" s="208"/>
      <c r="BW49" s="208"/>
      <c r="BX49" s="208"/>
      <c r="BY49" s="208"/>
      <c r="BZ49" s="208"/>
      <c r="CA49" s="208"/>
      <c r="CB49" s="208"/>
      <c r="CC49" s="208"/>
      <c r="CD49" s="208"/>
      <c r="CE49" s="208"/>
      <c r="CF49" s="208"/>
      <c r="CG49" s="208"/>
      <c r="CH49" s="208"/>
      <c r="CI49" s="208"/>
      <c r="CJ49" s="208"/>
      <c r="CK49" s="208"/>
      <c r="CL49" s="208"/>
      <c r="CM49" s="208"/>
      <c r="CN49" s="208"/>
      <c r="CO49" s="208"/>
      <c r="CP49" s="208"/>
      <c r="CQ49" s="208"/>
      <c r="CR49" s="208"/>
      <c r="CS49" s="208"/>
      <c r="CT49" s="208"/>
      <c r="CU49" s="208"/>
      <c r="CV49" s="208"/>
      <c r="CW49" s="208"/>
      <c r="CX49" s="208"/>
      <c r="CY49" s="208"/>
      <c r="CZ49" s="208"/>
      <c r="DA49" s="208"/>
      <c r="DB49" s="208"/>
      <c r="DC49" s="208"/>
      <c r="DD49" s="208"/>
      <c r="DE49" s="208"/>
      <c r="DF49" s="208"/>
      <c r="DG49" s="208"/>
      <c r="DH49" s="208"/>
      <c r="DI49" s="208"/>
      <c r="DJ49" s="208"/>
      <c r="DK49" s="208"/>
      <c r="DL49" s="208"/>
      <c r="DM49" s="208"/>
      <c r="DN49" s="208"/>
      <c r="DO49" s="208"/>
      <c r="DP49" s="208"/>
      <c r="DQ49" s="208"/>
      <c r="DR49" s="208"/>
      <c r="DS49" s="208"/>
      <c r="DT49" s="208"/>
      <c r="DU49" s="208"/>
      <c r="DV49" s="208"/>
      <c r="DW49" s="208"/>
      <c r="DX49" s="208"/>
      <c r="DY49" s="208"/>
      <c r="DZ49" s="208"/>
      <c r="EA49" s="208"/>
      <c r="EB49" s="208"/>
      <c r="EC49" s="208"/>
      <c r="ED49" s="208"/>
      <c r="EE49" s="208"/>
      <c r="EF49" s="208"/>
      <c r="EG49" s="208"/>
      <c r="EH49" s="208"/>
      <c r="EI49" s="208"/>
      <c r="EJ49" s="208"/>
      <c r="EK49" s="208"/>
      <c r="EL49" s="208"/>
      <c r="EM49" s="208"/>
      <c r="EN49" s="208"/>
      <c r="EO49" s="208"/>
      <c r="EP49" s="208"/>
      <c r="EQ49" s="208"/>
      <c r="ER49" s="208"/>
      <c r="ES49" s="208"/>
      <c r="ET49" s="208"/>
      <c r="EU49" s="208"/>
      <c r="EV49" s="208"/>
      <c r="EW49" s="208"/>
      <c r="EX49" s="208"/>
      <c r="EY49" s="208"/>
      <c r="EZ49" s="208"/>
      <c r="FA49" s="208"/>
      <c r="FB49" s="208"/>
      <c r="FC49" s="208"/>
      <c r="FD49" s="208"/>
      <c r="FE49" s="208"/>
      <c r="FF49" s="208"/>
      <c r="FG49" s="208"/>
      <c r="FH49" s="208"/>
      <c r="FI49" s="208"/>
      <c r="FJ49" s="208"/>
      <c r="FK49" s="208"/>
      <c r="FL49" s="208"/>
      <c r="FM49" s="208"/>
      <c r="FN49" s="208"/>
      <c r="FO49" s="208"/>
      <c r="FP49" s="208"/>
      <c r="FQ49" s="208"/>
      <c r="FR49" s="208"/>
      <c r="FS49" s="208"/>
      <c r="FT49" s="208"/>
      <c r="FU49" s="208"/>
      <c r="FV49" s="208"/>
      <c r="FW49" s="208"/>
      <c r="FX49" s="208"/>
      <c r="FY49" s="208"/>
      <c r="FZ49" s="208"/>
      <c r="GA49" s="208"/>
      <c r="GB49" s="208"/>
      <c r="GC49" s="208"/>
      <c r="GD49" s="208"/>
      <c r="GE49" s="208"/>
      <c r="GF49" s="208"/>
      <c r="GG49" s="208"/>
      <c r="GH49" s="208"/>
      <c r="GI49" s="208"/>
      <c r="GJ49" s="208"/>
      <c r="GK49" s="208"/>
      <c r="GL49" s="208"/>
      <c r="GM49" s="208"/>
      <c r="GN49" s="208"/>
      <c r="GO49" s="208"/>
      <c r="GP49" s="208"/>
      <c r="GQ49" s="208"/>
      <c r="GR49" s="208"/>
      <c r="GS49" s="208"/>
      <c r="GT49" s="208"/>
      <c r="GU49" s="208"/>
      <c r="GV49" s="208"/>
      <c r="GW49" s="208"/>
      <c r="GX49" s="208"/>
      <c r="GY49" s="208"/>
      <c r="GZ49" s="208"/>
      <c r="HA49" s="208"/>
      <c r="HB49" s="208"/>
      <c r="HC49" s="208"/>
      <c r="HD49" s="208"/>
      <c r="HE49" s="208"/>
      <c r="HF49" s="208"/>
      <c r="HG49" s="208"/>
      <c r="HH49" s="208"/>
      <c r="HI49" s="208"/>
      <c r="HJ49" s="208"/>
      <c r="HK49" s="208"/>
      <c r="HL49" s="208"/>
      <c r="HM49" s="208"/>
      <c r="HN49" s="208"/>
      <c r="HO49" s="208"/>
      <c r="HP49" s="208"/>
      <c r="HQ49" s="208"/>
      <c r="HR49" s="208"/>
      <c r="HS49" s="208"/>
      <c r="HT49" s="208"/>
      <c r="HU49" s="208"/>
      <c r="HV49" s="208"/>
      <c r="HW49" s="208"/>
      <c r="HX49" s="208"/>
      <c r="HY49" s="208"/>
      <c r="HZ49" s="208"/>
      <c r="IA49" s="208"/>
      <c r="IB49" s="208"/>
      <c r="IC49" s="208"/>
      <c r="ID49" s="208"/>
      <c r="IE49" s="208"/>
      <c r="IF49" s="208"/>
      <c r="IG49" s="208"/>
      <c r="IH49" s="208"/>
      <c r="II49" s="208"/>
      <c r="IJ49" s="208"/>
      <c r="IK49" s="208"/>
      <c r="IL49" s="208"/>
      <c r="IM49" s="208"/>
      <c r="IN49" s="208"/>
      <c r="IO49" s="208"/>
      <c r="IP49" s="208"/>
      <c r="IQ49" s="208"/>
      <c r="IR49" s="208"/>
      <c r="IS49" s="208"/>
      <c r="IT49" s="208"/>
      <c r="IU49" s="208"/>
      <c r="IV49" s="208"/>
      <c r="IW49" s="208"/>
      <c r="IX49" s="208"/>
      <c r="IY49" s="208"/>
    </row>
    <row r="50" spans="1:259" ht="15" customHeight="1" x14ac:dyDescent="0.2">
      <c r="A50" s="195">
        <v>0</v>
      </c>
      <c r="B50" s="196"/>
      <c r="C50" s="196"/>
      <c r="D50" s="197" t="s">
        <v>425</v>
      </c>
      <c r="E50" s="198">
        <v>1</v>
      </c>
      <c r="F50" s="197" t="s">
        <v>535</v>
      </c>
      <c r="G50" s="198">
        <v>1</v>
      </c>
      <c r="H50" s="209" t="s">
        <v>565</v>
      </c>
      <c r="I50" s="197">
        <v>8</v>
      </c>
      <c r="J50" s="197">
        <v>1</v>
      </c>
      <c r="K50" s="197">
        <v>1</v>
      </c>
      <c r="L50" s="198" t="s">
        <v>549</v>
      </c>
      <c r="M50" s="198"/>
      <c r="N50" s="200"/>
      <c r="O50" s="200" t="s">
        <v>586</v>
      </c>
      <c r="P50" s="210" t="s">
        <v>594</v>
      </c>
      <c r="Q50" s="197">
        <v>10</v>
      </c>
      <c r="R50" s="197" t="s">
        <v>567</v>
      </c>
      <c r="S50" s="197">
        <v>10</v>
      </c>
      <c r="T50" s="197" t="s">
        <v>595</v>
      </c>
      <c r="U50" s="197"/>
      <c r="V50" s="197"/>
      <c r="W50" s="197"/>
      <c r="X50" s="197"/>
      <c r="Y50" s="197"/>
      <c r="Z50" s="197"/>
      <c r="AA50" s="197" t="s">
        <v>1</v>
      </c>
      <c r="AB50" s="198" t="s">
        <v>589</v>
      </c>
      <c r="AC50" s="198" t="s">
        <v>590</v>
      </c>
      <c r="AD50" s="197" t="s">
        <v>438</v>
      </c>
      <c r="AE50" s="197" t="s">
        <v>438</v>
      </c>
      <c r="AF50" s="197" t="s">
        <v>438</v>
      </c>
      <c r="AG50" s="197" t="s">
        <v>438</v>
      </c>
      <c r="AH50" s="197" t="s">
        <v>438</v>
      </c>
      <c r="AI50" s="197" t="s">
        <v>438</v>
      </c>
      <c r="AJ50" s="197" t="s">
        <v>438</v>
      </c>
      <c r="AK50" s="197" t="s">
        <v>438</v>
      </c>
      <c r="AL50" s="197" t="s">
        <v>438</v>
      </c>
      <c r="AM50" s="197" t="s">
        <v>591</v>
      </c>
      <c r="AN50" s="197" t="s">
        <v>438</v>
      </c>
      <c r="AO50" s="202"/>
      <c r="AP50" s="207"/>
      <c r="AQ50" s="197"/>
      <c r="AR50" s="197"/>
      <c r="AS50" s="197"/>
      <c r="AT50" s="197"/>
      <c r="AU50" s="197"/>
      <c r="AV50" s="197"/>
      <c r="AW50" s="197"/>
      <c r="AX50" s="197"/>
      <c r="AY50" s="197"/>
      <c r="AZ50" s="197"/>
      <c r="BA50" s="197"/>
      <c r="BB50" s="197"/>
      <c r="BC50" s="197"/>
      <c r="BD50" s="197"/>
      <c r="BE50" s="197"/>
      <c r="BF50" s="197"/>
      <c r="BG50" s="197"/>
      <c r="BH50" s="197"/>
      <c r="BI50" s="197"/>
      <c r="BJ50" s="197"/>
      <c r="BK50" s="197"/>
      <c r="BL50" s="197"/>
      <c r="BM50" s="197"/>
      <c r="BN50" s="208"/>
      <c r="BO50" s="208"/>
      <c r="BP50" s="208"/>
      <c r="BQ50" s="208"/>
      <c r="BR50" s="208"/>
      <c r="BS50" s="208"/>
      <c r="BT50" s="208"/>
      <c r="BU50" s="208"/>
      <c r="BV50" s="208"/>
      <c r="BW50" s="208"/>
      <c r="BX50" s="208"/>
      <c r="BY50" s="208"/>
      <c r="BZ50" s="208"/>
      <c r="CA50" s="208"/>
      <c r="CB50" s="208"/>
      <c r="CC50" s="208"/>
      <c r="CD50" s="208"/>
      <c r="CE50" s="208"/>
      <c r="CF50" s="208"/>
      <c r="CG50" s="208"/>
      <c r="CH50" s="208"/>
      <c r="CI50" s="208"/>
      <c r="CJ50" s="208"/>
      <c r="CK50" s="208"/>
      <c r="CL50" s="208"/>
      <c r="CM50" s="208"/>
      <c r="CN50" s="208"/>
      <c r="CO50" s="208"/>
      <c r="CP50" s="208"/>
      <c r="CQ50" s="208"/>
      <c r="CR50" s="208"/>
      <c r="CS50" s="208"/>
      <c r="CT50" s="208"/>
      <c r="CU50" s="208"/>
      <c r="CV50" s="208"/>
      <c r="CW50" s="208"/>
      <c r="CX50" s="208"/>
      <c r="CY50" s="208"/>
      <c r="CZ50" s="208"/>
      <c r="DA50" s="208"/>
      <c r="DB50" s="208"/>
      <c r="DC50" s="208"/>
      <c r="DD50" s="208"/>
      <c r="DE50" s="208"/>
      <c r="DF50" s="208"/>
      <c r="DG50" s="208"/>
      <c r="DH50" s="208"/>
      <c r="DI50" s="208"/>
      <c r="DJ50" s="208"/>
      <c r="DK50" s="208"/>
      <c r="DL50" s="208"/>
      <c r="DM50" s="208"/>
      <c r="DN50" s="208"/>
      <c r="DO50" s="208"/>
      <c r="DP50" s="208"/>
      <c r="DQ50" s="208"/>
      <c r="DR50" s="208"/>
      <c r="DS50" s="208"/>
      <c r="DT50" s="208"/>
      <c r="DU50" s="208"/>
      <c r="DV50" s="208"/>
      <c r="DW50" s="208"/>
      <c r="DX50" s="208"/>
      <c r="DY50" s="208"/>
      <c r="DZ50" s="208"/>
      <c r="EA50" s="208"/>
      <c r="EB50" s="208"/>
      <c r="EC50" s="208"/>
      <c r="ED50" s="208"/>
      <c r="EE50" s="208"/>
      <c r="EF50" s="208"/>
      <c r="EG50" s="208"/>
      <c r="EH50" s="208"/>
      <c r="EI50" s="208"/>
      <c r="EJ50" s="208"/>
      <c r="EK50" s="208"/>
      <c r="EL50" s="208"/>
      <c r="EM50" s="208"/>
      <c r="EN50" s="208"/>
      <c r="EO50" s="208"/>
      <c r="EP50" s="208"/>
      <c r="EQ50" s="208"/>
      <c r="ER50" s="208"/>
      <c r="ES50" s="208"/>
      <c r="ET50" s="208"/>
      <c r="EU50" s="208"/>
      <c r="EV50" s="208"/>
      <c r="EW50" s="208"/>
      <c r="EX50" s="208"/>
      <c r="EY50" s="208"/>
      <c r="EZ50" s="208"/>
      <c r="FA50" s="208"/>
      <c r="FB50" s="208"/>
      <c r="FC50" s="208"/>
      <c r="FD50" s="208"/>
      <c r="FE50" s="208"/>
      <c r="FF50" s="208"/>
      <c r="FG50" s="208"/>
      <c r="FH50" s="208"/>
      <c r="FI50" s="208"/>
      <c r="FJ50" s="208"/>
      <c r="FK50" s="208"/>
      <c r="FL50" s="208"/>
      <c r="FM50" s="208"/>
      <c r="FN50" s="208"/>
      <c r="FO50" s="208"/>
      <c r="FP50" s="208"/>
      <c r="FQ50" s="208"/>
      <c r="FR50" s="208"/>
      <c r="FS50" s="208"/>
      <c r="FT50" s="208"/>
      <c r="FU50" s="208"/>
      <c r="FV50" s="208"/>
      <c r="FW50" s="208"/>
      <c r="FX50" s="208"/>
      <c r="FY50" s="208"/>
      <c r="FZ50" s="208"/>
      <c r="GA50" s="208"/>
      <c r="GB50" s="208"/>
      <c r="GC50" s="208"/>
      <c r="GD50" s="208"/>
      <c r="GE50" s="208"/>
      <c r="GF50" s="208"/>
      <c r="GG50" s="208"/>
      <c r="GH50" s="208"/>
      <c r="GI50" s="208"/>
      <c r="GJ50" s="208"/>
      <c r="GK50" s="208"/>
      <c r="GL50" s="208"/>
      <c r="GM50" s="208"/>
      <c r="GN50" s="208"/>
      <c r="GO50" s="208"/>
      <c r="GP50" s="208"/>
      <c r="GQ50" s="208"/>
      <c r="GR50" s="208"/>
      <c r="GS50" s="208"/>
      <c r="GT50" s="208"/>
      <c r="GU50" s="208"/>
      <c r="GV50" s="208"/>
      <c r="GW50" s="208"/>
      <c r="GX50" s="208"/>
      <c r="GY50" s="208"/>
      <c r="GZ50" s="208"/>
      <c r="HA50" s="208"/>
      <c r="HB50" s="208"/>
      <c r="HC50" s="208"/>
      <c r="HD50" s="208"/>
      <c r="HE50" s="208"/>
      <c r="HF50" s="208"/>
      <c r="HG50" s="208"/>
      <c r="HH50" s="208"/>
      <c r="HI50" s="208"/>
      <c r="HJ50" s="208"/>
      <c r="HK50" s="208"/>
      <c r="HL50" s="208"/>
      <c r="HM50" s="208"/>
      <c r="HN50" s="208"/>
      <c r="HO50" s="208"/>
      <c r="HP50" s="208"/>
      <c r="HQ50" s="208"/>
      <c r="HR50" s="208"/>
      <c r="HS50" s="208"/>
      <c r="HT50" s="208"/>
      <c r="HU50" s="208"/>
      <c r="HV50" s="208"/>
      <c r="HW50" s="208"/>
      <c r="HX50" s="208"/>
      <c r="HY50" s="208"/>
      <c r="HZ50" s="208"/>
      <c r="IA50" s="208"/>
      <c r="IB50" s="208"/>
      <c r="IC50" s="208"/>
      <c r="ID50" s="208"/>
      <c r="IE50" s="208"/>
      <c r="IF50" s="208"/>
      <c r="IG50" s="208"/>
      <c r="IH50" s="208"/>
      <c r="II50" s="208"/>
      <c r="IJ50" s="208"/>
      <c r="IK50" s="208"/>
      <c r="IL50" s="208"/>
      <c r="IM50" s="208"/>
      <c r="IN50" s="208"/>
      <c r="IO50" s="208"/>
      <c r="IP50" s="208"/>
      <c r="IQ50" s="208"/>
      <c r="IR50" s="208"/>
      <c r="IS50" s="208"/>
      <c r="IT50" s="208"/>
      <c r="IU50" s="208"/>
      <c r="IV50" s="208"/>
      <c r="IW50" s="208"/>
      <c r="IX50" s="208"/>
      <c r="IY50" s="208"/>
    </row>
    <row r="51" spans="1:259" ht="15" customHeight="1" x14ac:dyDescent="0.2">
      <c r="A51" s="195">
        <v>0</v>
      </c>
      <c r="B51" s="196"/>
      <c r="C51" s="196"/>
      <c r="D51" s="197" t="s">
        <v>425</v>
      </c>
      <c r="E51" s="198">
        <v>1</v>
      </c>
      <c r="F51" s="197" t="s">
        <v>535</v>
      </c>
      <c r="G51" s="198">
        <v>1</v>
      </c>
      <c r="H51" s="209" t="s">
        <v>565</v>
      </c>
      <c r="I51" s="197">
        <v>8</v>
      </c>
      <c r="J51" s="197">
        <v>1</v>
      </c>
      <c r="K51" s="197">
        <v>1</v>
      </c>
      <c r="L51" s="198" t="s">
        <v>546</v>
      </c>
      <c r="M51" s="198"/>
      <c r="N51" s="200"/>
      <c r="O51" s="200" t="s">
        <v>586</v>
      </c>
      <c r="P51" s="210" t="s">
        <v>594</v>
      </c>
      <c r="Q51" s="197">
        <v>10</v>
      </c>
      <c r="R51" s="197" t="s">
        <v>567</v>
      </c>
      <c r="S51" s="197">
        <v>8.5</v>
      </c>
      <c r="T51" s="197" t="s">
        <v>595</v>
      </c>
      <c r="U51" s="197"/>
      <c r="V51" s="197"/>
      <c r="W51" s="197"/>
      <c r="X51" s="197"/>
      <c r="Y51" s="197"/>
      <c r="Z51" s="197"/>
      <c r="AA51" s="197" t="s">
        <v>1</v>
      </c>
      <c r="AB51" s="198" t="s">
        <v>2</v>
      </c>
      <c r="AC51" s="198" t="s">
        <v>590</v>
      </c>
      <c r="AD51" s="197" t="s">
        <v>438</v>
      </c>
      <c r="AE51" s="197" t="s">
        <v>438</v>
      </c>
      <c r="AF51" s="197" t="s">
        <v>438</v>
      </c>
      <c r="AG51" s="197" t="s">
        <v>438</v>
      </c>
      <c r="AH51" s="197" t="s">
        <v>438</v>
      </c>
      <c r="AI51" s="197" t="s">
        <v>438</v>
      </c>
      <c r="AJ51" s="197" t="s">
        <v>438</v>
      </c>
      <c r="AK51" s="197" t="s">
        <v>438</v>
      </c>
      <c r="AL51" s="197" t="s">
        <v>438</v>
      </c>
      <c r="AM51" s="197" t="s">
        <v>591</v>
      </c>
      <c r="AN51" s="197" t="s">
        <v>438</v>
      </c>
      <c r="AO51" s="202"/>
    </row>
    <row r="52" spans="1:259" ht="15" customHeight="1" x14ac:dyDescent="0.2">
      <c r="A52" s="195">
        <v>0</v>
      </c>
      <c r="B52" s="196"/>
      <c r="C52" s="196"/>
      <c r="D52" s="197" t="s">
        <v>425</v>
      </c>
      <c r="E52" s="198">
        <v>1</v>
      </c>
      <c r="F52" s="197" t="s">
        <v>535</v>
      </c>
      <c r="G52" s="198">
        <v>1</v>
      </c>
      <c r="H52" s="209" t="s">
        <v>565</v>
      </c>
      <c r="I52" s="197">
        <v>8</v>
      </c>
      <c r="J52" s="197">
        <v>1</v>
      </c>
      <c r="K52" s="197">
        <v>1</v>
      </c>
      <c r="L52" s="198" t="s">
        <v>433</v>
      </c>
      <c r="M52" s="198"/>
      <c r="N52" s="200"/>
      <c r="O52" s="200" t="s">
        <v>586</v>
      </c>
      <c r="P52" s="210" t="s">
        <v>594</v>
      </c>
      <c r="Q52" s="197" t="s">
        <v>428</v>
      </c>
      <c r="R52" s="197" t="s">
        <v>567</v>
      </c>
      <c r="S52" s="197" t="s">
        <v>428</v>
      </c>
      <c r="T52" s="197" t="s">
        <v>428</v>
      </c>
      <c r="U52" s="197"/>
      <c r="V52" s="197"/>
      <c r="W52" s="197"/>
      <c r="X52" s="197"/>
      <c r="Y52" s="197"/>
      <c r="Z52" s="197"/>
      <c r="AA52" s="197" t="s">
        <v>1</v>
      </c>
      <c r="AB52" s="198" t="s">
        <v>2</v>
      </c>
      <c r="AC52" s="198" t="s">
        <v>590</v>
      </c>
      <c r="AD52" s="197" t="s">
        <v>438</v>
      </c>
      <c r="AE52" s="197" t="s">
        <v>438</v>
      </c>
      <c r="AF52" s="197" t="s">
        <v>438</v>
      </c>
      <c r="AG52" s="197" t="s">
        <v>438</v>
      </c>
      <c r="AH52" s="197" t="s">
        <v>438</v>
      </c>
      <c r="AI52" s="197" t="s">
        <v>438</v>
      </c>
      <c r="AJ52" s="197" t="s">
        <v>438</v>
      </c>
      <c r="AK52" s="197" t="s">
        <v>438</v>
      </c>
      <c r="AL52" s="197" t="s">
        <v>438</v>
      </c>
      <c r="AM52" s="197" t="s">
        <v>591</v>
      </c>
      <c r="AN52" s="197" t="s">
        <v>438</v>
      </c>
      <c r="AO52" s="202"/>
    </row>
    <row r="53" spans="1:259" ht="15" customHeight="1" x14ac:dyDescent="0.2">
      <c r="A53" s="195">
        <v>0</v>
      </c>
      <c r="B53" s="196"/>
      <c r="C53" s="196"/>
      <c r="D53" s="197" t="s">
        <v>425</v>
      </c>
      <c r="E53" s="198">
        <v>1</v>
      </c>
      <c r="F53" s="197" t="s">
        <v>535</v>
      </c>
      <c r="G53" s="198">
        <v>1</v>
      </c>
      <c r="H53" s="209" t="s">
        <v>596</v>
      </c>
      <c r="I53" s="197">
        <v>8</v>
      </c>
      <c r="J53" s="197">
        <v>1</v>
      </c>
      <c r="K53" s="197">
        <v>1</v>
      </c>
      <c r="L53" s="198" t="s">
        <v>349</v>
      </c>
      <c r="M53" s="198"/>
      <c r="N53" s="200"/>
      <c r="O53" s="200" t="s">
        <v>586</v>
      </c>
      <c r="P53" s="210" t="s">
        <v>597</v>
      </c>
      <c r="Q53" s="197" t="s">
        <v>428</v>
      </c>
      <c r="R53" s="197" t="s">
        <v>428</v>
      </c>
      <c r="S53" s="197" t="s">
        <v>428</v>
      </c>
      <c r="T53" s="197" t="s">
        <v>428</v>
      </c>
      <c r="U53" s="197"/>
      <c r="V53" s="197"/>
      <c r="W53" s="197"/>
      <c r="X53" s="197"/>
      <c r="Y53" s="197"/>
      <c r="Z53" s="197"/>
      <c r="AA53" s="197" t="s">
        <v>1</v>
      </c>
      <c r="AB53" s="198" t="s">
        <v>2</v>
      </c>
      <c r="AC53" s="198" t="s">
        <v>590</v>
      </c>
      <c r="AD53" s="197" t="s">
        <v>438</v>
      </c>
      <c r="AE53" s="197" t="s">
        <v>438</v>
      </c>
      <c r="AF53" s="197" t="s">
        <v>438</v>
      </c>
      <c r="AG53" s="197" t="s">
        <v>438</v>
      </c>
      <c r="AH53" s="197" t="s">
        <v>438</v>
      </c>
      <c r="AI53" s="197" t="s">
        <v>438</v>
      </c>
      <c r="AJ53" s="197" t="s">
        <v>438</v>
      </c>
      <c r="AK53" s="197" t="s">
        <v>438</v>
      </c>
      <c r="AL53" s="197" t="s">
        <v>438</v>
      </c>
      <c r="AM53" s="197" t="s">
        <v>591</v>
      </c>
      <c r="AN53" s="197" t="s">
        <v>598</v>
      </c>
      <c r="AO53" s="202"/>
    </row>
    <row r="54" spans="1:259" ht="15" customHeight="1" x14ac:dyDescent="0.2">
      <c r="A54" s="195">
        <v>0</v>
      </c>
      <c r="B54" s="196"/>
      <c r="C54" s="196"/>
      <c r="D54" s="197" t="s">
        <v>425</v>
      </c>
      <c r="E54" s="198">
        <v>1</v>
      </c>
      <c r="F54" s="197" t="s">
        <v>535</v>
      </c>
      <c r="G54" s="198">
        <v>1</v>
      </c>
      <c r="H54" s="209" t="s">
        <v>596</v>
      </c>
      <c r="I54" s="197">
        <v>8</v>
      </c>
      <c r="J54" s="197">
        <v>1</v>
      </c>
      <c r="K54" s="197">
        <v>1</v>
      </c>
      <c r="L54" s="198" t="s">
        <v>352</v>
      </c>
      <c r="M54" s="198"/>
      <c r="N54" s="200"/>
      <c r="O54" s="200" t="s">
        <v>586</v>
      </c>
      <c r="P54" s="210" t="s">
        <v>597</v>
      </c>
      <c r="Q54" s="197" t="s">
        <v>428</v>
      </c>
      <c r="R54" s="197" t="s">
        <v>428</v>
      </c>
      <c r="S54" s="197" t="s">
        <v>428</v>
      </c>
      <c r="T54" s="197" t="s">
        <v>428</v>
      </c>
      <c r="U54" s="197"/>
      <c r="V54" s="197"/>
      <c r="W54" s="197"/>
      <c r="X54" s="197"/>
      <c r="Y54" s="197"/>
      <c r="Z54" s="197"/>
      <c r="AA54" s="197" t="s">
        <v>1</v>
      </c>
      <c r="AB54" s="198" t="s">
        <v>2</v>
      </c>
      <c r="AC54" s="198" t="s">
        <v>590</v>
      </c>
      <c r="AD54" s="197" t="s">
        <v>438</v>
      </c>
      <c r="AE54" s="197" t="s">
        <v>438</v>
      </c>
      <c r="AF54" s="197" t="s">
        <v>438</v>
      </c>
      <c r="AG54" s="197" t="s">
        <v>438</v>
      </c>
      <c r="AH54" s="197" t="s">
        <v>438</v>
      </c>
      <c r="AI54" s="197" t="s">
        <v>438</v>
      </c>
      <c r="AJ54" s="197" t="s">
        <v>438</v>
      </c>
      <c r="AK54" s="197" t="s">
        <v>438</v>
      </c>
      <c r="AL54" s="197" t="s">
        <v>438</v>
      </c>
      <c r="AM54" s="197" t="s">
        <v>591</v>
      </c>
      <c r="AN54" s="197" t="s">
        <v>598</v>
      </c>
      <c r="AO54" s="202"/>
    </row>
    <row r="55" spans="1:259" ht="15" customHeight="1" x14ac:dyDescent="0.2">
      <c r="A55" s="195">
        <v>0</v>
      </c>
      <c r="B55" s="196"/>
      <c r="C55" s="196"/>
      <c r="D55" s="197" t="s">
        <v>425</v>
      </c>
      <c r="E55" s="198">
        <v>1</v>
      </c>
      <c r="F55" s="197" t="s">
        <v>535</v>
      </c>
      <c r="G55" s="198">
        <v>1</v>
      </c>
      <c r="H55" s="209" t="s">
        <v>596</v>
      </c>
      <c r="I55" s="197">
        <v>8</v>
      </c>
      <c r="J55" s="197">
        <v>1</v>
      </c>
      <c r="K55" s="197">
        <v>1</v>
      </c>
      <c r="L55" s="198" t="s">
        <v>549</v>
      </c>
      <c r="M55" s="198"/>
      <c r="N55" s="200"/>
      <c r="O55" s="200" t="s">
        <v>586</v>
      </c>
      <c r="P55" s="210" t="s">
        <v>597</v>
      </c>
      <c r="Q55" s="197" t="s">
        <v>428</v>
      </c>
      <c r="R55" s="197" t="s">
        <v>428</v>
      </c>
      <c r="S55" s="197" t="s">
        <v>428</v>
      </c>
      <c r="T55" s="197" t="s">
        <v>428</v>
      </c>
      <c r="U55" s="197"/>
      <c r="V55" s="197"/>
      <c r="W55" s="197"/>
      <c r="X55" s="197"/>
      <c r="Y55" s="197"/>
      <c r="Z55" s="197"/>
      <c r="AA55" s="197" t="s">
        <v>1</v>
      </c>
      <c r="AB55" s="198" t="s">
        <v>2</v>
      </c>
      <c r="AC55" s="198" t="s">
        <v>590</v>
      </c>
      <c r="AD55" s="197" t="s">
        <v>438</v>
      </c>
      <c r="AE55" s="197" t="s">
        <v>438</v>
      </c>
      <c r="AF55" s="197" t="s">
        <v>438</v>
      </c>
      <c r="AG55" s="197" t="s">
        <v>438</v>
      </c>
      <c r="AH55" s="197" t="s">
        <v>438</v>
      </c>
      <c r="AI55" s="197" t="s">
        <v>438</v>
      </c>
      <c r="AJ55" s="197" t="s">
        <v>438</v>
      </c>
      <c r="AK55" s="197" t="s">
        <v>438</v>
      </c>
      <c r="AL55" s="197" t="s">
        <v>438</v>
      </c>
      <c r="AM55" s="197" t="s">
        <v>591</v>
      </c>
      <c r="AN55" s="197" t="s">
        <v>598</v>
      </c>
      <c r="AO55" s="202"/>
    </row>
    <row r="56" spans="1:259" ht="15" customHeight="1" x14ac:dyDescent="0.2">
      <c r="A56" s="195">
        <v>0</v>
      </c>
      <c r="B56" s="196"/>
      <c r="C56" s="196"/>
      <c r="D56" s="197" t="s">
        <v>425</v>
      </c>
      <c r="E56" s="198">
        <v>1</v>
      </c>
      <c r="F56" s="197" t="s">
        <v>535</v>
      </c>
      <c r="G56" s="198">
        <v>1</v>
      </c>
      <c r="H56" s="209" t="s">
        <v>596</v>
      </c>
      <c r="I56" s="197">
        <v>8</v>
      </c>
      <c r="J56" s="197">
        <v>1</v>
      </c>
      <c r="K56" s="197">
        <v>1</v>
      </c>
      <c r="L56" s="198" t="s">
        <v>546</v>
      </c>
      <c r="M56" s="198"/>
      <c r="N56" s="200"/>
      <c r="O56" s="200" t="s">
        <v>586</v>
      </c>
      <c r="P56" s="210" t="s">
        <v>597</v>
      </c>
      <c r="Q56" s="197" t="s">
        <v>428</v>
      </c>
      <c r="R56" s="197" t="s">
        <v>428</v>
      </c>
      <c r="S56" s="197" t="s">
        <v>428</v>
      </c>
      <c r="T56" s="197" t="s">
        <v>428</v>
      </c>
      <c r="U56" s="197"/>
      <c r="V56" s="197"/>
      <c r="W56" s="197"/>
      <c r="X56" s="197"/>
      <c r="Y56" s="197"/>
      <c r="Z56" s="197"/>
      <c r="AA56" s="197" t="s">
        <v>1</v>
      </c>
      <c r="AB56" s="198" t="s">
        <v>2</v>
      </c>
      <c r="AC56" s="198" t="s">
        <v>590</v>
      </c>
      <c r="AD56" s="197" t="s">
        <v>438</v>
      </c>
      <c r="AE56" s="197" t="s">
        <v>438</v>
      </c>
      <c r="AF56" s="197" t="s">
        <v>438</v>
      </c>
      <c r="AG56" s="197" t="s">
        <v>438</v>
      </c>
      <c r="AH56" s="197" t="s">
        <v>438</v>
      </c>
      <c r="AI56" s="197" t="s">
        <v>438</v>
      </c>
      <c r="AJ56" s="197" t="s">
        <v>438</v>
      </c>
      <c r="AK56" s="197" t="s">
        <v>438</v>
      </c>
      <c r="AL56" s="197" t="s">
        <v>438</v>
      </c>
      <c r="AM56" s="197" t="s">
        <v>591</v>
      </c>
      <c r="AN56" s="197" t="s">
        <v>598</v>
      </c>
      <c r="AO56" s="202"/>
    </row>
    <row r="57" spans="1:259" ht="15" customHeight="1" x14ac:dyDescent="0.2">
      <c r="A57" s="195">
        <v>0</v>
      </c>
      <c r="B57" s="196"/>
      <c r="C57" s="196"/>
      <c r="D57" s="197" t="s">
        <v>425</v>
      </c>
      <c r="E57" s="198">
        <v>1</v>
      </c>
      <c r="F57" s="197" t="s">
        <v>535</v>
      </c>
      <c r="G57" s="198">
        <v>1</v>
      </c>
      <c r="H57" s="209" t="s">
        <v>596</v>
      </c>
      <c r="I57" s="197">
        <v>8</v>
      </c>
      <c r="J57" s="197">
        <v>1</v>
      </c>
      <c r="K57" s="197">
        <v>1</v>
      </c>
      <c r="L57" s="198" t="s">
        <v>433</v>
      </c>
      <c r="M57" s="198"/>
      <c r="N57" s="200"/>
      <c r="O57" s="200" t="s">
        <v>586</v>
      </c>
      <c r="P57" s="210" t="s">
        <v>597</v>
      </c>
      <c r="Q57" s="197" t="s">
        <v>428</v>
      </c>
      <c r="R57" s="197" t="s">
        <v>428</v>
      </c>
      <c r="S57" s="197" t="s">
        <v>428</v>
      </c>
      <c r="T57" s="197" t="s">
        <v>428</v>
      </c>
      <c r="U57" s="197"/>
      <c r="V57" s="197"/>
      <c r="W57" s="197"/>
      <c r="X57" s="197"/>
      <c r="Y57" s="197"/>
      <c r="Z57" s="197"/>
      <c r="AA57" s="197" t="s">
        <v>1</v>
      </c>
      <c r="AB57" s="198" t="s">
        <v>2</v>
      </c>
      <c r="AC57" s="198" t="s">
        <v>590</v>
      </c>
      <c r="AD57" s="197" t="s">
        <v>438</v>
      </c>
      <c r="AE57" s="197" t="s">
        <v>438</v>
      </c>
      <c r="AF57" s="197" t="s">
        <v>438</v>
      </c>
      <c r="AG57" s="197" t="s">
        <v>438</v>
      </c>
      <c r="AH57" s="197" t="s">
        <v>438</v>
      </c>
      <c r="AI57" s="197" t="s">
        <v>438</v>
      </c>
      <c r="AJ57" s="197" t="s">
        <v>438</v>
      </c>
      <c r="AK57" s="197" t="s">
        <v>438</v>
      </c>
      <c r="AL57" s="197" t="s">
        <v>438</v>
      </c>
      <c r="AM57" s="197" t="s">
        <v>591</v>
      </c>
      <c r="AN57" s="197" t="s">
        <v>598</v>
      </c>
      <c r="AO57" s="202"/>
      <c r="AP57" s="207"/>
      <c r="AQ57" s="197"/>
      <c r="AR57" s="197"/>
      <c r="AS57" s="197"/>
      <c r="AT57" s="197"/>
      <c r="AU57" s="197"/>
      <c r="AV57" s="197"/>
      <c r="AW57" s="197"/>
      <c r="AX57" s="197"/>
      <c r="AY57" s="197"/>
      <c r="AZ57" s="197"/>
      <c r="BA57" s="197"/>
      <c r="BB57" s="197"/>
      <c r="BC57" s="197"/>
      <c r="BD57" s="197"/>
      <c r="BE57" s="197"/>
      <c r="BF57" s="197"/>
      <c r="BG57" s="197"/>
      <c r="BH57" s="197"/>
      <c r="BI57" s="197"/>
      <c r="BJ57" s="197"/>
      <c r="BK57" s="197"/>
      <c r="BL57" s="197"/>
      <c r="BM57" s="197"/>
      <c r="BN57" s="208"/>
      <c r="BO57" s="208"/>
      <c r="BP57" s="208"/>
      <c r="BQ57" s="208"/>
      <c r="BR57" s="208"/>
      <c r="BS57" s="208"/>
      <c r="BT57" s="208"/>
      <c r="BU57" s="208"/>
      <c r="BV57" s="208"/>
      <c r="BW57" s="208"/>
      <c r="BX57" s="208"/>
      <c r="BY57" s="208"/>
      <c r="BZ57" s="208"/>
      <c r="CA57" s="208"/>
      <c r="CB57" s="208"/>
      <c r="CC57" s="208"/>
      <c r="CD57" s="208"/>
      <c r="CE57" s="208"/>
      <c r="CF57" s="208"/>
      <c r="CG57" s="208"/>
      <c r="CH57" s="208"/>
      <c r="CI57" s="208"/>
      <c r="CJ57" s="208"/>
      <c r="CK57" s="208"/>
      <c r="CL57" s="208"/>
      <c r="CM57" s="208"/>
      <c r="CN57" s="208"/>
      <c r="CO57" s="208"/>
      <c r="CP57" s="208"/>
      <c r="CQ57" s="208"/>
      <c r="CR57" s="208"/>
      <c r="CS57" s="208"/>
      <c r="CT57" s="208"/>
      <c r="CU57" s="208"/>
      <c r="CV57" s="208"/>
      <c r="CW57" s="208"/>
      <c r="CX57" s="208"/>
      <c r="CY57" s="208"/>
      <c r="CZ57" s="208"/>
      <c r="DA57" s="208"/>
      <c r="DB57" s="208"/>
      <c r="DC57" s="208"/>
      <c r="DD57" s="208"/>
      <c r="DE57" s="208"/>
      <c r="DF57" s="208"/>
      <c r="DG57" s="208"/>
      <c r="DH57" s="208"/>
      <c r="DI57" s="208"/>
      <c r="DJ57" s="208"/>
      <c r="DK57" s="208"/>
      <c r="DL57" s="208"/>
      <c r="DM57" s="208"/>
      <c r="DN57" s="208"/>
      <c r="DO57" s="208"/>
      <c r="DP57" s="208"/>
      <c r="DQ57" s="208"/>
      <c r="DR57" s="208"/>
      <c r="DS57" s="208"/>
      <c r="DT57" s="208"/>
      <c r="DU57" s="208"/>
      <c r="DV57" s="208"/>
      <c r="DW57" s="208"/>
      <c r="DX57" s="208"/>
      <c r="DY57" s="208"/>
      <c r="DZ57" s="208"/>
      <c r="EA57" s="208"/>
      <c r="EB57" s="208"/>
      <c r="EC57" s="208"/>
      <c r="ED57" s="208"/>
      <c r="EE57" s="208"/>
      <c r="EF57" s="208"/>
      <c r="EG57" s="208"/>
      <c r="EH57" s="208"/>
      <c r="EI57" s="208"/>
      <c r="EJ57" s="208"/>
      <c r="EK57" s="208"/>
      <c r="EL57" s="208"/>
      <c r="EM57" s="208"/>
      <c r="EN57" s="208"/>
      <c r="EO57" s="208"/>
      <c r="EP57" s="208"/>
      <c r="EQ57" s="208"/>
      <c r="ER57" s="208"/>
      <c r="ES57" s="208"/>
      <c r="ET57" s="208"/>
      <c r="EU57" s="208"/>
      <c r="EV57" s="208"/>
      <c r="EW57" s="208"/>
      <c r="EX57" s="208"/>
      <c r="EY57" s="208"/>
      <c r="EZ57" s="208"/>
      <c r="FA57" s="208"/>
      <c r="FB57" s="208"/>
      <c r="FC57" s="208"/>
      <c r="FD57" s="208"/>
      <c r="FE57" s="208"/>
      <c r="FF57" s="208"/>
      <c r="FG57" s="208"/>
      <c r="FH57" s="208"/>
      <c r="FI57" s="208"/>
      <c r="FJ57" s="208"/>
      <c r="FK57" s="208"/>
      <c r="FL57" s="208"/>
      <c r="FM57" s="208"/>
      <c r="FN57" s="208"/>
      <c r="FO57" s="208"/>
      <c r="FP57" s="208"/>
      <c r="FQ57" s="208"/>
      <c r="FR57" s="208"/>
      <c r="FS57" s="208"/>
      <c r="FT57" s="208"/>
      <c r="FU57" s="208"/>
      <c r="FV57" s="208"/>
      <c r="FW57" s="208"/>
      <c r="FX57" s="208"/>
      <c r="FY57" s="208"/>
      <c r="FZ57" s="208"/>
      <c r="GA57" s="208"/>
      <c r="GB57" s="208"/>
      <c r="GC57" s="208"/>
      <c r="GD57" s="208"/>
      <c r="GE57" s="208"/>
      <c r="GF57" s="208"/>
      <c r="GG57" s="208"/>
      <c r="GH57" s="208"/>
      <c r="GI57" s="208"/>
      <c r="GJ57" s="208"/>
      <c r="GK57" s="208"/>
      <c r="GL57" s="208"/>
      <c r="GM57" s="208"/>
      <c r="GN57" s="208"/>
      <c r="GO57" s="208"/>
      <c r="GP57" s="208"/>
      <c r="GQ57" s="208"/>
      <c r="GR57" s="208"/>
      <c r="GS57" s="208"/>
      <c r="GT57" s="208"/>
      <c r="GU57" s="208"/>
      <c r="GV57" s="208"/>
      <c r="GW57" s="208"/>
      <c r="GX57" s="208"/>
      <c r="GY57" s="208"/>
      <c r="GZ57" s="208"/>
      <c r="HA57" s="208"/>
      <c r="HB57" s="208"/>
      <c r="HC57" s="208"/>
      <c r="HD57" s="208"/>
      <c r="HE57" s="208"/>
      <c r="HF57" s="208"/>
      <c r="HG57" s="208"/>
      <c r="HH57" s="208"/>
      <c r="HI57" s="208"/>
      <c r="HJ57" s="208"/>
      <c r="HK57" s="208"/>
      <c r="HL57" s="208"/>
      <c r="HM57" s="208"/>
      <c r="HN57" s="208"/>
      <c r="HO57" s="208"/>
      <c r="HP57" s="208"/>
      <c r="HQ57" s="208"/>
      <c r="HR57" s="208"/>
      <c r="HS57" s="208"/>
      <c r="HT57" s="208"/>
      <c r="HU57" s="208"/>
      <c r="HV57" s="208"/>
      <c r="HW57" s="208"/>
      <c r="HX57" s="208"/>
      <c r="HY57" s="208"/>
      <c r="HZ57" s="208"/>
      <c r="IA57" s="208"/>
      <c r="IB57" s="208"/>
      <c r="IC57" s="208"/>
      <c r="ID57" s="208"/>
      <c r="IE57" s="208"/>
      <c r="IF57" s="208"/>
      <c r="IG57" s="208"/>
      <c r="IH57" s="208"/>
      <c r="II57" s="208"/>
      <c r="IJ57" s="208"/>
      <c r="IK57" s="208"/>
      <c r="IL57" s="208"/>
      <c r="IM57" s="208"/>
      <c r="IN57" s="208"/>
      <c r="IO57" s="208"/>
      <c r="IP57" s="208"/>
      <c r="IQ57" s="208"/>
      <c r="IR57" s="208"/>
      <c r="IS57" s="208"/>
      <c r="IT57" s="208"/>
      <c r="IU57" s="208"/>
      <c r="IV57" s="208"/>
      <c r="IW57" s="208"/>
      <c r="IX57" s="208"/>
      <c r="IY57" s="208"/>
    </row>
    <row r="58" spans="1:259" ht="15" customHeight="1" x14ac:dyDescent="0.2">
      <c r="A58" s="195">
        <v>0</v>
      </c>
      <c r="B58" s="196"/>
      <c r="C58" s="196"/>
      <c r="D58" s="197" t="s">
        <v>425</v>
      </c>
      <c r="E58" s="198">
        <v>1</v>
      </c>
      <c r="F58" s="197" t="s">
        <v>535</v>
      </c>
      <c r="G58" s="198">
        <v>1</v>
      </c>
      <c r="H58" s="209" t="s">
        <v>565</v>
      </c>
      <c r="I58" s="197">
        <v>2</v>
      </c>
      <c r="J58" s="197">
        <v>2</v>
      </c>
      <c r="K58" s="197">
        <v>1</v>
      </c>
      <c r="L58" s="198" t="s">
        <v>429</v>
      </c>
      <c r="M58" s="198"/>
      <c r="N58" s="200"/>
      <c r="O58" s="200" t="s">
        <v>599</v>
      </c>
      <c r="P58" s="210" t="s">
        <v>600</v>
      </c>
      <c r="Q58" s="197" t="s">
        <v>428</v>
      </c>
      <c r="R58" s="197" t="s">
        <v>428</v>
      </c>
      <c r="S58" s="197" t="s">
        <v>428</v>
      </c>
      <c r="T58" s="197" t="s">
        <v>428</v>
      </c>
      <c r="U58" s="197"/>
      <c r="V58" s="197"/>
      <c r="W58" s="197"/>
      <c r="X58" s="197"/>
      <c r="Y58" s="197"/>
      <c r="Z58" s="197"/>
      <c r="AA58" s="197" t="s">
        <v>1</v>
      </c>
      <c r="AB58" s="198" t="s">
        <v>2</v>
      </c>
      <c r="AC58" s="198" t="s">
        <v>601</v>
      </c>
      <c r="AD58" s="197" t="s">
        <v>438</v>
      </c>
      <c r="AE58" s="197" t="s">
        <v>438</v>
      </c>
      <c r="AF58" s="197" t="s">
        <v>438</v>
      </c>
      <c r="AG58" s="197" t="s">
        <v>438</v>
      </c>
      <c r="AH58" s="197" t="s">
        <v>438</v>
      </c>
      <c r="AI58" s="197" t="s">
        <v>438</v>
      </c>
      <c r="AJ58" s="197" t="s">
        <v>438</v>
      </c>
      <c r="AK58" s="197" t="s">
        <v>438</v>
      </c>
      <c r="AL58" s="197" t="s">
        <v>438</v>
      </c>
      <c r="AM58" s="197" t="s">
        <v>602</v>
      </c>
      <c r="AN58" s="197" t="s">
        <v>603</v>
      </c>
      <c r="AO58" s="202"/>
      <c r="AP58" s="212"/>
      <c r="AQ58" s="212"/>
      <c r="AR58" s="212"/>
      <c r="AS58" s="212"/>
      <c r="AT58" s="212"/>
      <c r="AU58" s="212"/>
      <c r="AV58" s="212"/>
      <c r="AW58" s="212"/>
      <c r="AX58" s="212"/>
      <c r="AY58" s="212"/>
      <c r="AZ58" s="212"/>
      <c r="BA58" s="212"/>
      <c r="BB58" s="212"/>
      <c r="BC58" s="212"/>
      <c r="BD58" s="212"/>
      <c r="BE58" s="212"/>
      <c r="BF58" s="212"/>
      <c r="BG58" s="212"/>
      <c r="BH58" s="212"/>
      <c r="BI58" s="212"/>
      <c r="BJ58" s="212"/>
      <c r="BK58" s="212"/>
      <c r="BL58" s="212"/>
      <c r="BM58" s="212"/>
      <c r="BN58" s="212"/>
      <c r="BO58" s="212"/>
      <c r="BP58" s="212"/>
      <c r="BQ58" s="212"/>
      <c r="BR58" s="212"/>
      <c r="BS58" s="212"/>
      <c r="BT58" s="212"/>
      <c r="BU58" s="212"/>
      <c r="BV58" s="212"/>
      <c r="BW58" s="212"/>
      <c r="BX58" s="212"/>
      <c r="BY58" s="212"/>
      <c r="BZ58" s="212"/>
      <c r="CA58" s="212"/>
      <c r="CB58" s="212"/>
      <c r="CC58" s="212"/>
      <c r="CD58" s="212"/>
      <c r="CE58" s="212"/>
      <c r="CF58" s="212"/>
      <c r="CG58" s="212"/>
      <c r="CH58" s="212"/>
      <c r="CI58" s="212"/>
      <c r="CJ58" s="212"/>
      <c r="CK58" s="212"/>
      <c r="CL58" s="212"/>
      <c r="CM58" s="212"/>
      <c r="CN58" s="212"/>
      <c r="CO58" s="212"/>
      <c r="CP58" s="212"/>
      <c r="CQ58" s="212"/>
      <c r="CR58" s="212"/>
      <c r="CS58" s="212"/>
      <c r="CT58" s="212"/>
      <c r="CU58" s="212"/>
      <c r="CV58" s="212"/>
      <c r="CW58" s="212"/>
      <c r="CX58" s="212"/>
      <c r="CY58" s="212"/>
      <c r="CZ58" s="212"/>
      <c r="DA58" s="212"/>
      <c r="DB58" s="212"/>
      <c r="DC58" s="212"/>
      <c r="DD58" s="212"/>
      <c r="DE58" s="212"/>
      <c r="DF58" s="212"/>
      <c r="DG58" s="212"/>
      <c r="DH58" s="212"/>
      <c r="DI58" s="212"/>
      <c r="DJ58" s="212"/>
      <c r="DK58" s="212"/>
      <c r="DL58" s="212"/>
      <c r="DM58" s="212"/>
      <c r="DN58" s="212"/>
      <c r="DO58" s="212"/>
      <c r="DP58" s="212"/>
      <c r="DQ58" s="212"/>
      <c r="DR58" s="212"/>
      <c r="DS58" s="212"/>
      <c r="DT58" s="212"/>
      <c r="DU58" s="212"/>
      <c r="DV58" s="212"/>
      <c r="DW58" s="212"/>
      <c r="DX58" s="212"/>
      <c r="DY58" s="212"/>
      <c r="DZ58" s="212"/>
      <c r="EA58" s="212"/>
      <c r="EB58" s="212"/>
      <c r="EC58" s="212"/>
      <c r="ED58" s="212"/>
      <c r="EE58" s="212"/>
      <c r="EF58" s="212"/>
      <c r="EG58" s="212"/>
      <c r="EH58" s="212"/>
      <c r="EI58" s="212"/>
      <c r="EJ58" s="212"/>
      <c r="EK58" s="212"/>
      <c r="EL58" s="212"/>
      <c r="EM58" s="212"/>
      <c r="EN58" s="212"/>
      <c r="EO58" s="212"/>
      <c r="EP58" s="212"/>
      <c r="EQ58" s="212"/>
      <c r="ER58" s="212"/>
      <c r="ES58" s="212"/>
      <c r="ET58" s="212"/>
      <c r="EU58" s="212"/>
      <c r="EV58" s="212"/>
      <c r="EW58" s="212"/>
      <c r="EX58" s="212"/>
      <c r="EY58" s="212"/>
      <c r="EZ58" s="212"/>
      <c r="FA58" s="212"/>
      <c r="FB58" s="212"/>
      <c r="FC58" s="212"/>
      <c r="FD58" s="212"/>
      <c r="FE58" s="212"/>
      <c r="FF58" s="212"/>
      <c r="FG58" s="212"/>
      <c r="FH58" s="212"/>
      <c r="FI58" s="212"/>
      <c r="FJ58" s="212"/>
      <c r="FK58" s="212"/>
      <c r="FL58" s="212"/>
      <c r="FM58" s="212"/>
      <c r="FN58" s="212"/>
      <c r="FO58" s="212"/>
      <c r="FP58" s="212"/>
      <c r="FQ58" s="212"/>
      <c r="FR58" s="212"/>
      <c r="FS58" s="212"/>
      <c r="FT58" s="212"/>
      <c r="FU58" s="212"/>
      <c r="FV58" s="212"/>
      <c r="FW58" s="212"/>
      <c r="FX58" s="212"/>
      <c r="FY58" s="212"/>
      <c r="FZ58" s="212"/>
      <c r="GA58" s="212"/>
      <c r="GB58" s="212"/>
      <c r="GC58" s="212"/>
      <c r="GD58" s="212"/>
      <c r="GE58" s="212"/>
      <c r="GF58" s="212"/>
      <c r="GG58" s="212"/>
      <c r="GH58" s="212"/>
      <c r="GI58" s="212"/>
      <c r="GJ58" s="212"/>
      <c r="GK58" s="212"/>
      <c r="GL58" s="212"/>
      <c r="GM58" s="212"/>
      <c r="GN58" s="212"/>
      <c r="GO58" s="212"/>
      <c r="GP58" s="212"/>
      <c r="GQ58" s="212"/>
      <c r="GR58" s="212"/>
      <c r="GS58" s="212"/>
      <c r="GT58" s="212"/>
      <c r="GU58" s="212"/>
      <c r="GV58" s="212"/>
      <c r="GW58" s="212"/>
      <c r="GX58" s="212"/>
      <c r="GY58" s="212"/>
      <c r="GZ58" s="212"/>
      <c r="HA58" s="212"/>
      <c r="HB58" s="212"/>
      <c r="HC58" s="212"/>
      <c r="HD58" s="212"/>
      <c r="HE58" s="212"/>
      <c r="HF58" s="212"/>
      <c r="HG58" s="212"/>
      <c r="HH58" s="212"/>
      <c r="HI58" s="212"/>
      <c r="HJ58" s="212"/>
      <c r="HK58" s="212"/>
      <c r="HL58" s="212"/>
      <c r="HM58" s="212"/>
      <c r="HN58" s="212"/>
      <c r="HO58" s="212"/>
      <c r="HP58" s="212"/>
      <c r="HQ58" s="212"/>
      <c r="HR58" s="212"/>
      <c r="HS58" s="212"/>
      <c r="HT58" s="212"/>
      <c r="HU58" s="212"/>
      <c r="HV58" s="212"/>
      <c r="HW58" s="212"/>
      <c r="HX58" s="212"/>
      <c r="HY58" s="212"/>
      <c r="HZ58" s="212"/>
      <c r="IA58" s="212"/>
      <c r="IB58" s="212"/>
      <c r="IC58" s="212"/>
      <c r="ID58" s="212"/>
      <c r="IE58" s="212"/>
      <c r="IF58" s="212"/>
      <c r="IG58" s="212"/>
      <c r="IH58" s="212"/>
      <c r="II58" s="212"/>
      <c r="IJ58" s="212"/>
      <c r="IK58" s="212"/>
      <c r="IL58" s="212"/>
      <c r="IM58" s="212"/>
      <c r="IN58" s="212"/>
      <c r="IO58" s="212"/>
      <c r="IP58" s="212"/>
      <c r="IQ58" s="212"/>
      <c r="IR58" s="212"/>
      <c r="IS58" s="212"/>
      <c r="IT58" s="212"/>
      <c r="IU58" s="212"/>
      <c r="IV58" s="212"/>
      <c r="IW58" s="212"/>
      <c r="IX58" s="212"/>
      <c r="IY58" s="212"/>
    </row>
    <row r="59" spans="1:259" ht="15" customHeight="1" x14ac:dyDescent="0.2">
      <c r="A59" s="195">
        <v>0</v>
      </c>
      <c r="B59" s="196"/>
      <c r="C59" s="196"/>
      <c r="D59" s="197" t="s">
        <v>425</v>
      </c>
      <c r="E59" s="198">
        <v>1</v>
      </c>
      <c r="F59" s="197" t="s">
        <v>535</v>
      </c>
      <c r="G59" s="198">
        <v>1</v>
      </c>
      <c r="H59" s="209" t="s">
        <v>426</v>
      </c>
      <c r="I59" s="197">
        <v>2</v>
      </c>
      <c r="J59" s="197">
        <v>2</v>
      </c>
      <c r="K59" s="197">
        <v>1</v>
      </c>
      <c r="L59" s="198" t="s">
        <v>429</v>
      </c>
      <c r="M59" s="198"/>
      <c r="N59" s="200"/>
      <c r="O59" s="200" t="s">
        <v>599</v>
      </c>
      <c r="P59" s="210" t="s">
        <v>604</v>
      </c>
      <c r="Q59" s="197" t="s">
        <v>428</v>
      </c>
      <c r="R59" s="197" t="s">
        <v>428</v>
      </c>
      <c r="S59" s="197" t="s">
        <v>428</v>
      </c>
      <c r="T59" s="197" t="s">
        <v>428</v>
      </c>
      <c r="U59" s="197"/>
      <c r="V59" s="197"/>
      <c r="W59" s="197"/>
      <c r="X59" s="197"/>
      <c r="Y59" s="197"/>
      <c r="Z59" s="197"/>
      <c r="AA59" s="197" t="s">
        <v>1</v>
      </c>
      <c r="AB59" s="198" t="s">
        <v>2</v>
      </c>
      <c r="AC59" s="198" t="s">
        <v>601</v>
      </c>
      <c r="AD59" s="197" t="s">
        <v>428</v>
      </c>
      <c r="AE59" s="197">
        <v>380</v>
      </c>
      <c r="AF59" s="197">
        <v>3</v>
      </c>
      <c r="AG59" s="197">
        <v>60</v>
      </c>
      <c r="AH59" s="197" t="s">
        <v>428</v>
      </c>
      <c r="AI59" s="197" t="s">
        <v>428</v>
      </c>
      <c r="AJ59" s="197" t="s">
        <v>1</v>
      </c>
      <c r="AK59" s="197" t="s">
        <v>428</v>
      </c>
      <c r="AL59" s="197" t="s">
        <v>428</v>
      </c>
      <c r="AM59" s="197" t="s">
        <v>602</v>
      </c>
      <c r="AN59" s="197" t="s">
        <v>603</v>
      </c>
      <c r="AO59" s="202"/>
      <c r="AP59" s="212"/>
      <c r="AQ59" s="212"/>
      <c r="AR59" s="212"/>
      <c r="AS59" s="212"/>
      <c r="AT59" s="212"/>
      <c r="AU59" s="212"/>
      <c r="AV59" s="212"/>
      <c r="AW59" s="212"/>
      <c r="AX59" s="212"/>
      <c r="AY59" s="212"/>
      <c r="AZ59" s="212"/>
      <c r="BA59" s="212"/>
      <c r="BB59" s="212"/>
      <c r="BC59" s="212"/>
      <c r="BD59" s="212"/>
      <c r="BE59" s="212"/>
      <c r="BF59" s="212"/>
      <c r="BG59" s="212"/>
      <c r="BH59" s="212"/>
      <c r="BI59" s="212"/>
      <c r="BJ59" s="212"/>
      <c r="BK59" s="212"/>
      <c r="BL59" s="212"/>
      <c r="BM59" s="212"/>
      <c r="BN59" s="212"/>
      <c r="BO59" s="212"/>
      <c r="BP59" s="212"/>
      <c r="BQ59" s="212"/>
      <c r="BR59" s="212"/>
      <c r="BS59" s="212"/>
      <c r="BT59" s="212"/>
      <c r="BU59" s="212"/>
      <c r="BV59" s="212"/>
      <c r="BW59" s="212"/>
      <c r="BX59" s="212"/>
      <c r="BY59" s="212"/>
      <c r="BZ59" s="212"/>
      <c r="CA59" s="212"/>
      <c r="CB59" s="212"/>
      <c r="CC59" s="212"/>
      <c r="CD59" s="212"/>
      <c r="CE59" s="212"/>
      <c r="CF59" s="212"/>
      <c r="CG59" s="212"/>
      <c r="CH59" s="212"/>
      <c r="CI59" s="212"/>
      <c r="CJ59" s="212"/>
      <c r="CK59" s="212"/>
      <c r="CL59" s="212"/>
      <c r="CM59" s="212"/>
      <c r="CN59" s="212"/>
      <c r="CO59" s="212"/>
      <c r="CP59" s="212"/>
      <c r="CQ59" s="212"/>
      <c r="CR59" s="212"/>
      <c r="CS59" s="212"/>
      <c r="CT59" s="212"/>
      <c r="CU59" s="212"/>
      <c r="CV59" s="212"/>
      <c r="CW59" s="212"/>
      <c r="CX59" s="212"/>
      <c r="CY59" s="212"/>
      <c r="CZ59" s="212"/>
      <c r="DA59" s="212"/>
      <c r="DB59" s="212"/>
      <c r="DC59" s="212"/>
      <c r="DD59" s="212"/>
      <c r="DE59" s="212"/>
      <c r="DF59" s="212"/>
      <c r="DG59" s="212"/>
      <c r="DH59" s="212"/>
      <c r="DI59" s="212"/>
      <c r="DJ59" s="212"/>
      <c r="DK59" s="212"/>
      <c r="DL59" s="212"/>
      <c r="DM59" s="212"/>
      <c r="DN59" s="212"/>
      <c r="DO59" s="212"/>
      <c r="DP59" s="212"/>
      <c r="DQ59" s="212"/>
      <c r="DR59" s="212"/>
      <c r="DS59" s="212"/>
      <c r="DT59" s="212"/>
      <c r="DU59" s="212"/>
      <c r="DV59" s="212"/>
      <c r="DW59" s="212"/>
      <c r="DX59" s="212"/>
      <c r="DY59" s="212"/>
      <c r="DZ59" s="212"/>
      <c r="EA59" s="212"/>
      <c r="EB59" s="212"/>
      <c r="EC59" s="212"/>
      <c r="ED59" s="212"/>
      <c r="EE59" s="212"/>
      <c r="EF59" s="212"/>
      <c r="EG59" s="212"/>
      <c r="EH59" s="212"/>
      <c r="EI59" s="212"/>
      <c r="EJ59" s="212"/>
      <c r="EK59" s="212"/>
      <c r="EL59" s="212"/>
      <c r="EM59" s="212"/>
      <c r="EN59" s="212"/>
      <c r="EO59" s="212"/>
      <c r="EP59" s="212"/>
      <c r="EQ59" s="212"/>
      <c r="ER59" s="212"/>
      <c r="ES59" s="212"/>
      <c r="ET59" s="212"/>
      <c r="EU59" s="212"/>
      <c r="EV59" s="212"/>
      <c r="EW59" s="212"/>
      <c r="EX59" s="212"/>
      <c r="EY59" s="212"/>
      <c r="EZ59" s="212"/>
      <c r="FA59" s="212"/>
      <c r="FB59" s="212"/>
      <c r="FC59" s="212"/>
      <c r="FD59" s="212"/>
      <c r="FE59" s="212"/>
      <c r="FF59" s="212"/>
      <c r="FG59" s="212"/>
      <c r="FH59" s="212"/>
      <c r="FI59" s="212"/>
      <c r="FJ59" s="212"/>
      <c r="FK59" s="212"/>
      <c r="FL59" s="212"/>
      <c r="FM59" s="212"/>
      <c r="FN59" s="212"/>
      <c r="FO59" s="212"/>
      <c r="FP59" s="212"/>
      <c r="FQ59" s="212"/>
      <c r="FR59" s="212"/>
      <c r="FS59" s="212"/>
      <c r="FT59" s="212"/>
      <c r="FU59" s="212"/>
      <c r="FV59" s="212"/>
      <c r="FW59" s="212"/>
      <c r="FX59" s="212"/>
      <c r="FY59" s="212"/>
      <c r="FZ59" s="212"/>
      <c r="GA59" s="212"/>
      <c r="GB59" s="212"/>
      <c r="GC59" s="212"/>
      <c r="GD59" s="212"/>
      <c r="GE59" s="212"/>
      <c r="GF59" s="212"/>
      <c r="GG59" s="212"/>
      <c r="GH59" s="212"/>
      <c r="GI59" s="212"/>
      <c r="GJ59" s="212"/>
      <c r="GK59" s="212"/>
      <c r="GL59" s="212"/>
      <c r="GM59" s="212"/>
      <c r="GN59" s="212"/>
      <c r="GO59" s="212"/>
      <c r="GP59" s="212"/>
      <c r="GQ59" s="212"/>
      <c r="GR59" s="212"/>
      <c r="GS59" s="212"/>
      <c r="GT59" s="212"/>
      <c r="GU59" s="212"/>
      <c r="GV59" s="212"/>
      <c r="GW59" s="212"/>
      <c r="GX59" s="212"/>
      <c r="GY59" s="212"/>
      <c r="GZ59" s="212"/>
      <c r="HA59" s="212"/>
      <c r="HB59" s="212"/>
      <c r="HC59" s="212"/>
      <c r="HD59" s="212"/>
      <c r="HE59" s="212"/>
      <c r="HF59" s="212"/>
      <c r="HG59" s="212"/>
      <c r="HH59" s="212"/>
      <c r="HI59" s="212"/>
      <c r="HJ59" s="212"/>
      <c r="HK59" s="212"/>
      <c r="HL59" s="212"/>
      <c r="HM59" s="212"/>
      <c r="HN59" s="212"/>
      <c r="HO59" s="212"/>
      <c r="HP59" s="212"/>
      <c r="HQ59" s="212"/>
      <c r="HR59" s="212"/>
      <c r="HS59" s="212"/>
      <c r="HT59" s="212"/>
      <c r="HU59" s="212"/>
      <c r="HV59" s="212"/>
      <c r="HW59" s="212"/>
      <c r="HX59" s="212"/>
      <c r="HY59" s="212"/>
      <c r="HZ59" s="212"/>
      <c r="IA59" s="212"/>
      <c r="IB59" s="212"/>
      <c r="IC59" s="212"/>
      <c r="ID59" s="212"/>
      <c r="IE59" s="212"/>
      <c r="IF59" s="212"/>
      <c r="IG59" s="212"/>
      <c r="IH59" s="212"/>
      <c r="II59" s="212"/>
      <c r="IJ59" s="212"/>
      <c r="IK59" s="212"/>
      <c r="IL59" s="212"/>
      <c r="IM59" s="212"/>
      <c r="IN59" s="212"/>
      <c r="IO59" s="212"/>
      <c r="IP59" s="212"/>
      <c r="IQ59" s="212"/>
      <c r="IR59" s="212"/>
      <c r="IS59" s="212"/>
      <c r="IT59" s="212"/>
      <c r="IU59" s="212"/>
      <c r="IV59" s="212"/>
      <c r="IW59" s="212"/>
      <c r="IX59" s="212"/>
      <c r="IY59" s="212"/>
    </row>
    <row r="60" spans="1:259" ht="15" customHeight="1" x14ac:dyDescent="0.2">
      <c r="A60" s="195">
        <v>0</v>
      </c>
      <c r="B60" s="196"/>
      <c r="C60" s="196"/>
      <c r="D60" s="197" t="s">
        <v>425</v>
      </c>
      <c r="E60" s="198">
        <v>1</v>
      </c>
      <c r="F60" s="197" t="s">
        <v>535</v>
      </c>
      <c r="G60" s="198">
        <v>1</v>
      </c>
      <c r="H60" s="209" t="s">
        <v>426</v>
      </c>
      <c r="I60" s="197">
        <v>2</v>
      </c>
      <c r="J60" s="197">
        <v>2</v>
      </c>
      <c r="K60" s="197">
        <v>1</v>
      </c>
      <c r="L60" s="198" t="s">
        <v>429</v>
      </c>
      <c r="M60" s="198"/>
      <c r="N60" s="200"/>
      <c r="O60" s="200" t="s">
        <v>599</v>
      </c>
      <c r="P60" s="210" t="s">
        <v>537</v>
      </c>
      <c r="Q60" s="197" t="s">
        <v>428</v>
      </c>
      <c r="R60" s="197" t="s">
        <v>428</v>
      </c>
      <c r="S60" s="197" t="s">
        <v>428</v>
      </c>
      <c r="T60" s="197" t="s">
        <v>428</v>
      </c>
      <c r="U60" s="197"/>
      <c r="V60" s="197"/>
      <c r="W60" s="197"/>
      <c r="X60" s="197"/>
      <c r="Y60" s="197"/>
      <c r="Z60" s="197"/>
      <c r="AA60" s="197" t="s">
        <v>1</v>
      </c>
      <c r="AB60" s="198" t="s">
        <v>2</v>
      </c>
      <c r="AC60" s="198" t="s">
        <v>601</v>
      </c>
      <c r="AD60" s="197" t="s">
        <v>428</v>
      </c>
      <c r="AE60" s="197">
        <v>380</v>
      </c>
      <c r="AF60" s="197">
        <v>3</v>
      </c>
      <c r="AG60" s="197">
        <v>60</v>
      </c>
      <c r="AH60" s="197" t="s">
        <v>428</v>
      </c>
      <c r="AI60" s="197" t="s">
        <v>428</v>
      </c>
      <c r="AJ60" s="197" t="s">
        <v>1</v>
      </c>
      <c r="AK60" s="197" t="s">
        <v>428</v>
      </c>
      <c r="AL60" s="197" t="s">
        <v>428</v>
      </c>
      <c r="AM60" s="197" t="s">
        <v>602</v>
      </c>
      <c r="AN60" s="197" t="s">
        <v>603</v>
      </c>
      <c r="AO60" s="202"/>
      <c r="AP60" s="212"/>
      <c r="AQ60" s="212"/>
      <c r="AR60" s="212"/>
      <c r="AS60" s="212"/>
      <c r="AT60" s="212"/>
      <c r="AU60" s="212"/>
      <c r="AV60" s="212"/>
      <c r="AW60" s="212"/>
      <c r="AX60" s="212"/>
      <c r="AY60" s="212"/>
      <c r="AZ60" s="212"/>
      <c r="BA60" s="212"/>
      <c r="BB60" s="212"/>
      <c r="BC60" s="212"/>
      <c r="BD60" s="212"/>
      <c r="BE60" s="212"/>
      <c r="BF60" s="212"/>
      <c r="BG60" s="212"/>
      <c r="BH60" s="212"/>
      <c r="BI60" s="212"/>
      <c r="BJ60" s="212"/>
      <c r="BK60" s="212"/>
      <c r="BL60" s="212"/>
      <c r="BM60" s="212"/>
      <c r="BN60" s="212"/>
      <c r="BO60" s="212"/>
      <c r="BP60" s="212"/>
      <c r="BQ60" s="212"/>
      <c r="BR60" s="212"/>
      <c r="BS60" s="212"/>
      <c r="BT60" s="212"/>
      <c r="BU60" s="212"/>
      <c r="BV60" s="212"/>
      <c r="BW60" s="212"/>
      <c r="BX60" s="212"/>
      <c r="BY60" s="212"/>
      <c r="BZ60" s="212"/>
      <c r="CA60" s="212"/>
      <c r="CB60" s="212"/>
      <c r="CC60" s="212"/>
      <c r="CD60" s="212"/>
      <c r="CE60" s="212"/>
      <c r="CF60" s="212"/>
      <c r="CG60" s="212"/>
      <c r="CH60" s="212"/>
      <c r="CI60" s="212"/>
      <c r="CJ60" s="212"/>
      <c r="CK60" s="212"/>
      <c r="CL60" s="212"/>
      <c r="CM60" s="212"/>
      <c r="CN60" s="212"/>
      <c r="CO60" s="212"/>
      <c r="CP60" s="212"/>
      <c r="CQ60" s="212"/>
      <c r="CR60" s="212"/>
      <c r="CS60" s="212"/>
      <c r="CT60" s="212"/>
      <c r="CU60" s="212"/>
      <c r="CV60" s="212"/>
      <c r="CW60" s="212"/>
      <c r="CX60" s="212"/>
      <c r="CY60" s="212"/>
      <c r="CZ60" s="212"/>
      <c r="DA60" s="212"/>
      <c r="DB60" s="212"/>
      <c r="DC60" s="212"/>
      <c r="DD60" s="212"/>
      <c r="DE60" s="212"/>
      <c r="DF60" s="212"/>
      <c r="DG60" s="212"/>
      <c r="DH60" s="212"/>
      <c r="DI60" s="212"/>
      <c r="DJ60" s="212"/>
      <c r="DK60" s="212"/>
      <c r="DL60" s="212"/>
      <c r="DM60" s="212"/>
      <c r="DN60" s="212"/>
      <c r="DO60" s="212"/>
      <c r="DP60" s="212"/>
      <c r="DQ60" s="212"/>
      <c r="DR60" s="212"/>
      <c r="DS60" s="212"/>
      <c r="DT60" s="212"/>
      <c r="DU60" s="212"/>
      <c r="DV60" s="212"/>
      <c r="DW60" s="212"/>
      <c r="DX60" s="212"/>
      <c r="DY60" s="212"/>
      <c r="DZ60" s="212"/>
      <c r="EA60" s="212"/>
      <c r="EB60" s="212"/>
      <c r="EC60" s="212"/>
      <c r="ED60" s="212"/>
      <c r="EE60" s="212"/>
      <c r="EF60" s="212"/>
      <c r="EG60" s="212"/>
      <c r="EH60" s="212"/>
      <c r="EI60" s="212"/>
      <c r="EJ60" s="212"/>
      <c r="EK60" s="212"/>
      <c r="EL60" s="212"/>
      <c r="EM60" s="212"/>
      <c r="EN60" s="212"/>
      <c r="EO60" s="212"/>
      <c r="EP60" s="212"/>
      <c r="EQ60" s="212"/>
      <c r="ER60" s="212"/>
      <c r="ES60" s="212"/>
      <c r="ET60" s="212"/>
      <c r="EU60" s="212"/>
      <c r="EV60" s="212"/>
      <c r="EW60" s="212"/>
      <c r="EX60" s="212"/>
      <c r="EY60" s="212"/>
      <c r="EZ60" s="212"/>
      <c r="FA60" s="212"/>
      <c r="FB60" s="212"/>
      <c r="FC60" s="212"/>
      <c r="FD60" s="212"/>
      <c r="FE60" s="212"/>
      <c r="FF60" s="212"/>
      <c r="FG60" s="212"/>
      <c r="FH60" s="212"/>
      <c r="FI60" s="212"/>
      <c r="FJ60" s="212"/>
      <c r="FK60" s="212"/>
      <c r="FL60" s="212"/>
      <c r="FM60" s="212"/>
      <c r="FN60" s="212"/>
      <c r="FO60" s="212"/>
      <c r="FP60" s="212"/>
      <c r="FQ60" s="212"/>
      <c r="FR60" s="212"/>
      <c r="FS60" s="212"/>
      <c r="FT60" s="212"/>
      <c r="FU60" s="212"/>
      <c r="FV60" s="212"/>
      <c r="FW60" s="212"/>
      <c r="FX60" s="212"/>
      <c r="FY60" s="212"/>
      <c r="FZ60" s="212"/>
      <c r="GA60" s="212"/>
      <c r="GB60" s="212"/>
      <c r="GC60" s="212"/>
      <c r="GD60" s="212"/>
      <c r="GE60" s="212"/>
      <c r="GF60" s="212"/>
      <c r="GG60" s="212"/>
      <c r="GH60" s="212"/>
      <c r="GI60" s="212"/>
      <c r="GJ60" s="212"/>
      <c r="GK60" s="212"/>
      <c r="GL60" s="212"/>
      <c r="GM60" s="212"/>
      <c r="GN60" s="212"/>
      <c r="GO60" s="212"/>
      <c r="GP60" s="212"/>
      <c r="GQ60" s="212"/>
      <c r="GR60" s="212"/>
      <c r="GS60" s="212"/>
      <c r="GT60" s="212"/>
      <c r="GU60" s="212"/>
      <c r="GV60" s="212"/>
      <c r="GW60" s="212"/>
      <c r="GX60" s="212"/>
      <c r="GY60" s="212"/>
      <c r="GZ60" s="212"/>
      <c r="HA60" s="212"/>
      <c r="HB60" s="212"/>
      <c r="HC60" s="212"/>
      <c r="HD60" s="212"/>
      <c r="HE60" s="212"/>
      <c r="HF60" s="212"/>
      <c r="HG60" s="212"/>
      <c r="HH60" s="212"/>
      <c r="HI60" s="212"/>
      <c r="HJ60" s="212"/>
      <c r="HK60" s="212"/>
      <c r="HL60" s="212"/>
      <c r="HM60" s="212"/>
      <c r="HN60" s="212"/>
      <c r="HO60" s="212"/>
      <c r="HP60" s="212"/>
      <c r="HQ60" s="212"/>
      <c r="HR60" s="212"/>
      <c r="HS60" s="212"/>
      <c r="HT60" s="212"/>
      <c r="HU60" s="212"/>
      <c r="HV60" s="212"/>
      <c r="HW60" s="212"/>
      <c r="HX60" s="212"/>
      <c r="HY60" s="212"/>
      <c r="HZ60" s="212"/>
      <c r="IA60" s="212"/>
      <c r="IB60" s="212"/>
      <c r="IC60" s="212"/>
      <c r="ID60" s="212"/>
      <c r="IE60" s="212"/>
      <c r="IF60" s="212"/>
      <c r="IG60" s="212"/>
      <c r="IH60" s="212"/>
      <c r="II60" s="212"/>
      <c r="IJ60" s="212"/>
      <c r="IK60" s="212"/>
      <c r="IL60" s="212"/>
      <c r="IM60" s="212"/>
      <c r="IN60" s="212"/>
      <c r="IO60" s="212"/>
      <c r="IP60" s="212"/>
      <c r="IQ60" s="212"/>
      <c r="IR60" s="212"/>
      <c r="IS60" s="212"/>
      <c r="IT60" s="212"/>
      <c r="IU60" s="212"/>
      <c r="IV60" s="212"/>
      <c r="IW60" s="212"/>
      <c r="IX60" s="212"/>
      <c r="IY60" s="212"/>
    </row>
    <row r="61" spans="1:259" ht="15" customHeight="1" x14ac:dyDescent="0.2">
      <c r="A61" s="195">
        <v>0</v>
      </c>
      <c r="B61" s="196"/>
      <c r="C61" s="196"/>
      <c r="D61" s="197" t="s">
        <v>425</v>
      </c>
      <c r="E61" s="198">
        <v>1</v>
      </c>
      <c r="F61" s="197" t="s">
        <v>535</v>
      </c>
      <c r="G61" s="198">
        <v>1</v>
      </c>
      <c r="H61" s="209" t="s">
        <v>426</v>
      </c>
      <c r="I61" s="197">
        <v>2</v>
      </c>
      <c r="J61" s="197">
        <v>2</v>
      </c>
      <c r="K61" s="197">
        <v>1</v>
      </c>
      <c r="L61" s="198" t="s">
        <v>429</v>
      </c>
      <c r="M61" s="198"/>
      <c r="N61" s="200"/>
      <c r="O61" s="200" t="s">
        <v>599</v>
      </c>
      <c r="P61" s="210" t="s">
        <v>537</v>
      </c>
      <c r="Q61" s="197" t="s">
        <v>428</v>
      </c>
      <c r="R61" s="197" t="s">
        <v>428</v>
      </c>
      <c r="S61" s="197" t="s">
        <v>428</v>
      </c>
      <c r="T61" s="197" t="s">
        <v>428</v>
      </c>
      <c r="U61" s="197"/>
      <c r="V61" s="197"/>
      <c r="W61" s="197"/>
      <c r="X61" s="197"/>
      <c r="Y61" s="197"/>
      <c r="Z61" s="197"/>
      <c r="AA61" s="197" t="s">
        <v>1</v>
      </c>
      <c r="AB61" s="198" t="s">
        <v>2</v>
      </c>
      <c r="AC61" s="198" t="s">
        <v>601</v>
      </c>
      <c r="AD61" s="197" t="s">
        <v>428</v>
      </c>
      <c r="AE61" s="197">
        <v>380</v>
      </c>
      <c r="AF61" s="197">
        <v>3</v>
      </c>
      <c r="AG61" s="197">
        <v>60</v>
      </c>
      <c r="AH61" s="197" t="s">
        <v>428</v>
      </c>
      <c r="AI61" s="197" t="s">
        <v>428</v>
      </c>
      <c r="AJ61" s="197" t="s">
        <v>1</v>
      </c>
      <c r="AK61" s="197" t="s">
        <v>428</v>
      </c>
      <c r="AL61" s="197" t="s">
        <v>428</v>
      </c>
      <c r="AM61" s="197" t="s">
        <v>602</v>
      </c>
      <c r="AN61" s="197" t="s">
        <v>603</v>
      </c>
      <c r="AO61" s="202"/>
      <c r="AP61" s="212"/>
      <c r="AQ61" s="212"/>
      <c r="AR61" s="212"/>
      <c r="AS61" s="212"/>
      <c r="AT61" s="212"/>
      <c r="AU61" s="212"/>
      <c r="AV61" s="212"/>
      <c r="AW61" s="212"/>
      <c r="AX61" s="212"/>
      <c r="AY61" s="212"/>
      <c r="AZ61" s="212"/>
      <c r="BA61" s="212"/>
      <c r="BB61" s="212"/>
      <c r="BC61" s="212"/>
      <c r="BD61" s="212"/>
      <c r="BE61" s="212"/>
      <c r="BF61" s="212"/>
      <c r="BG61" s="212"/>
      <c r="BH61" s="212"/>
      <c r="BI61" s="212"/>
      <c r="BJ61" s="212"/>
      <c r="BK61" s="212"/>
      <c r="BL61" s="212"/>
      <c r="BM61" s="212"/>
      <c r="BN61" s="212"/>
      <c r="BO61" s="212"/>
      <c r="BP61" s="212"/>
      <c r="BQ61" s="212"/>
      <c r="BR61" s="212"/>
      <c r="BS61" s="212"/>
      <c r="BT61" s="212"/>
      <c r="BU61" s="212"/>
      <c r="BV61" s="212"/>
      <c r="BW61" s="212"/>
      <c r="BX61" s="212"/>
      <c r="BY61" s="212"/>
      <c r="BZ61" s="212"/>
      <c r="CA61" s="212"/>
      <c r="CB61" s="212"/>
      <c r="CC61" s="212"/>
      <c r="CD61" s="212"/>
      <c r="CE61" s="212"/>
      <c r="CF61" s="212"/>
      <c r="CG61" s="212"/>
      <c r="CH61" s="212"/>
      <c r="CI61" s="212"/>
      <c r="CJ61" s="212"/>
      <c r="CK61" s="212"/>
      <c r="CL61" s="212"/>
      <c r="CM61" s="212"/>
      <c r="CN61" s="212"/>
      <c r="CO61" s="212"/>
      <c r="CP61" s="212"/>
      <c r="CQ61" s="212"/>
      <c r="CR61" s="212"/>
      <c r="CS61" s="212"/>
      <c r="CT61" s="212"/>
      <c r="CU61" s="212"/>
      <c r="CV61" s="212"/>
      <c r="CW61" s="212"/>
      <c r="CX61" s="212"/>
      <c r="CY61" s="212"/>
      <c r="CZ61" s="212"/>
      <c r="DA61" s="212"/>
      <c r="DB61" s="212"/>
      <c r="DC61" s="212"/>
      <c r="DD61" s="212"/>
      <c r="DE61" s="212"/>
      <c r="DF61" s="212"/>
      <c r="DG61" s="212"/>
      <c r="DH61" s="212"/>
      <c r="DI61" s="212"/>
      <c r="DJ61" s="212"/>
      <c r="DK61" s="212"/>
      <c r="DL61" s="212"/>
      <c r="DM61" s="212"/>
      <c r="DN61" s="212"/>
      <c r="DO61" s="212"/>
      <c r="DP61" s="212"/>
      <c r="DQ61" s="212"/>
      <c r="DR61" s="212"/>
      <c r="DS61" s="212"/>
      <c r="DT61" s="212"/>
      <c r="DU61" s="212"/>
      <c r="DV61" s="212"/>
      <c r="DW61" s="212"/>
      <c r="DX61" s="212"/>
      <c r="DY61" s="212"/>
      <c r="DZ61" s="212"/>
      <c r="EA61" s="212"/>
      <c r="EB61" s="212"/>
      <c r="EC61" s="212"/>
      <c r="ED61" s="212"/>
      <c r="EE61" s="212"/>
      <c r="EF61" s="212"/>
      <c r="EG61" s="212"/>
      <c r="EH61" s="212"/>
      <c r="EI61" s="212"/>
      <c r="EJ61" s="212"/>
      <c r="EK61" s="212"/>
      <c r="EL61" s="212"/>
      <c r="EM61" s="212"/>
      <c r="EN61" s="212"/>
      <c r="EO61" s="212"/>
      <c r="EP61" s="212"/>
      <c r="EQ61" s="212"/>
      <c r="ER61" s="212"/>
      <c r="ES61" s="212"/>
      <c r="ET61" s="212"/>
      <c r="EU61" s="212"/>
      <c r="EV61" s="212"/>
      <c r="EW61" s="212"/>
      <c r="EX61" s="212"/>
      <c r="EY61" s="212"/>
      <c r="EZ61" s="212"/>
      <c r="FA61" s="212"/>
      <c r="FB61" s="212"/>
      <c r="FC61" s="212"/>
      <c r="FD61" s="212"/>
      <c r="FE61" s="212"/>
      <c r="FF61" s="212"/>
      <c r="FG61" s="212"/>
      <c r="FH61" s="212"/>
      <c r="FI61" s="212"/>
      <c r="FJ61" s="212"/>
      <c r="FK61" s="212"/>
      <c r="FL61" s="212"/>
      <c r="FM61" s="212"/>
      <c r="FN61" s="212"/>
      <c r="FO61" s="212"/>
      <c r="FP61" s="212"/>
      <c r="FQ61" s="212"/>
      <c r="FR61" s="212"/>
      <c r="FS61" s="212"/>
      <c r="FT61" s="212"/>
      <c r="FU61" s="212"/>
      <c r="FV61" s="212"/>
      <c r="FW61" s="212"/>
      <c r="FX61" s="212"/>
      <c r="FY61" s="212"/>
      <c r="FZ61" s="212"/>
      <c r="GA61" s="212"/>
      <c r="GB61" s="212"/>
      <c r="GC61" s="212"/>
      <c r="GD61" s="212"/>
      <c r="GE61" s="212"/>
      <c r="GF61" s="212"/>
      <c r="GG61" s="212"/>
      <c r="GH61" s="212"/>
      <c r="GI61" s="212"/>
      <c r="GJ61" s="212"/>
      <c r="GK61" s="212"/>
      <c r="GL61" s="212"/>
      <c r="GM61" s="212"/>
      <c r="GN61" s="212"/>
      <c r="GO61" s="212"/>
      <c r="GP61" s="212"/>
      <c r="GQ61" s="212"/>
      <c r="GR61" s="212"/>
      <c r="GS61" s="212"/>
      <c r="GT61" s="212"/>
      <c r="GU61" s="212"/>
      <c r="GV61" s="212"/>
      <c r="GW61" s="212"/>
      <c r="GX61" s="212"/>
      <c r="GY61" s="212"/>
      <c r="GZ61" s="212"/>
      <c r="HA61" s="212"/>
      <c r="HB61" s="212"/>
      <c r="HC61" s="212"/>
      <c r="HD61" s="212"/>
      <c r="HE61" s="212"/>
      <c r="HF61" s="212"/>
      <c r="HG61" s="212"/>
      <c r="HH61" s="212"/>
      <c r="HI61" s="212"/>
      <c r="HJ61" s="212"/>
      <c r="HK61" s="212"/>
      <c r="HL61" s="212"/>
      <c r="HM61" s="212"/>
      <c r="HN61" s="212"/>
      <c r="HO61" s="212"/>
      <c r="HP61" s="212"/>
      <c r="HQ61" s="212"/>
      <c r="HR61" s="212"/>
      <c r="HS61" s="212"/>
      <c r="HT61" s="212"/>
      <c r="HU61" s="212"/>
      <c r="HV61" s="212"/>
      <c r="HW61" s="212"/>
      <c r="HX61" s="212"/>
      <c r="HY61" s="212"/>
      <c r="HZ61" s="212"/>
      <c r="IA61" s="212"/>
      <c r="IB61" s="212"/>
      <c r="IC61" s="212"/>
      <c r="ID61" s="212"/>
      <c r="IE61" s="212"/>
      <c r="IF61" s="212"/>
      <c r="IG61" s="212"/>
      <c r="IH61" s="212"/>
      <c r="II61" s="212"/>
      <c r="IJ61" s="212"/>
      <c r="IK61" s="212"/>
      <c r="IL61" s="212"/>
      <c r="IM61" s="212"/>
      <c r="IN61" s="212"/>
      <c r="IO61" s="212"/>
      <c r="IP61" s="212"/>
      <c r="IQ61" s="212"/>
      <c r="IR61" s="212"/>
      <c r="IS61" s="212"/>
      <c r="IT61" s="212"/>
      <c r="IU61" s="212"/>
      <c r="IV61" s="212"/>
      <c r="IW61" s="212"/>
      <c r="IX61" s="212"/>
      <c r="IY61" s="212"/>
    </row>
    <row r="62" spans="1:259" ht="15" customHeight="1" x14ac:dyDescent="0.2">
      <c r="A62" s="195">
        <v>0</v>
      </c>
      <c r="B62" s="196"/>
      <c r="C62" s="196"/>
      <c r="D62" s="197" t="s">
        <v>425</v>
      </c>
      <c r="E62" s="198">
        <v>1</v>
      </c>
      <c r="F62" s="197" t="s">
        <v>535</v>
      </c>
      <c r="G62" s="198">
        <v>1</v>
      </c>
      <c r="H62" s="209" t="s">
        <v>563</v>
      </c>
      <c r="I62" s="197">
        <v>2</v>
      </c>
      <c r="J62" s="197">
        <v>2</v>
      </c>
      <c r="K62" s="197">
        <v>1</v>
      </c>
      <c r="L62" s="198" t="s">
        <v>429</v>
      </c>
      <c r="M62" s="198"/>
      <c r="N62" s="200"/>
      <c r="O62" s="200" t="s">
        <v>599</v>
      </c>
      <c r="P62" s="210" t="s">
        <v>564</v>
      </c>
      <c r="Q62" s="197" t="s">
        <v>428</v>
      </c>
      <c r="R62" s="197" t="s">
        <v>428</v>
      </c>
      <c r="S62" s="197" t="s">
        <v>428</v>
      </c>
      <c r="T62" s="197" t="s">
        <v>428</v>
      </c>
      <c r="U62" s="197"/>
      <c r="V62" s="197"/>
      <c r="W62" s="197"/>
      <c r="X62" s="197"/>
      <c r="Y62" s="197"/>
      <c r="Z62" s="197"/>
      <c r="AA62" s="197" t="s">
        <v>1</v>
      </c>
      <c r="AB62" s="198" t="s">
        <v>2</v>
      </c>
      <c r="AC62" s="198" t="s">
        <v>601</v>
      </c>
      <c r="AD62" s="197" t="s">
        <v>438</v>
      </c>
      <c r="AE62" s="197" t="s">
        <v>438</v>
      </c>
      <c r="AF62" s="197" t="s">
        <v>438</v>
      </c>
      <c r="AG62" s="197" t="s">
        <v>438</v>
      </c>
      <c r="AH62" s="197" t="s">
        <v>438</v>
      </c>
      <c r="AI62" s="197" t="s">
        <v>438</v>
      </c>
      <c r="AJ62" s="197" t="s">
        <v>438</v>
      </c>
      <c r="AK62" s="197" t="s">
        <v>438</v>
      </c>
      <c r="AL62" s="197" t="s">
        <v>438</v>
      </c>
      <c r="AM62" s="197" t="s">
        <v>602</v>
      </c>
      <c r="AN62" s="197" t="s">
        <v>603</v>
      </c>
      <c r="AO62" s="202"/>
      <c r="AP62" s="212"/>
      <c r="AQ62" s="212"/>
      <c r="AR62" s="212"/>
      <c r="AS62" s="212"/>
      <c r="AT62" s="212"/>
      <c r="AU62" s="212"/>
      <c r="AV62" s="212"/>
      <c r="AW62" s="212"/>
      <c r="AX62" s="212"/>
      <c r="AY62" s="212"/>
      <c r="AZ62" s="212"/>
      <c r="BA62" s="212"/>
      <c r="BB62" s="212"/>
      <c r="BC62" s="212"/>
      <c r="BD62" s="212"/>
      <c r="BE62" s="212"/>
      <c r="BF62" s="212"/>
      <c r="BG62" s="212"/>
      <c r="BH62" s="212"/>
      <c r="BI62" s="212"/>
      <c r="BJ62" s="212"/>
      <c r="BK62" s="212"/>
      <c r="BL62" s="212"/>
      <c r="BM62" s="212"/>
      <c r="BN62" s="212"/>
      <c r="BO62" s="212"/>
      <c r="BP62" s="212"/>
      <c r="BQ62" s="212"/>
      <c r="BR62" s="212"/>
      <c r="BS62" s="212"/>
      <c r="BT62" s="212"/>
      <c r="BU62" s="212"/>
      <c r="BV62" s="212"/>
      <c r="BW62" s="212"/>
      <c r="BX62" s="212"/>
      <c r="BY62" s="212"/>
      <c r="BZ62" s="212"/>
      <c r="CA62" s="212"/>
      <c r="CB62" s="212"/>
      <c r="CC62" s="212"/>
      <c r="CD62" s="212"/>
      <c r="CE62" s="212"/>
      <c r="CF62" s="212"/>
      <c r="CG62" s="212"/>
      <c r="CH62" s="212"/>
      <c r="CI62" s="212"/>
      <c r="CJ62" s="212"/>
      <c r="CK62" s="212"/>
      <c r="CL62" s="212"/>
      <c r="CM62" s="212"/>
      <c r="CN62" s="212"/>
      <c r="CO62" s="212"/>
      <c r="CP62" s="212"/>
      <c r="CQ62" s="212"/>
      <c r="CR62" s="212"/>
      <c r="CS62" s="212"/>
      <c r="CT62" s="212"/>
      <c r="CU62" s="212"/>
      <c r="CV62" s="212"/>
      <c r="CW62" s="212"/>
      <c r="CX62" s="212"/>
      <c r="CY62" s="212"/>
      <c r="CZ62" s="212"/>
      <c r="DA62" s="212"/>
      <c r="DB62" s="212"/>
      <c r="DC62" s="212"/>
      <c r="DD62" s="212"/>
      <c r="DE62" s="212"/>
      <c r="DF62" s="212"/>
      <c r="DG62" s="212"/>
      <c r="DH62" s="212"/>
      <c r="DI62" s="212"/>
      <c r="DJ62" s="212"/>
      <c r="DK62" s="212"/>
      <c r="DL62" s="212"/>
      <c r="DM62" s="212"/>
      <c r="DN62" s="212"/>
      <c r="DO62" s="212"/>
      <c r="DP62" s="212"/>
      <c r="DQ62" s="212"/>
      <c r="DR62" s="212"/>
      <c r="DS62" s="212"/>
      <c r="DT62" s="212"/>
      <c r="DU62" s="212"/>
      <c r="DV62" s="212"/>
      <c r="DW62" s="212"/>
      <c r="DX62" s="212"/>
      <c r="DY62" s="212"/>
      <c r="DZ62" s="212"/>
      <c r="EA62" s="212"/>
      <c r="EB62" s="212"/>
      <c r="EC62" s="212"/>
      <c r="ED62" s="212"/>
      <c r="EE62" s="212"/>
      <c r="EF62" s="212"/>
      <c r="EG62" s="212"/>
      <c r="EH62" s="212"/>
      <c r="EI62" s="212"/>
      <c r="EJ62" s="212"/>
      <c r="EK62" s="212"/>
      <c r="EL62" s="212"/>
      <c r="EM62" s="212"/>
      <c r="EN62" s="212"/>
      <c r="EO62" s="212"/>
      <c r="EP62" s="212"/>
      <c r="EQ62" s="212"/>
      <c r="ER62" s="212"/>
      <c r="ES62" s="212"/>
      <c r="ET62" s="212"/>
      <c r="EU62" s="212"/>
      <c r="EV62" s="212"/>
      <c r="EW62" s="212"/>
      <c r="EX62" s="212"/>
      <c r="EY62" s="212"/>
      <c r="EZ62" s="212"/>
      <c r="FA62" s="212"/>
      <c r="FB62" s="212"/>
      <c r="FC62" s="212"/>
      <c r="FD62" s="212"/>
      <c r="FE62" s="212"/>
      <c r="FF62" s="212"/>
      <c r="FG62" s="212"/>
      <c r="FH62" s="212"/>
      <c r="FI62" s="212"/>
      <c r="FJ62" s="212"/>
      <c r="FK62" s="212"/>
      <c r="FL62" s="212"/>
      <c r="FM62" s="212"/>
      <c r="FN62" s="212"/>
      <c r="FO62" s="212"/>
      <c r="FP62" s="212"/>
      <c r="FQ62" s="212"/>
      <c r="FR62" s="212"/>
      <c r="FS62" s="212"/>
      <c r="FT62" s="212"/>
      <c r="FU62" s="212"/>
      <c r="FV62" s="212"/>
      <c r="FW62" s="212"/>
      <c r="FX62" s="212"/>
      <c r="FY62" s="212"/>
      <c r="FZ62" s="212"/>
      <c r="GA62" s="212"/>
      <c r="GB62" s="212"/>
      <c r="GC62" s="212"/>
      <c r="GD62" s="212"/>
      <c r="GE62" s="212"/>
      <c r="GF62" s="212"/>
      <c r="GG62" s="212"/>
      <c r="GH62" s="212"/>
      <c r="GI62" s="212"/>
      <c r="GJ62" s="212"/>
      <c r="GK62" s="212"/>
      <c r="GL62" s="212"/>
      <c r="GM62" s="212"/>
      <c r="GN62" s="212"/>
      <c r="GO62" s="212"/>
      <c r="GP62" s="212"/>
      <c r="GQ62" s="212"/>
      <c r="GR62" s="212"/>
      <c r="GS62" s="212"/>
      <c r="GT62" s="212"/>
      <c r="GU62" s="212"/>
      <c r="GV62" s="212"/>
      <c r="GW62" s="212"/>
      <c r="GX62" s="212"/>
      <c r="GY62" s="212"/>
      <c r="GZ62" s="212"/>
      <c r="HA62" s="212"/>
      <c r="HB62" s="212"/>
      <c r="HC62" s="212"/>
      <c r="HD62" s="212"/>
      <c r="HE62" s="212"/>
      <c r="HF62" s="212"/>
      <c r="HG62" s="212"/>
      <c r="HH62" s="212"/>
      <c r="HI62" s="212"/>
      <c r="HJ62" s="212"/>
      <c r="HK62" s="212"/>
      <c r="HL62" s="212"/>
      <c r="HM62" s="212"/>
      <c r="HN62" s="212"/>
      <c r="HO62" s="212"/>
      <c r="HP62" s="212"/>
      <c r="HQ62" s="212"/>
      <c r="HR62" s="212"/>
      <c r="HS62" s="212"/>
      <c r="HT62" s="212"/>
      <c r="HU62" s="212"/>
      <c r="HV62" s="212"/>
      <c r="HW62" s="212"/>
      <c r="HX62" s="212"/>
      <c r="HY62" s="212"/>
      <c r="HZ62" s="212"/>
      <c r="IA62" s="212"/>
      <c r="IB62" s="212"/>
      <c r="IC62" s="212"/>
      <c r="ID62" s="212"/>
      <c r="IE62" s="212"/>
      <c r="IF62" s="212"/>
      <c r="IG62" s="212"/>
      <c r="IH62" s="212"/>
      <c r="II62" s="212"/>
      <c r="IJ62" s="212"/>
      <c r="IK62" s="212"/>
      <c r="IL62" s="212"/>
      <c r="IM62" s="212"/>
      <c r="IN62" s="212"/>
      <c r="IO62" s="212"/>
      <c r="IP62" s="212"/>
      <c r="IQ62" s="212"/>
      <c r="IR62" s="212"/>
      <c r="IS62" s="212"/>
      <c r="IT62" s="212"/>
      <c r="IU62" s="212"/>
      <c r="IV62" s="212"/>
      <c r="IW62" s="212"/>
      <c r="IX62" s="212"/>
      <c r="IY62" s="212"/>
    </row>
    <row r="63" spans="1:259" s="212" customFormat="1" ht="15" customHeight="1" x14ac:dyDescent="0.2">
      <c r="A63" s="195">
        <v>0</v>
      </c>
      <c r="B63" s="196"/>
      <c r="C63" s="196"/>
      <c r="D63" s="197" t="s">
        <v>573</v>
      </c>
      <c r="E63" s="198">
        <v>1</v>
      </c>
      <c r="F63" s="197" t="s">
        <v>605</v>
      </c>
      <c r="G63" s="198">
        <v>1</v>
      </c>
      <c r="H63" s="209" t="s">
        <v>606</v>
      </c>
      <c r="I63" s="197">
        <v>1</v>
      </c>
      <c r="J63" s="197">
        <v>1</v>
      </c>
      <c r="K63" s="197">
        <v>1</v>
      </c>
      <c r="L63" s="198" t="s">
        <v>429</v>
      </c>
      <c r="M63" s="198"/>
      <c r="N63" s="200"/>
      <c r="O63" s="200" t="s">
        <v>607</v>
      </c>
      <c r="P63" s="210" t="s">
        <v>608</v>
      </c>
      <c r="Q63" s="197">
        <v>600</v>
      </c>
      <c r="R63" s="197" t="s">
        <v>538</v>
      </c>
      <c r="S63" s="197" t="s">
        <v>428</v>
      </c>
      <c r="T63" s="197" t="s">
        <v>428</v>
      </c>
      <c r="U63" s="197"/>
      <c r="V63" s="197"/>
      <c r="W63" s="197"/>
      <c r="X63" s="197"/>
      <c r="Y63" s="197"/>
      <c r="Z63" s="197"/>
      <c r="AA63" s="197" t="s">
        <v>1</v>
      </c>
      <c r="AB63" s="198" t="s">
        <v>609</v>
      </c>
      <c r="AC63" s="198" t="s">
        <v>610</v>
      </c>
      <c r="AD63" s="197">
        <v>45</v>
      </c>
      <c r="AE63" s="197">
        <v>380</v>
      </c>
      <c r="AF63" s="197">
        <v>3</v>
      </c>
      <c r="AG63" s="197">
        <v>60</v>
      </c>
      <c r="AH63" s="197" t="s">
        <v>428</v>
      </c>
      <c r="AI63" s="197" t="s">
        <v>428</v>
      </c>
      <c r="AJ63" s="197" t="s">
        <v>1</v>
      </c>
      <c r="AK63" s="197" t="s">
        <v>428</v>
      </c>
      <c r="AL63" s="197" t="s">
        <v>428</v>
      </c>
      <c r="AM63" s="197" t="s">
        <v>602</v>
      </c>
      <c r="AN63" s="197" t="s">
        <v>603</v>
      </c>
      <c r="AO63" s="202"/>
      <c r="AP63" s="213"/>
      <c r="AQ63" s="214"/>
      <c r="AR63" s="214"/>
      <c r="AS63" s="214"/>
      <c r="AT63" s="214"/>
      <c r="AU63" s="214"/>
      <c r="AV63" s="214"/>
      <c r="AW63" s="214"/>
      <c r="AX63" s="214"/>
      <c r="AY63" s="214"/>
      <c r="AZ63" s="214"/>
      <c r="BA63" s="214"/>
      <c r="BB63" s="214"/>
      <c r="BC63" s="214"/>
      <c r="BD63" s="214"/>
      <c r="BE63" s="214"/>
      <c r="BF63" s="214"/>
      <c r="BG63" s="214"/>
      <c r="BH63" s="214"/>
      <c r="BI63" s="214"/>
      <c r="BJ63" s="214"/>
      <c r="BK63" s="214"/>
      <c r="BL63" s="214"/>
      <c r="BM63" s="214"/>
      <c r="BN63" s="215"/>
      <c r="BO63" s="215"/>
      <c r="BP63" s="215"/>
      <c r="BQ63" s="215"/>
      <c r="BR63" s="215"/>
      <c r="BS63" s="215"/>
      <c r="BT63" s="215"/>
      <c r="BU63" s="215"/>
      <c r="BV63" s="215"/>
      <c r="BW63" s="215"/>
      <c r="BX63" s="215"/>
      <c r="BY63" s="215"/>
      <c r="BZ63" s="215"/>
      <c r="CA63" s="215"/>
      <c r="CB63" s="215"/>
      <c r="CC63" s="215"/>
      <c r="CD63" s="215"/>
      <c r="CE63" s="215"/>
      <c r="CF63" s="215"/>
      <c r="CG63" s="215"/>
      <c r="CH63" s="215"/>
      <c r="CI63" s="215"/>
      <c r="CJ63" s="215"/>
      <c r="CK63" s="215"/>
      <c r="CL63" s="215"/>
      <c r="CM63" s="215"/>
      <c r="CN63" s="215"/>
      <c r="CO63" s="215"/>
      <c r="CP63" s="215"/>
      <c r="CQ63" s="215"/>
      <c r="CR63" s="215"/>
      <c r="CS63" s="215"/>
      <c r="CT63" s="215"/>
      <c r="CU63" s="215"/>
      <c r="CV63" s="215"/>
      <c r="CW63" s="215"/>
      <c r="CX63" s="215"/>
      <c r="CY63" s="215"/>
      <c r="CZ63" s="215"/>
      <c r="DA63" s="215"/>
      <c r="DB63" s="215"/>
      <c r="DC63" s="215"/>
      <c r="DD63" s="215"/>
      <c r="DE63" s="215"/>
      <c r="DF63" s="215"/>
      <c r="DG63" s="215"/>
      <c r="DH63" s="215"/>
      <c r="DI63" s="215"/>
      <c r="DJ63" s="215"/>
      <c r="DK63" s="215"/>
      <c r="DL63" s="215"/>
      <c r="DM63" s="215"/>
      <c r="DN63" s="215"/>
      <c r="DO63" s="215"/>
      <c r="DP63" s="215"/>
      <c r="DQ63" s="215"/>
      <c r="DR63" s="215"/>
      <c r="DS63" s="215"/>
      <c r="DT63" s="215"/>
      <c r="DU63" s="215"/>
      <c r="DV63" s="215"/>
      <c r="DW63" s="215"/>
      <c r="DX63" s="215"/>
      <c r="DY63" s="215"/>
      <c r="DZ63" s="215"/>
      <c r="EA63" s="215"/>
      <c r="EB63" s="215"/>
      <c r="EC63" s="215"/>
      <c r="ED63" s="215"/>
      <c r="EE63" s="215"/>
      <c r="EF63" s="215"/>
      <c r="EG63" s="215"/>
      <c r="EH63" s="215"/>
      <c r="EI63" s="215"/>
      <c r="EJ63" s="215"/>
      <c r="EK63" s="215"/>
      <c r="EL63" s="215"/>
      <c r="EM63" s="215"/>
      <c r="EN63" s="215"/>
      <c r="EO63" s="215"/>
      <c r="EP63" s="215"/>
      <c r="EQ63" s="215"/>
      <c r="ER63" s="215"/>
      <c r="ES63" s="215"/>
      <c r="ET63" s="215"/>
      <c r="EU63" s="215"/>
      <c r="EV63" s="215"/>
      <c r="EW63" s="215"/>
      <c r="EX63" s="215"/>
      <c r="EY63" s="215"/>
      <c r="EZ63" s="215"/>
      <c r="FA63" s="215"/>
      <c r="FB63" s="215"/>
      <c r="FC63" s="215"/>
      <c r="FD63" s="215"/>
      <c r="FE63" s="215"/>
      <c r="FF63" s="215"/>
      <c r="FG63" s="215"/>
      <c r="FH63" s="215"/>
      <c r="FI63" s="215"/>
      <c r="FJ63" s="215"/>
      <c r="FK63" s="215"/>
      <c r="FL63" s="215"/>
      <c r="FM63" s="215"/>
      <c r="FN63" s="215"/>
      <c r="FO63" s="215"/>
      <c r="FP63" s="215"/>
      <c r="FQ63" s="215"/>
      <c r="FR63" s="215"/>
      <c r="FS63" s="215"/>
      <c r="FT63" s="215"/>
      <c r="FU63" s="215"/>
      <c r="FV63" s="215"/>
      <c r="FW63" s="215"/>
      <c r="FX63" s="215"/>
      <c r="FY63" s="215"/>
      <c r="FZ63" s="215"/>
      <c r="GA63" s="215"/>
      <c r="GB63" s="215"/>
      <c r="GC63" s="215"/>
      <c r="GD63" s="215"/>
      <c r="GE63" s="215"/>
      <c r="GF63" s="215"/>
      <c r="GG63" s="215"/>
      <c r="GH63" s="215"/>
      <c r="GI63" s="215"/>
      <c r="GJ63" s="215"/>
      <c r="GK63" s="215"/>
      <c r="GL63" s="215"/>
      <c r="GM63" s="215"/>
      <c r="GN63" s="215"/>
      <c r="GO63" s="215"/>
      <c r="GP63" s="215"/>
      <c r="GQ63" s="215"/>
      <c r="GR63" s="215"/>
      <c r="GS63" s="215"/>
      <c r="GT63" s="215"/>
      <c r="GU63" s="215"/>
      <c r="GV63" s="215"/>
      <c r="GW63" s="215"/>
      <c r="GX63" s="215"/>
      <c r="GY63" s="215"/>
      <c r="GZ63" s="215"/>
      <c r="HA63" s="215"/>
      <c r="HB63" s="215"/>
      <c r="HC63" s="215"/>
      <c r="HD63" s="215"/>
      <c r="HE63" s="215"/>
      <c r="HF63" s="215"/>
      <c r="HG63" s="215"/>
      <c r="HH63" s="215"/>
      <c r="HI63" s="215"/>
      <c r="HJ63" s="215"/>
      <c r="HK63" s="215"/>
      <c r="HL63" s="215"/>
      <c r="HM63" s="215"/>
      <c r="HN63" s="215"/>
      <c r="HO63" s="215"/>
      <c r="HP63" s="215"/>
      <c r="HQ63" s="215"/>
      <c r="HR63" s="215"/>
      <c r="HS63" s="215"/>
      <c r="HT63" s="215"/>
      <c r="HU63" s="215"/>
      <c r="HV63" s="215"/>
      <c r="HW63" s="215"/>
      <c r="HX63" s="215"/>
      <c r="HY63" s="215"/>
      <c r="HZ63" s="215"/>
      <c r="IA63" s="215"/>
      <c r="IB63" s="215"/>
      <c r="IC63" s="215"/>
      <c r="ID63" s="215"/>
      <c r="IE63" s="215"/>
      <c r="IF63" s="215"/>
      <c r="IG63" s="215"/>
      <c r="IH63" s="215"/>
      <c r="II63" s="215"/>
      <c r="IJ63" s="215"/>
      <c r="IK63" s="215"/>
      <c r="IL63" s="215"/>
      <c r="IM63" s="215"/>
      <c r="IN63" s="215"/>
      <c r="IO63" s="215"/>
      <c r="IP63" s="215"/>
      <c r="IQ63" s="215"/>
      <c r="IR63" s="215"/>
      <c r="IS63" s="215"/>
      <c r="IT63" s="215"/>
      <c r="IU63" s="215"/>
      <c r="IV63" s="215"/>
      <c r="IW63" s="215"/>
      <c r="IX63" s="215"/>
      <c r="IY63" s="215"/>
    </row>
    <row r="64" spans="1:259" s="212" customFormat="1" ht="15" customHeight="1" x14ac:dyDescent="0.2">
      <c r="A64" s="195">
        <v>0</v>
      </c>
      <c r="B64" s="196"/>
      <c r="C64" s="196"/>
      <c r="D64" s="197" t="s">
        <v>573</v>
      </c>
      <c r="E64" s="198">
        <v>1</v>
      </c>
      <c r="F64" s="197" t="s">
        <v>605</v>
      </c>
      <c r="G64" s="198">
        <v>1</v>
      </c>
      <c r="H64" s="209" t="s">
        <v>606</v>
      </c>
      <c r="I64" s="197">
        <v>1</v>
      </c>
      <c r="J64" s="197">
        <v>1</v>
      </c>
      <c r="K64" s="197">
        <v>1</v>
      </c>
      <c r="L64" s="198" t="s">
        <v>429</v>
      </c>
      <c r="M64" s="198"/>
      <c r="N64" s="200"/>
      <c r="O64" s="200" t="s">
        <v>607</v>
      </c>
      <c r="P64" s="210" t="s">
        <v>608</v>
      </c>
      <c r="Q64" s="197">
        <v>600</v>
      </c>
      <c r="R64" s="197" t="s">
        <v>538</v>
      </c>
      <c r="S64" s="197" t="s">
        <v>428</v>
      </c>
      <c r="T64" s="197" t="s">
        <v>428</v>
      </c>
      <c r="U64" s="197"/>
      <c r="V64" s="197"/>
      <c r="W64" s="197"/>
      <c r="X64" s="197"/>
      <c r="Y64" s="197"/>
      <c r="Z64" s="197"/>
      <c r="AA64" s="197" t="s">
        <v>1</v>
      </c>
      <c r="AB64" s="198" t="s">
        <v>609</v>
      </c>
      <c r="AC64" s="198" t="s">
        <v>610</v>
      </c>
      <c r="AD64" s="197">
        <v>45</v>
      </c>
      <c r="AE64" s="197">
        <v>380</v>
      </c>
      <c r="AF64" s="197">
        <v>3</v>
      </c>
      <c r="AG64" s="197">
        <v>60</v>
      </c>
      <c r="AH64" s="197" t="s">
        <v>428</v>
      </c>
      <c r="AI64" s="197" t="s">
        <v>428</v>
      </c>
      <c r="AJ64" s="197" t="s">
        <v>1</v>
      </c>
      <c r="AK64" s="197" t="s">
        <v>428</v>
      </c>
      <c r="AL64" s="197" t="s">
        <v>428</v>
      </c>
      <c r="AM64" s="197" t="s">
        <v>602</v>
      </c>
      <c r="AN64" s="197" t="s">
        <v>603</v>
      </c>
      <c r="AO64" s="202"/>
      <c r="AP64" s="213"/>
      <c r="AQ64" s="214"/>
      <c r="AR64" s="214"/>
      <c r="AS64" s="214"/>
      <c r="AT64" s="214"/>
      <c r="AU64" s="214"/>
      <c r="AV64" s="214"/>
      <c r="AW64" s="214"/>
      <c r="AX64" s="214"/>
      <c r="AY64" s="214"/>
      <c r="AZ64" s="214"/>
      <c r="BA64" s="214"/>
      <c r="BB64" s="214"/>
      <c r="BC64" s="214"/>
      <c r="BD64" s="214"/>
      <c r="BE64" s="214"/>
      <c r="BF64" s="214"/>
      <c r="BG64" s="214"/>
      <c r="BH64" s="214"/>
      <c r="BI64" s="214"/>
      <c r="BJ64" s="214"/>
      <c r="BK64" s="214"/>
      <c r="BL64" s="214"/>
      <c r="BM64" s="214"/>
      <c r="BN64" s="215"/>
      <c r="BO64" s="215"/>
      <c r="BP64" s="215"/>
      <c r="BQ64" s="215"/>
      <c r="BR64" s="215"/>
      <c r="BS64" s="215"/>
      <c r="BT64" s="215"/>
      <c r="BU64" s="215"/>
      <c r="BV64" s="215"/>
      <c r="BW64" s="215"/>
      <c r="BX64" s="215"/>
      <c r="BY64" s="215"/>
      <c r="BZ64" s="215"/>
      <c r="CA64" s="215"/>
      <c r="CB64" s="215"/>
      <c r="CC64" s="215"/>
      <c r="CD64" s="215"/>
      <c r="CE64" s="215"/>
      <c r="CF64" s="215"/>
      <c r="CG64" s="215"/>
      <c r="CH64" s="215"/>
      <c r="CI64" s="215"/>
      <c r="CJ64" s="215"/>
      <c r="CK64" s="215"/>
      <c r="CL64" s="215"/>
      <c r="CM64" s="215"/>
      <c r="CN64" s="215"/>
      <c r="CO64" s="215"/>
      <c r="CP64" s="215"/>
      <c r="CQ64" s="215"/>
      <c r="CR64" s="215"/>
      <c r="CS64" s="215"/>
      <c r="CT64" s="215"/>
      <c r="CU64" s="215"/>
      <c r="CV64" s="215"/>
      <c r="CW64" s="215"/>
      <c r="CX64" s="215"/>
      <c r="CY64" s="215"/>
      <c r="CZ64" s="215"/>
      <c r="DA64" s="215"/>
      <c r="DB64" s="215"/>
      <c r="DC64" s="215"/>
      <c r="DD64" s="215"/>
      <c r="DE64" s="215"/>
      <c r="DF64" s="215"/>
      <c r="DG64" s="215"/>
      <c r="DH64" s="215"/>
      <c r="DI64" s="215"/>
      <c r="DJ64" s="215"/>
      <c r="DK64" s="215"/>
      <c r="DL64" s="215"/>
      <c r="DM64" s="215"/>
      <c r="DN64" s="215"/>
      <c r="DO64" s="215"/>
      <c r="DP64" s="215"/>
      <c r="DQ64" s="215"/>
      <c r="DR64" s="215"/>
      <c r="DS64" s="215"/>
      <c r="DT64" s="215"/>
      <c r="DU64" s="215"/>
      <c r="DV64" s="215"/>
      <c r="DW64" s="215"/>
      <c r="DX64" s="215"/>
      <c r="DY64" s="215"/>
      <c r="DZ64" s="215"/>
      <c r="EA64" s="215"/>
      <c r="EB64" s="215"/>
      <c r="EC64" s="215"/>
      <c r="ED64" s="215"/>
      <c r="EE64" s="215"/>
      <c r="EF64" s="215"/>
      <c r="EG64" s="215"/>
      <c r="EH64" s="215"/>
      <c r="EI64" s="215"/>
      <c r="EJ64" s="215"/>
      <c r="EK64" s="215"/>
      <c r="EL64" s="215"/>
      <c r="EM64" s="215"/>
      <c r="EN64" s="215"/>
      <c r="EO64" s="215"/>
      <c r="EP64" s="215"/>
      <c r="EQ64" s="215"/>
      <c r="ER64" s="215"/>
      <c r="ES64" s="215"/>
      <c r="ET64" s="215"/>
      <c r="EU64" s="215"/>
      <c r="EV64" s="215"/>
      <c r="EW64" s="215"/>
      <c r="EX64" s="215"/>
      <c r="EY64" s="215"/>
      <c r="EZ64" s="215"/>
      <c r="FA64" s="215"/>
      <c r="FB64" s="215"/>
      <c r="FC64" s="215"/>
      <c r="FD64" s="215"/>
      <c r="FE64" s="215"/>
      <c r="FF64" s="215"/>
      <c r="FG64" s="215"/>
      <c r="FH64" s="215"/>
      <c r="FI64" s="215"/>
      <c r="FJ64" s="215"/>
      <c r="FK64" s="215"/>
      <c r="FL64" s="215"/>
      <c r="FM64" s="215"/>
      <c r="FN64" s="215"/>
      <c r="FO64" s="215"/>
      <c r="FP64" s="215"/>
      <c r="FQ64" s="215"/>
      <c r="FR64" s="215"/>
      <c r="FS64" s="215"/>
      <c r="FT64" s="215"/>
      <c r="FU64" s="215"/>
      <c r="FV64" s="215"/>
      <c r="FW64" s="215"/>
      <c r="FX64" s="215"/>
      <c r="FY64" s="215"/>
      <c r="FZ64" s="215"/>
      <c r="GA64" s="215"/>
      <c r="GB64" s="215"/>
      <c r="GC64" s="215"/>
      <c r="GD64" s="215"/>
      <c r="GE64" s="215"/>
      <c r="GF64" s="215"/>
      <c r="GG64" s="215"/>
      <c r="GH64" s="215"/>
      <c r="GI64" s="215"/>
      <c r="GJ64" s="215"/>
      <c r="GK64" s="215"/>
      <c r="GL64" s="215"/>
      <c r="GM64" s="215"/>
      <c r="GN64" s="215"/>
      <c r="GO64" s="215"/>
      <c r="GP64" s="215"/>
      <c r="GQ64" s="215"/>
      <c r="GR64" s="215"/>
      <c r="GS64" s="215"/>
      <c r="GT64" s="215"/>
      <c r="GU64" s="215"/>
      <c r="GV64" s="215"/>
      <c r="GW64" s="215"/>
      <c r="GX64" s="215"/>
      <c r="GY64" s="215"/>
      <c r="GZ64" s="215"/>
      <c r="HA64" s="215"/>
      <c r="HB64" s="215"/>
      <c r="HC64" s="215"/>
      <c r="HD64" s="215"/>
      <c r="HE64" s="215"/>
      <c r="HF64" s="215"/>
      <c r="HG64" s="215"/>
      <c r="HH64" s="215"/>
      <c r="HI64" s="215"/>
      <c r="HJ64" s="215"/>
      <c r="HK64" s="215"/>
      <c r="HL64" s="215"/>
      <c r="HM64" s="215"/>
      <c r="HN64" s="215"/>
      <c r="HO64" s="215"/>
      <c r="HP64" s="215"/>
      <c r="HQ64" s="215"/>
      <c r="HR64" s="215"/>
      <c r="HS64" s="215"/>
      <c r="HT64" s="215"/>
      <c r="HU64" s="215"/>
      <c r="HV64" s="215"/>
      <c r="HW64" s="215"/>
      <c r="HX64" s="215"/>
      <c r="HY64" s="215"/>
      <c r="HZ64" s="215"/>
      <c r="IA64" s="215"/>
      <c r="IB64" s="215"/>
      <c r="IC64" s="215"/>
      <c r="ID64" s="215"/>
      <c r="IE64" s="215"/>
      <c r="IF64" s="215"/>
      <c r="IG64" s="215"/>
      <c r="IH64" s="215"/>
      <c r="II64" s="215"/>
      <c r="IJ64" s="215"/>
      <c r="IK64" s="215"/>
      <c r="IL64" s="215"/>
      <c r="IM64" s="215"/>
      <c r="IN64" s="215"/>
      <c r="IO64" s="215"/>
      <c r="IP64" s="215"/>
      <c r="IQ64" s="215"/>
      <c r="IR64" s="215"/>
      <c r="IS64" s="215"/>
      <c r="IT64" s="215"/>
      <c r="IU64" s="215"/>
      <c r="IV64" s="215"/>
      <c r="IW64" s="215"/>
      <c r="IX64" s="215"/>
      <c r="IY64" s="215"/>
    </row>
    <row r="65" spans="1:259" s="212" customFormat="1" ht="15" customHeight="1" x14ac:dyDescent="0.2">
      <c r="A65" s="195">
        <v>0</v>
      </c>
      <c r="B65" s="196"/>
      <c r="C65" s="196"/>
      <c r="D65" s="197" t="s">
        <v>425</v>
      </c>
      <c r="E65" s="198">
        <v>1</v>
      </c>
      <c r="F65" s="197" t="s">
        <v>535</v>
      </c>
      <c r="G65" s="198">
        <v>1</v>
      </c>
      <c r="H65" s="209" t="s">
        <v>606</v>
      </c>
      <c r="I65" s="197">
        <v>5</v>
      </c>
      <c r="J65" s="197">
        <v>2</v>
      </c>
      <c r="K65" s="197">
        <v>1</v>
      </c>
      <c r="L65" s="198" t="s">
        <v>429</v>
      </c>
      <c r="M65" s="198"/>
      <c r="N65" s="200"/>
      <c r="O65" s="200" t="s">
        <v>607</v>
      </c>
      <c r="P65" s="210" t="s">
        <v>608</v>
      </c>
      <c r="Q65" s="197">
        <v>600</v>
      </c>
      <c r="R65" s="197" t="s">
        <v>538</v>
      </c>
      <c r="S65" s="197" t="s">
        <v>428</v>
      </c>
      <c r="T65" s="197" t="s">
        <v>428</v>
      </c>
      <c r="U65" s="197"/>
      <c r="V65" s="197"/>
      <c r="W65" s="197"/>
      <c r="X65" s="197"/>
      <c r="Y65" s="197"/>
      <c r="Z65" s="197"/>
      <c r="AA65" s="197" t="s">
        <v>1</v>
      </c>
      <c r="AB65" s="198" t="s">
        <v>609</v>
      </c>
      <c r="AC65" s="198" t="s">
        <v>610</v>
      </c>
      <c r="AD65" s="197">
        <v>45</v>
      </c>
      <c r="AE65" s="197">
        <v>380</v>
      </c>
      <c r="AF65" s="197">
        <v>3</v>
      </c>
      <c r="AG65" s="197">
        <v>60</v>
      </c>
      <c r="AH65" s="197" t="s">
        <v>428</v>
      </c>
      <c r="AI65" s="197" t="s">
        <v>428</v>
      </c>
      <c r="AJ65" s="197" t="s">
        <v>1</v>
      </c>
      <c r="AK65" s="197" t="s">
        <v>428</v>
      </c>
      <c r="AL65" s="197" t="s">
        <v>428</v>
      </c>
      <c r="AM65" s="197" t="s">
        <v>602</v>
      </c>
      <c r="AN65" s="197" t="s">
        <v>603</v>
      </c>
      <c r="AO65" s="202"/>
      <c r="AP65" s="213"/>
      <c r="AQ65" s="214"/>
      <c r="AR65" s="214"/>
      <c r="AS65" s="214"/>
      <c r="AT65" s="214"/>
      <c r="AU65" s="214"/>
      <c r="AV65" s="214"/>
      <c r="AW65" s="214"/>
      <c r="AX65" s="214"/>
      <c r="AY65" s="214"/>
      <c r="AZ65" s="214"/>
      <c r="BA65" s="214"/>
      <c r="BB65" s="214"/>
      <c r="BC65" s="214"/>
      <c r="BD65" s="214"/>
      <c r="BE65" s="214"/>
      <c r="BF65" s="214"/>
      <c r="BG65" s="214"/>
      <c r="BH65" s="214"/>
      <c r="BI65" s="214"/>
      <c r="BJ65" s="214"/>
      <c r="BK65" s="214"/>
      <c r="BL65" s="214"/>
      <c r="BM65" s="214"/>
      <c r="BN65" s="215"/>
      <c r="BO65" s="215"/>
      <c r="BP65" s="215"/>
      <c r="BQ65" s="215"/>
      <c r="BR65" s="215"/>
      <c r="BS65" s="215"/>
      <c r="BT65" s="215"/>
      <c r="BU65" s="215"/>
      <c r="BV65" s="215"/>
      <c r="BW65" s="215"/>
      <c r="BX65" s="215"/>
      <c r="BY65" s="215"/>
      <c r="BZ65" s="215"/>
      <c r="CA65" s="215"/>
      <c r="CB65" s="215"/>
      <c r="CC65" s="215"/>
      <c r="CD65" s="215"/>
      <c r="CE65" s="215"/>
      <c r="CF65" s="215"/>
      <c r="CG65" s="215"/>
      <c r="CH65" s="215"/>
      <c r="CI65" s="215"/>
      <c r="CJ65" s="215"/>
      <c r="CK65" s="215"/>
      <c r="CL65" s="215"/>
      <c r="CM65" s="215"/>
      <c r="CN65" s="215"/>
      <c r="CO65" s="215"/>
      <c r="CP65" s="215"/>
      <c r="CQ65" s="215"/>
      <c r="CR65" s="215"/>
      <c r="CS65" s="215"/>
      <c r="CT65" s="215"/>
      <c r="CU65" s="215"/>
      <c r="CV65" s="215"/>
      <c r="CW65" s="215"/>
      <c r="CX65" s="215"/>
      <c r="CY65" s="215"/>
      <c r="CZ65" s="215"/>
      <c r="DA65" s="215"/>
      <c r="DB65" s="215"/>
      <c r="DC65" s="215"/>
      <c r="DD65" s="215"/>
      <c r="DE65" s="215"/>
      <c r="DF65" s="215"/>
      <c r="DG65" s="215"/>
      <c r="DH65" s="215"/>
      <c r="DI65" s="215"/>
      <c r="DJ65" s="215"/>
      <c r="DK65" s="215"/>
      <c r="DL65" s="215"/>
      <c r="DM65" s="215"/>
      <c r="DN65" s="215"/>
      <c r="DO65" s="215"/>
      <c r="DP65" s="215"/>
      <c r="DQ65" s="215"/>
      <c r="DR65" s="215"/>
      <c r="DS65" s="215"/>
      <c r="DT65" s="215"/>
      <c r="DU65" s="215"/>
      <c r="DV65" s="215"/>
      <c r="DW65" s="215"/>
      <c r="DX65" s="215"/>
      <c r="DY65" s="215"/>
      <c r="DZ65" s="215"/>
      <c r="EA65" s="215"/>
      <c r="EB65" s="215"/>
      <c r="EC65" s="215"/>
      <c r="ED65" s="215"/>
      <c r="EE65" s="215"/>
      <c r="EF65" s="215"/>
      <c r="EG65" s="215"/>
      <c r="EH65" s="215"/>
      <c r="EI65" s="215"/>
      <c r="EJ65" s="215"/>
      <c r="EK65" s="215"/>
      <c r="EL65" s="215"/>
      <c r="EM65" s="215"/>
      <c r="EN65" s="215"/>
      <c r="EO65" s="215"/>
      <c r="EP65" s="215"/>
      <c r="EQ65" s="215"/>
      <c r="ER65" s="215"/>
      <c r="ES65" s="215"/>
      <c r="ET65" s="215"/>
      <c r="EU65" s="215"/>
      <c r="EV65" s="215"/>
      <c r="EW65" s="215"/>
      <c r="EX65" s="215"/>
      <c r="EY65" s="215"/>
      <c r="EZ65" s="215"/>
      <c r="FA65" s="215"/>
      <c r="FB65" s="215"/>
      <c r="FC65" s="215"/>
      <c r="FD65" s="215"/>
      <c r="FE65" s="215"/>
      <c r="FF65" s="215"/>
      <c r="FG65" s="215"/>
      <c r="FH65" s="215"/>
      <c r="FI65" s="215"/>
      <c r="FJ65" s="215"/>
      <c r="FK65" s="215"/>
      <c r="FL65" s="215"/>
      <c r="FM65" s="215"/>
      <c r="FN65" s="215"/>
      <c r="FO65" s="215"/>
      <c r="FP65" s="215"/>
      <c r="FQ65" s="215"/>
      <c r="FR65" s="215"/>
      <c r="FS65" s="215"/>
      <c r="FT65" s="215"/>
      <c r="FU65" s="215"/>
      <c r="FV65" s="215"/>
      <c r="FW65" s="215"/>
      <c r="FX65" s="215"/>
      <c r="FY65" s="215"/>
      <c r="FZ65" s="215"/>
      <c r="GA65" s="215"/>
      <c r="GB65" s="215"/>
      <c r="GC65" s="215"/>
      <c r="GD65" s="215"/>
      <c r="GE65" s="215"/>
      <c r="GF65" s="215"/>
      <c r="GG65" s="215"/>
      <c r="GH65" s="215"/>
      <c r="GI65" s="215"/>
      <c r="GJ65" s="215"/>
      <c r="GK65" s="215"/>
      <c r="GL65" s="215"/>
      <c r="GM65" s="215"/>
      <c r="GN65" s="215"/>
      <c r="GO65" s="215"/>
      <c r="GP65" s="215"/>
      <c r="GQ65" s="215"/>
      <c r="GR65" s="215"/>
      <c r="GS65" s="215"/>
      <c r="GT65" s="215"/>
      <c r="GU65" s="215"/>
      <c r="GV65" s="215"/>
      <c r="GW65" s="215"/>
      <c r="GX65" s="215"/>
      <c r="GY65" s="215"/>
      <c r="GZ65" s="215"/>
      <c r="HA65" s="215"/>
      <c r="HB65" s="215"/>
      <c r="HC65" s="215"/>
      <c r="HD65" s="215"/>
      <c r="HE65" s="215"/>
      <c r="HF65" s="215"/>
      <c r="HG65" s="215"/>
      <c r="HH65" s="215"/>
      <c r="HI65" s="215"/>
      <c r="HJ65" s="215"/>
      <c r="HK65" s="215"/>
      <c r="HL65" s="215"/>
      <c r="HM65" s="215"/>
      <c r="HN65" s="215"/>
      <c r="HO65" s="215"/>
      <c r="HP65" s="215"/>
      <c r="HQ65" s="215"/>
      <c r="HR65" s="215"/>
      <c r="HS65" s="215"/>
      <c r="HT65" s="215"/>
      <c r="HU65" s="215"/>
      <c r="HV65" s="215"/>
      <c r="HW65" s="215"/>
      <c r="HX65" s="215"/>
      <c r="HY65" s="215"/>
      <c r="HZ65" s="215"/>
      <c r="IA65" s="215"/>
      <c r="IB65" s="215"/>
      <c r="IC65" s="215"/>
      <c r="ID65" s="215"/>
      <c r="IE65" s="215"/>
      <c r="IF65" s="215"/>
      <c r="IG65" s="215"/>
      <c r="IH65" s="215"/>
      <c r="II65" s="215"/>
      <c r="IJ65" s="215"/>
      <c r="IK65" s="215"/>
      <c r="IL65" s="215"/>
      <c r="IM65" s="215"/>
      <c r="IN65" s="215"/>
      <c r="IO65" s="215"/>
      <c r="IP65" s="215"/>
      <c r="IQ65" s="215"/>
      <c r="IR65" s="215"/>
      <c r="IS65" s="215"/>
      <c r="IT65" s="215"/>
      <c r="IU65" s="215"/>
      <c r="IV65" s="215"/>
      <c r="IW65" s="215"/>
      <c r="IX65" s="215"/>
      <c r="IY65" s="215"/>
    </row>
    <row r="66" spans="1:259" s="212" customFormat="1" ht="15" customHeight="1" x14ac:dyDescent="0.2">
      <c r="A66" s="195">
        <v>0</v>
      </c>
      <c r="B66" s="196"/>
      <c r="C66" s="196"/>
      <c r="D66" s="197" t="s">
        <v>425</v>
      </c>
      <c r="E66" s="198">
        <v>1</v>
      </c>
      <c r="F66" s="197" t="s">
        <v>535</v>
      </c>
      <c r="G66" s="198">
        <v>1</v>
      </c>
      <c r="H66" s="209" t="s">
        <v>606</v>
      </c>
      <c r="I66" s="197">
        <v>5</v>
      </c>
      <c r="J66" s="197">
        <v>3</v>
      </c>
      <c r="K66" s="197">
        <v>1</v>
      </c>
      <c r="L66" s="198" t="s">
        <v>429</v>
      </c>
      <c r="M66" s="198"/>
      <c r="N66" s="200"/>
      <c r="O66" s="200" t="s">
        <v>607</v>
      </c>
      <c r="P66" s="210" t="s">
        <v>608</v>
      </c>
      <c r="Q66" s="197">
        <v>600</v>
      </c>
      <c r="R66" s="197" t="s">
        <v>538</v>
      </c>
      <c r="S66" s="197" t="s">
        <v>428</v>
      </c>
      <c r="T66" s="197" t="s">
        <v>428</v>
      </c>
      <c r="U66" s="197"/>
      <c r="V66" s="197"/>
      <c r="W66" s="197"/>
      <c r="X66" s="197"/>
      <c r="Y66" s="197"/>
      <c r="Z66" s="197"/>
      <c r="AA66" s="197" t="s">
        <v>1</v>
      </c>
      <c r="AB66" s="198" t="s">
        <v>609</v>
      </c>
      <c r="AC66" s="198" t="s">
        <v>610</v>
      </c>
      <c r="AD66" s="197">
        <v>45</v>
      </c>
      <c r="AE66" s="197">
        <v>380</v>
      </c>
      <c r="AF66" s="197">
        <v>3</v>
      </c>
      <c r="AG66" s="197">
        <v>60</v>
      </c>
      <c r="AH66" s="197" t="s">
        <v>428</v>
      </c>
      <c r="AI66" s="197" t="s">
        <v>428</v>
      </c>
      <c r="AJ66" s="197" t="s">
        <v>1</v>
      </c>
      <c r="AK66" s="197" t="s">
        <v>428</v>
      </c>
      <c r="AL66" s="197" t="s">
        <v>428</v>
      </c>
      <c r="AM66" s="197" t="s">
        <v>602</v>
      </c>
      <c r="AN66" s="197" t="s">
        <v>603</v>
      </c>
      <c r="AO66" s="202"/>
      <c r="AP66" s="213"/>
      <c r="AQ66" s="214"/>
      <c r="AR66" s="214"/>
      <c r="AS66" s="214"/>
      <c r="AT66" s="214"/>
      <c r="AU66" s="214"/>
      <c r="AV66" s="214"/>
      <c r="AW66" s="214"/>
      <c r="AX66" s="214"/>
      <c r="AY66" s="214"/>
      <c r="AZ66" s="214"/>
      <c r="BA66" s="214"/>
      <c r="BB66" s="214"/>
      <c r="BC66" s="214"/>
      <c r="BD66" s="214"/>
      <c r="BE66" s="214"/>
      <c r="BF66" s="214"/>
      <c r="BG66" s="214"/>
      <c r="BH66" s="214"/>
      <c r="BI66" s="214"/>
      <c r="BJ66" s="214"/>
      <c r="BK66" s="214"/>
      <c r="BL66" s="214"/>
      <c r="BM66" s="214"/>
      <c r="BN66" s="215"/>
      <c r="BO66" s="215"/>
      <c r="BP66" s="215"/>
      <c r="BQ66" s="215"/>
      <c r="BR66" s="215"/>
      <c r="BS66" s="215"/>
      <c r="BT66" s="215"/>
      <c r="BU66" s="215"/>
      <c r="BV66" s="215"/>
      <c r="BW66" s="215"/>
      <c r="BX66" s="215"/>
      <c r="BY66" s="215"/>
      <c r="BZ66" s="215"/>
      <c r="CA66" s="215"/>
      <c r="CB66" s="215"/>
      <c r="CC66" s="215"/>
      <c r="CD66" s="215"/>
      <c r="CE66" s="215"/>
      <c r="CF66" s="215"/>
      <c r="CG66" s="215"/>
      <c r="CH66" s="215"/>
      <c r="CI66" s="215"/>
      <c r="CJ66" s="215"/>
      <c r="CK66" s="215"/>
      <c r="CL66" s="215"/>
      <c r="CM66" s="215"/>
      <c r="CN66" s="215"/>
      <c r="CO66" s="215"/>
      <c r="CP66" s="215"/>
      <c r="CQ66" s="215"/>
      <c r="CR66" s="215"/>
      <c r="CS66" s="215"/>
      <c r="CT66" s="215"/>
      <c r="CU66" s="215"/>
      <c r="CV66" s="215"/>
      <c r="CW66" s="215"/>
      <c r="CX66" s="215"/>
      <c r="CY66" s="215"/>
      <c r="CZ66" s="215"/>
      <c r="DA66" s="215"/>
      <c r="DB66" s="215"/>
      <c r="DC66" s="215"/>
      <c r="DD66" s="215"/>
      <c r="DE66" s="215"/>
      <c r="DF66" s="215"/>
      <c r="DG66" s="215"/>
      <c r="DH66" s="215"/>
      <c r="DI66" s="215"/>
      <c r="DJ66" s="215"/>
      <c r="DK66" s="215"/>
      <c r="DL66" s="215"/>
      <c r="DM66" s="215"/>
      <c r="DN66" s="215"/>
      <c r="DO66" s="215"/>
      <c r="DP66" s="215"/>
      <c r="DQ66" s="215"/>
      <c r="DR66" s="215"/>
      <c r="DS66" s="215"/>
      <c r="DT66" s="215"/>
      <c r="DU66" s="215"/>
      <c r="DV66" s="215"/>
      <c r="DW66" s="215"/>
      <c r="DX66" s="215"/>
      <c r="DY66" s="215"/>
      <c r="DZ66" s="215"/>
      <c r="EA66" s="215"/>
      <c r="EB66" s="215"/>
      <c r="EC66" s="215"/>
      <c r="ED66" s="215"/>
      <c r="EE66" s="215"/>
      <c r="EF66" s="215"/>
      <c r="EG66" s="215"/>
      <c r="EH66" s="215"/>
      <c r="EI66" s="215"/>
      <c r="EJ66" s="215"/>
      <c r="EK66" s="215"/>
      <c r="EL66" s="215"/>
      <c r="EM66" s="215"/>
      <c r="EN66" s="215"/>
      <c r="EO66" s="215"/>
      <c r="EP66" s="215"/>
      <c r="EQ66" s="215"/>
      <c r="ER66" s="215"/>
      <c r="ES66" s="215"/>
      <c r="ET66" s="215"/>
      <c r="EU66" s="215"/>
      <c r="EV66" s="215"/>
      <c r="EW66" s="215"/>
      <c r="EX66" s="215"/>
      <c r="EY66" s="215"/>
      <c r="EZ66" s="215"/>
      <c r="FA66" s="215"/>
      <c r="FB66" s="215"/>
      <c r="FC66" s="215"/>
      <c r="FD66" s="215"/>
      <c r="FE66" s="215"/>
      <c r="FF66" s="215"/>
      <c r="FG66" s="215"/>
      <c r="FH66" s="215"/>
      <c r="FI66" s="215"/>
      <c r="FJ66" s="215"/>
      <c r="FK66" s="215"/>
      <c r="FL66" s="215"/>
      <c r="FM66" s="215"/>
      <c r="FN66" s="215"/>
      <c r="FO66" s="215"/>
      <c r="FP66" s="215"/>
      <c r="FQ66" s="215"/>
      <c r="FR66" s="215"/>
      <c r="FS66" s="215"/>
      <c r="FT66" s="215"/>
      <c r="FU66" s="215"/>
      <c r="FV66" s="215"/>
      <c r="FW66" s="215"/>
      <c r="FX66" s="215"/>
      <c r="FY66" s="215"/>
      <c r="FZ66" s="215"/>
      <c r="GA66" s="215"/>
      <c r="GB66" s="215"/>
      <c r="GC66" s="215"/>
      <c r="GD66" s="215"/>
      <c r="GE66" s="215"/>
      <c r="GF66" s="215"/>
      <c r="GG66" s="215"/>
      <c r="GH66" s="215"/>
      <c r="GI66" s="215"/>
      <c r="GJ66" s="215"/>
      <c r="GK66" s="215"/>
      <c r="GL66" s="215"/>
      <c r="GM66" s="215"/>
      <c r="GN66" s="215"/>
      <c r="GO66" s="215"/>
      <c r="GP66" s="215"/>
      <c r="GQ66" s="215"/>
      <c r="GR66" s="215"/>
      <c r="GS66" s="215"/>
      <c r="GT66" s="215"/>
      <c r="GU66" s="215"/>
      <c r="GV66" s="215"/>
      <c r="GW66" s="215"/>
      <c r="GX66" s="215"/>
      <c r="GY66" s="215"/>
      <c r="GZ66" s="215"/>
      <c r="HA66" s="215"/>
      <c r="HB66" s="215"/>
      <c r="HC66" s="215"/>
      <c r="HD66" s="215"/>
      <c r="HE66" s="215"/>
      <c r="HF66" s="215"/>
      <c r="HG66" s="215"/>
      <c r="HH66" s="215"/>
      <c r="HI66" s="215"/>
      <c r="HJ66" s="215"/>
      <c r="HK66" s="215"/>
      <c r="HL66" s="215"/>
      <c r="HM66" s="215"/>
      <c r="HN66" s="215"/>
      <c r="HO66" s="215"/>
      <c r="HP66" s="215"/>
      <c r="HQ66" s="215"/>
      <c r="HR66" s="215"/>
      <c r="HS66" s="215"/>
      <c r="HT66" s="215"/>
      <c r="HU66" s="215"/>
      <c r="HV66" s="215"/>
      <c r="HW66" s="215"/>
      <c r="HX66" s="215"/>
      <c r="HY66" s="215"/>
      <c r="HZ66" s="215"/>
      <c r="IA66" s="215"/>
      <c r="IB66" s="215"/>
      <c r="IC66" s="215"/>
      <c r="ID66" s="215"/>
      <c r="IE66" s="215"/>
      <c r="IF66" s="215"/>
      <c r="IG66" s="215"/>
      <c r="IH66" s="215"/>
      <c r="II66" s="215"/>
      <c r="IJ66" s="215"/>
      <c r="IK66" s="215"/>
      <c r="IL66" s="215"/>
      <c r="IM66" s="215"/>
      <c r="IN66" s="215"/>
      <c r="IO66" s="215"/>
      <c r="IP66" s="215"/>
      <c r="IQ66" s="215"/>
      <c r="IR66" s="215"/>
      <c r="IS66" s="215"/>
      <c r="IT66" s="215"/>
      <c r="IU66" s="215"/>
      <c r="IV66" s="215"/>
      <c r="IW66" s="215"/>
      <c r="IX66" s="215"/>
      <c r="IY66" s="215"/>
    </row>
    <row r="67" spans="1:259" s="212" customFormat="1" ht="15" customHeight="1" x14ac:dyDescent="0.2">
      <c r="A67" s="195">
        <v>0</v>
      </c>
      <c r="B67" s="196"/>
      <c r="C67" s="196"/>
      <c r="D67" s="197" t="s">
        <v>573</v>
      </c>
      <c r="E67" s="198">
        <v>1</v>
      </c>
      <c r="F67" s="197" t="s">
        <v>605</v>
      </c>
      <c r="G67" s="198">
        <v>1</v>
      </c>
      <c r="H67" s="209" t="s">
        <v>427</v>
      </c>
      <c r="I67" s="197">
        <v>1</v>
      </c>
      <c r="J67" s="197">
        <v>1</v>
      </c>
      <c r="K67" s="197">
        <v>1</v>
      </c>
      <c r="L67" s="198" t="s">
        <v>429</v>
      </c>
      <c r="M67" s="198"/>
      <c r="N67" s="200"/>
      <c r="O67" s="200" t="s">
        <v>607</v>
      </c>
      <c r="P67" s="210" t="s">
        <v>611</v>
      </c>
      <c r="Q67" s="197" t="s">
        <v>428</v>
      </c>
      <c r="R67" s="197" t="s">
        <v>428</v>
      </c>
      <c r="S67" s="197" t="s">
        <v>428</v>
      </c>
      <c r="T67" s="197" t="s">
        <v>428</v>
      </c>
      <c r="U67" s="197"/>
      <c r="V67" s="197"/>
      <c r="W67" s="197"/>
      <c r="X67" s="197"/>
      <c r="Y67" s="197"/>
      <c r="Z67" s="197"/>
      <c r="AA67" s="197" t="s">
        <v>1</v>
      </c>
      <c r="AB67" s="198" t="s">
        <v>2</v>
      </c>
      <c r="AC67" s="198" t="s">
        <v>610</v>
      </c>
      <c r="AD67" s="197" t="s">
        <v>428</v>
      </c>
      <c r="AE67" s="197" t="s">
        <v>428</v>
      </c>
      <c r="AF67" s="197" t="s">
        <v>428</v>
      </c>
      <c r="AG67" s="197" t="s">
        <v>428</v>
      </c>
      <c r="AH67" s="197" t="s">
        <v>428</v>
      </c>
      <c r="AI67" s="197" t="s">
        <v>428</v>
      </c>
      <c r="AJ67" s="197" t="s">
        <v>428</v>
      </c>
      <c r="AK67" s="197" t="s">
        <v>428</v>
      </c>
      <c r="AL67" s="197" t="s">
        <v>428</v>
      </c>
      <c r="AM67" s="197" t="s">
        <v>428</v>
      </c>
      <c r="AN67" s="197" t="s">
        <v>428</v>
      </c>
      <c r="AO67" s="202"/>
      <c r="AP67" s="213"/>
      <c r="AQ67" s="214"/>
      <c r="AR67" s="214"/>
      <c r="AS67" s="214"/>
      <c r="AT67" s="214"/>
      <c r="AU67" s="214"/>
      <c r="AV67" s="214"/>
      <c r="AW67" s="214"/>
      <c r="AX67" s="214"/>
      <c r="AY67" s="214"/>
      <c r="AZ67" s="214"/>
      <c r="BA67" s="214"/>
      <c r="BB67" s="214"/>
      <c r="BC67" s="214"/>
      <c r="BD67" s="214"/>
      <c r="BE67" s="214"/>
      <c r="BF67" s="214"/>
      <c r="BG67" s="214"/>
      <c r="BH67" s="214"/>
      <c r="BI67" s="214"/>
      <c r="BJ67" s="214"/>
      <c r="BK67" s="214"/>
      <c r="BL67" s="214"/>
      <c r="BM67" s="214"/>
      <c r="BN67" s="215"/>
      <c r="BO67" s="215"/>
      <c r="BP67" s="215"/>
      <c r="BQ67" s="215"/>
      <c r="BR67" s="215"/>
      <c r="BS67" s="215"/>
      <c r="BT67" s="215"/>
      <c r="BU67" s="215"/>
      <c r="BV67" s="215"/>
      <c r="BW67" s="215"/>
      <c r="BX67" s="215"/>
      <c r="BY67" s="215"/>
      <c r="BZ67" s="215"/>
      <c r="CA67" s="215"/>
      <c r="CB67" s="215"/>
      <c r="CC67" s="215"/>
      <c r="CD67" s="215"/>
      <c r="CE67" s="215"/>
      <c r="CF67" s="215"/>
      <c r="CG67" s="215"/>
      <c r="CH67" s="215"/>
      <c r="CI67" s="215"/>
      <c r="CJ67" s="215"/>
      <c r="CK67" s="215"/>
      <c r="CL67" s="215"/>
      <c r="CM67" s="215"/>
      <c r="CN67" s="215"/>
      <c r="CO67" s="215"/>
      <c r="CP67" s="215"/>
      <c r="CQ67" s="215"/>
      <c r="CR67" s="215"/>
      <c r="CS67" s="215"/>
      <c r="CT67" s="215"/>
      <c r="CU67" s="215"/>
      <c r="CV67" s="215"/>
      <c r="CW67" s="215"/>
      <c r="CX67" s="215"/>
      <c r="CY67" s="215"/>
      <c r="CZ67" s="215"/>
      <c r="DA67" s="215"/>
      <c r="DB67" s="215"/>
      <c r="DC67" s="215"/>
      <c r="DD67" s="215"/>
      <c r="DE67" s="215"/>
      <c r="DF67" s="215"/>
      <c r="DG67" s="215"/>
      <c r="DH67" s="215"/>
      <c r="DI67" s="215"/>
      <c r="DJ67" s="215"/>
      <c r="DK67" s="215"/>
      <c r="DL67" s="215"/>
      <c r="DM67" s="215"/>
      <c r="DN67" s="215"/>
      <c r="DO67" s="215"/>
      <c r="DP67" s="215"/>
      <c r="DQ67" s="215"/>
      <c r="DR67" s="215"/>
      <c r="DS67" s="215"/>
      <c r="DT67" s="215"/>
      <c r="DU67" s="215"/>
      <c r="DV67" s="215"/>
      <c r="DW67" s="215"/>
      <c r="DX67" s="215"/>
      <c r="DY67" s="215"/>
      <c r="DZ67" s="215"/>
      <c r="EA67" s="215"/>
      <c r="EB67" s="215"/>
      <c r="EC67" s="215"/>
      <c r="ED67" s="215"/>
      <c r="EE67" s="215"/>
      <c r="EF67" s="215"/>
      <c r="EG67" s="215"/>
      <c r="EH67" s="215"/>
      <c r="EI67" s="215"/>
      <c r="EJ67" s="215"/>
      <c r="EK67" s="215"/>
      <c r="EL67" s="215"/>
      <c r="EM67" s="215"/>
      <c r="EN67" s="215"/>
      <c r="EO67" s="215"/>
      <c r="EP67" s="215"/>
      <c r="EQ67" s="215"/>
      <c r="ER67" s="215"/>
      <c r="ES67" s="215"/>
      <c r="ET67" s="215"/>
      <c r="EU67" s="215"/>
      <c r="EV67" s="215"/>
      <c r="EW67" s="215"/>
      <c r="EX67" s="215"/>
      <c r="EY67" s="215"/>
      <c r="EZ67" s="215"/>
      <c r="FA67" s="215"/>
      <c r="FB67" s="215"/>
      <c r="FC67" s="215"/>
      <c r="FD67" s="215"/>
      <c r="FE67" s="215"/>
      <c r="FF67" s="215"/>
      <c r="FG67" s="215"/>
      <c r="FH67" s="215"/>
      <c r="FI67" s="215"/>
      <c r="FJ67" s="215"/>
      <c r="FK67" s="215"/>
      <c r="FL67" s="215"/>
      <c r="FM67" s="215"/>
      <c r="FN67" s="215"/>
      <c r="FO67" s="215"/>
      <c r="FP67" s="215"/>
      <c r="FQ67" s="215"/>
      <c r="FR67" s="215"/>
      <c r="FS67" s="215"/>
      <c r="FT67" s="215"/>
      <c r="FU67" s="215"/>
      <c r="FV67" s="215"/>
      <c r="FW67" s="215"/>
      <c r="FX67" s="215"/>
      <c r="FY67" s="215"/>
      <c r="FZ67" s="215"/>
      <c r="GA67" s="215"/>
      <c r="GB67" s="215"/>
      <c r="GC67" s="215"/>
      <c r="GD67" s="215"/>
      <c r="GE67" s="215"/>
      <c r="GF67" s="215"/>
      <c r="GG67" s="215"/>
      <c r="GH67" s="215"/>
      <c r="GI67" s="215"/>
      <c r="GJ67" s="215"/>
      <c r="GK67" s="215"/>
      <c r="GL67" s="215"/>
      <c r="GM67" s="215"/>
      <c r="GN67" s="215"/>
      <c r="GO67" s="215"/>
      <c r="GP67" s="215"/>
      <c r="GQ67" s="215"/>
      <c r="GR67" s="215"/>
      <c r="GS67" s="215"/>
      <c r="GT67" s="215"/>
      <c r="GU67" s="215"/>
      <c r="GV67" s="215"/>
      <c r="GW67" s="215"/>
      <c r="GX67" s="215"/>
      <c r="GY67" s="215"/>
      <c r="GZ67" s="215"/>
      <c r="HA67" s="215"/>
      <c r="HB67" s="215"/>
      <c r="HC67" s="215"/>
      <c r="HD67" s="215"/>
      <c r="HE67" s="215"/>
      <c r="HF67" s="215"/>
      <c r="HG67" s="215"/>
      <c r="HH67" s="215"/>
      <c r="HI67" s="215"/>
      <c r="HJ67" s="215"/>
      <c r="HK67" s="215"/>
      <c r="HL67" s="215"/>
      <c r="HM67" s="215"/>
      <c r="HN67" s="215"/>
      <c r="HO67" s="215"/>
      <c r="HP67" s="215"/>
      <c r="HQ67" s="215"/>
      <c r="HR67" s="215"/>
      <c r="HS67" s="215"/>
      <c r="HT67" s="215"/>
      <c r="HU67" s="215"/>
      <c r="HV67" s="215"/>
      <c r="HW67" s="215"/>
      <c r="HX67" s="215"/>
      <c r="HY67" s="215"/>
      <c r="HZ67" s="215"/>
      <c r="IA67" s="215"/>
      <c r="IB67" s="215"/>
      <c r="IC67" s="215"/>
      <c r="ID67" s="215"/>
      <c r="IE67" s="215"/>
      <c r="IF67" s="215"/>
      <c r="IG67" s="215"/>
      <c r="IH67" s="215"/>
      <c r="II67" s="215"/>
      <c r="IJ67" s="215"/>
      <c r="IK67" s="215"/>
      <c r="IL67" s="215"/>
      <c r="IM67" s="215"/>
      <c r="IN67" s="215"/>
      <c r="IO67" s="215"/>
      <c r="IP67" s="215"/>
      <c r="IQ67" s="215"/>
      <c r="IR67" s="215"/>
      <c r="IS67" s="215"/>
      <c r="IT67" s="215"/>
      <c r="IU67" s="215"/>
      <c r="IV67" s="215"/>
      <c r="IW67" s="215"/>
      <c r="IX67" s="215"/>
      <c r="IY67" s="215"/>
    </row>
    <row r="68" spans="1:259" s="212" customFormat="1" ht="15" customHeight="1" x14ac:dyDescent="0.2">
      <c r="A68" s="195">
        <v>0</v>
      </c>
      <c r="B68" s="196"/>
      <c r="C68" s="196"/>
      <c r="D68" s="197" t="s">
        <v>425</v>
      </c>
      <c r="E68" s="198">
        <v>1</v>
      </c>
      <c r="F68" s="197" t="s">
        <v>535</v>
      </c>
      <c r="G68" s="198">
        <v>1</v>
      </c>
      <c r="H68" s="209" t="s">
        <v>427</v>
      </c>
      <c r="I68" s="197">
        <v>5</v>
      </c>
      <c r="J68" s="197">
        <v>2</v>
      </c>
      <c r="K68" s="197">
        <v>1</v>
      </c>
      <c r="L68" s="198" t="s">
        <v>429</v>
      </c>
      <c r="M68" s="198"/>
      <c r="N68" s="200"/>
      <c r="O68" s="200" t="s">
        <v>607</v>
      </c>
      <c r="P68" s="210" t="s">
        <v>611</v>
      </c>
      <c r="Q68" s="197" t="s">
        <v>428</v>
      </c>
      <c r="R68" s="197" t="s">
        <v>428</v>
      </c>
      <c r="S68" s="197" t="s">
        <v>428</v>
      </c>
      <c r="T68" s="197" t="s">
        <v>428</v>
      </c>
      <c r="U68" s="197"/>
      <c r="V68" s="197"/>
      <c r="W68" s="197"/>
      <c r="X68" s="197"/>
      <c r="Y68" s="197"/>
      <c r="Z68" s="197"/>
      <c r="AA68" s="197" t="s">
        <v>1</v>
      </c>
      <c r="AB68" s="198" t="s">
        <v>2</v>
      </c>
      <c r="AC68" s="198" t="s">
        <v>610</v>
      </c>
      <c r="AD68" s="197" t="s">
        <v>428</v>
      </c>
      <c r="AE68" s="197" t="s">
        <v>428</v>
      </c>
      <c r="AF68" s="197" t="s">
        <v>428</v>
      </c>
      <c r="AG68" s="197" t="s">
        <v>428</v>
      </c>
      <c r="AH68" s="197" t="s">
        <v>428</v>
      </c>
      <c r="AI68" s="197" t="s">
        <v>428</v>
      </c>
      <c r="AJ68" s="197" t="s">
        <v>428</v>
      </c>
      <c r="AK68" s="197" t="s">
        <v>428</v>
      </c>
      <c r="AL68" s="197" t="s">
        <v>428</v>
      </c>
      <c r="AM68" s="197" t="s">
        <v>428</v>
      </c>
      <c r="AN68" s="197" t="s">
        <v>428</v>
      </c>
      <c r="AO68" s="202"/>
      <c r="AP68" s="213"/>
      <c r="AQ68" s="214"/>
      <c r="AR68" s="214"/>
      <c r="AS68" s="214"/>
      <c r="AT68" s="214"/>
      <c r="AU68" s="214"/>
      <c r="AV68" s="214"/>
      <c r="AW68" s="214"/>
      <c r="AX68" s="214"/>
      <c r="AY68" s="214"/>
      <c r="AZ68" s="214"/>
      <c r="BA68" s="214"/>
      <c r="BB68" s="214"/>
      <c r="BC68" s="214"/>
      <c r="BD68" s="214"/>
      <c r="BE68" s="214"/>
      <c r="BF68" s="214"/>
      <c r="BG68" s="214"/>
      <c r="BH68" s="214"/>
      <c r="BI68" s="214"/>
      <c r="BJ68" s="214"/>
      <c r="BK68" s="214"/>
      <c r="BL68" s="214"/>
      <c r="BM68" s="214"/>
      <c r="BN68" s="215"/>
      <c r="BO68" s="215"/>
      <c r="BP68" s="215"/>
      <c r="BQ68" s="215"/>
      <c r="BR68" s="215"/>
      <c r="BS68" s="215"/>
      <c r="BT68" s="215"/>
      <c r="BU68" s="215"/>
      <c r="BV68" s="215"/>
      <c r="BW68" s="215"/>
      <c r="BX68" s="215"/>
      <c r="BY68" s="215"/>
      <c r="BZ68" s="215"/>
      <c r="CA68" s="215"/>
      <c r="CB68" s="215"/>
      <c r="CC68" s="215"/>
      <c r="CD68" s="215"/>
      <c r="CE68" s="215"/>
      <c r="CF68" s="215"/>
      <c r="CG68" s="215"/>
      <c r="CH68" s="215"/>
      <c r="CI68" s="215"/>
      <c r="CJ68" s="215"/>
      <c r="CK68" s="215"/>
      <c r="CL68" s="215"/>
      <c r="CM68" s="215"/>
      <c r="CN68" s="215"/>
      <c r="CO68" s="215"/>
      <c r="CP68" s="215"/>
      <c r="CQ68" s="215"/>
      <c r="CR68" s="215"/>
      <c r="CS68" s="215"/>
      <c r="CT68" s="215"/>
      <c r="CU68" s="215"/>
      <c r="CV68" s="215"/>
      <c r="CW68" s="215"/>
      <c r="CX68" s="215"/>
      <c r="CY68" s="215"/>
      <c r="CZ68" s="215"/>
      <c r="DA68" s="215"/>
      <c r="DB68" s="215"/>
      <c r="DC68" s="215"/>
      <c r="DD68" s="215"/>
      <c r="DE68" s="215"/>
      <c r="DF68" s="215"/>
      <c r="DG68" s="215"/>
      <c r="DH68" s="215"/>
      <c r="DI68" s="215"/>
      <c r="DJ68" s="215"/>
      <c r="DK68" s="215"/>
      <c r="DL68" s="215"/>
      <c r="DM68" s="215"/>
      <c r="DN68" s="215"/>
      <c r="DO68" s="215"/>
      <c r="DP68" s="215"/>
      <c r="DQ68" s="215"/>
      <c r="DR68" s="215"/>
      <c r="DS68" s="215"/>
      <c r="DT68" s="215"/>
      <c r="DU68" s="215"/>
      <c r="DV68" s="215"/>
      <c r="DW68" s="215"/>
      <c r="DX68" s="215"/>
      <c r="DY68" s="215"/>
      <c r="DZ68" s="215"/>
      <c r="EA68" s="215"/>
      <c r="EB68" s="215"/>
      <c r="EC68" s="215"/>
      <c r="ED68" s="215"/>
      <c r="EE68" s="215"/>
      <c r="EF68" s="215"/>
      <c r="EG68" s="215"/>
      <c r="EH68" s="215"/>
      <c r="EI68" s="215"/>
      <c r="EJ68" s="215"/>
      <c r="EK68" s="215"/>
      <c r="EL68" s="215"/>
      <c r="EM68" s="215"/>
      <c r="EN68" s="215"/>
      <c r="EO68" s="215"/>
      <c r="EP68" s="215"/>
      <c r="EQ68" s="215"/>
      <c r="ER68" s="215"/>
      <c r="ES68" s="215"/>
      <c r="ET68" s="215"/>
      <c r="EU68" s="215"/>
      <c r="EV68" s="215"/>
      <c r="EW68" s="215"/>
      <c r="EX68" s="215"/>
      <c r="EY68" s="215"/>
      <c r="EZ68" s="215"/>
      <c r="FA68" s="215"/>
      <c r="FB68" s="215"/>
      <c r="FC68" s="215"/>
      <c r="FD68" s="215"/>
      <c r="FE68" s="215"/>
      <c r="FF68" s="215"/>
      <c r="FG68" s="215"/>
      <c r="FH68" s="215"/>
      <c r="FI68" s="215"/>
      <c r="FJ68" s="215"/>
      <c r="FK68" s="215"/>
      <c r="FL68" s="215"/>
      <c r="FM68" s="215"/>
      <c r="FN68" s="215"/>
      <c r="FO68" s="215"/>
      <c r="FP68" s="215"/>
      <c r="FQ68" s="215"/>
      <c r="FR68" s="215"/>
      <c r="FS68" s="215"/>
      <c r="FT68" s="215"/>
      <c r="FU68" s="215"/>
      <c r="FV68" s="215"/>
      <c r="FW68" s="215"/>
      <c r="FX68" s="215"/>
      <c r="FY68" s="215"/>
      <c r="FZ68" s="215"/>
      <c r="GA68" s="215"/>
      <c r="GB68" s="215"/>
      <c r="GC68" s="215"/>
      <c r="GD68" s="215"/>
      <c r="GE68" s="215"/>
      <c r="GF68" s="215"/>
      <c r="GG68" s="215"/>
      <c r="GH68" s="215"/>
      <c r="GI68" s="215"/>
      <c r="GJ68" s="215"/>
      <c r="GK68" s="215"/>
      <c r="GL68" s="215"/>
      <c r="GM68" s="215"/>
      <c r="GN68" s="215"/>
      <c r="GO68" s="215"/>
      <c r="GP68" s="215"/>
      <c r="GQ68" s="215"/>
      <c r="GR68" s="215"/>
      <c r="GS68" s="215"/>
      <c r="GT68" s="215"/>
      <c r="GU68" s="215"/>
      <c r="GV68" s="215"/>
      <c r="GW68" s="215"/>
      <c r="GX68" s="215"/>
      <c r="GY68" s="215"/>
      <c r="GZ68" s="215"/>
      <c r="HA68" s="215"/>
      <c r="HB68" s="215"/>
      <c r="HC68" s="215"/>
      <c r="HD68" s="215"/>
      <c r="HE68" s="215"/>
      <c r="HF68" s="215"/>
      <c r="HG68" s="215"/>
      <c r="HH68" s="215"/>
      <c r="HI68" s="215"/>
      <c r="HJ68" s="215"/>
      <c r="HK68" s="215"/>
      <c r="HL68" s="215"/>
      <c r="HM68" s="215"/>
      <c r="HN68" s="215"/>
      <c r="HO68" s="215"/>
      <c r="HP68" s="215"/>
      <c r="HQ68" s="215"/>
      <c r="HR68" s="215"/>
      <c r="HS68" s="215"/>
      <c r="HT68" s="215"/>
      <c r="HU68" s="215"/>
      <c r="HV68" s="215"/>
      <c r="HW68" s="215"/>
      <c r="HX68" s="215"/>
      <c r="HY68" s="215"/>
      <c r="HZ68" s="215"/>
      <c r="IA68" s="215"/>
      <c r="IB68" s="215"/>
      <c r="IC68" s="215"/>
      <c r="ID68" s="215"/>
      <c r="IE68" s="215"/>
      <c r="IF68" s="215"/>
      <c r="IG68" s="215"/>
      <c r="IH68" s="215"/>
      <c r="II68" s="215"/>
      <c r="IJ68" s="215"/>
      <c r="IK68" s="215"/>
      <c r="IL68" s="215"/>
      <c r="IM68" s="215"/>
      <c r="IN68" s="215"/>
      <c r="IO68" s="215"/>
      <c r="IP68" s="215"/>
      <c r="IQ68" s="215"/>
      <c r="IR68" s="215"/>
      <c r="IS68" s="215"/>
      <c r="IT68" s="215"/>
      <c r="IU68" s="215"/>
      <c r="IV68" s="215"/>
      <c r="IW68" s="215"/>
      <c r="IX68" s="215"/>
      <c r="IY68" s="215"/>
    </row>
    <row r="69" spans="1:259" s="212" customFormat="1" ht="15" customHeight="1" x14ac:dyDescent="0.2">
      <c r="A69" s="195">
        <v>0</v>
      </c>
      <c r="B69" s="196"/>
      <c r="C69" s="196"/>
      <c r="D69" s="197" t="s">
        <v>425</v>
      </c>
      <c r="E69" s="198">
        <v>1</v>
      </c>
      <c r="F69" s="197" t="s">
        <v>535</v>
      </c>
      <c r="G69" s="198">
        <v>1</v>
      </c>
      <c r="H69" s="209" t="s">
        <v>427</v>
      </c>
      <c r="I69" s="197">
        <v>5</v>
      </c>
      <c r="J69" s="197">
        <v>3</v>
      </c>
      <c r="K69" s="197">
        <v>1</v>
      </c>
      <c r="L69" s="198" t="s">
        <v>429</v>
      </c>
      <c r="M69" s="198"/>
      <c r="N69" s="200"/>
      <c r="O69" s="200" t="s">
        <v>607</v>
      </c>
      <c r="P69" s="210" t="s">
        <v>611</v>
      </c>
      <c r="Q69" s="197" t="s">
        <v>428</v>
      </c>
      <c r="R69" s="197" t="s">
        <v>428</v>
      </c>
      <c r="S69" s="197" t="s">
        <v>428</v>
      </c>
      <c r="T69" s="197" t="s">
        <v>428</v>
      </c>
      <c r="U69" s="197"/>
      <c r="V69" s="197"/>
      <c r="W69" s="197"/>
      <c r="X69" s="197"/>
      <c r="Y69" s="197"/>
      <c r="Z69" s="197"/>
      <c r="AA69" s="197" t="s">
        <v>1</v>
      </c>
      <c r="AB69" s="198" t="s">
        <v>2</v>
      </c>
      <c r="AC69" s="198" t="s">
        <v>610</v>
      </c>
      <c r="AD69" s="197" t="s">
        <v>428</v>
      </c>
      <c r="AE69" s="197" t="s">
        <v>428</v>
      </c>
      <c r="AF69" s="197" t="s">
        <v>428</v>
      </c>
      <c r="AG69" s="197" t="s">
        <v>428</v>
      </c>
      <c r="AH69" s="197" t="s">
        <v>428</v>
      </c>
      <c r="AI69" s="197" t="s">
        <v>428</v>
      </c>
      <c r="AJ69" s="197" t="s">
        <v>428</v>
      </c>
      <c r="AK69" s="197" t="s">
        <v>428</v>
      </c>
      <c r="AL69" s="197" t="s">
        <v>428</v>
      </c>
      <c r="AM69" s="197" t="s">
        <v>428</v>
      </c>
      <c r="AN69" s="197" t="s">
        <v>428</v>
      </c>
      <c r="AO69" s="202"/>
      <c r="AP69" s="213"/>
      <c r="AQ69" s="214"/>
      <c r="AR69" s="214"/>
      <c r="AS69" s="214"/>
      <c r="AT69" s="214"/>
      <c r="AU69" s="214"/>
      <c r="AV69" s="214"/>
      <c r="AW69" s="214"/>
      <c r="AX69" s="214"/>
      <c r="AY69" s="214"/>
      <c r="AZ69" s="214"/>
      <c r="BA69" s="214"/>
      <c r="BB69" s="214"/>
      <c r="BC69" s="214"/>
      <c r="BD69" s="214"/>
      <c r="BE69" s="214"/>
      <c r="BF69" s="214"/>
      <c r="BG69" s="214"/>
      <c r="BH69" s="214"/>
      <c r="BI69" s="214"/>
      <c r="BJ69" s="214"/>
      <c r="BK69" s="214"/>
      <c r="BL69" s="214"/>
      <c r="BM69" s="214"/>
      <c r="BN69" s="215"/>
      <c r="BO69" s="215"/>
      <c r="BP69" s="215"/>
      <c r="BQ69" s="215"/>
      <c r="BR69" s="215"/>
      <c r="BS69" s="215"/>
      <c r="BT69" s="215"/>
      <c r="BU69" s="215"/>
      <c r="BV69" s="215"/>
      <c r="BW69" s="215"/>
      <c r="BX69" s="215"/>
      <c r="BY69" s="215"/>
      <c r="BZ69" s="215"/>
      <c r="CA69" s="215"/>
      <c r="CB69" s="215"/>
      <c r="CC69" s="215"/>
      <c r="CD69" s="215"/>
      <c r="CE69" s="215"/>
      <c r="CF69" s="215"/>
      <c r="CG69" s="215"/>
      <c r="CH69" s="215"/>
      <c r="CI69" s="215"/>
      <c r="CJ69" s="215"/>
      <c r="CK69" s="215"/>
      <c r="CL69" s="215"/>
      <c r="CM69" s="215"/>
      <c r="CN69" s="215"/>
      <c r="CO69" s="215"/>
      <c r="CP69" s="215"/>
      <c r="CQ69" s="215"/>
      <c r="CR69" s="215"/>
      <c r="CS69" s="215"/>
      <c r="CT69" s="215"/>
      <c r="CU69" s="215"/>
      <c r="CV69" s="215"/>
      <c r="CW69" s="215"/>
      <c r="CX69" s="215"/>
      <c r="CY69" s="215"/>
      <c r="CZ69" s="215"/>
      <c r="DA69" s="215"/>
      <c r="DB69" s="215"/>
      <c r="DC69" s="215"/>
      <c r="DD69" s="215"/>
      <c r="DE69" s="215"/>
      <c r="DF69" s="215"/>
      <c r="DG69" s="215"/>
      <c r="DH69" s="215"/>
      <c r="DI69" s="215"/>
      <c r="DJ69" s="215"/>
      <c r="DK69" s="215"/>
      <c r="DL69" s="215"/>
      <c r="DM69" s="215"/>
      <c r="DN69" s="215"/>
      <c r="DO69" s="215"/>
      <c r="DP69" s="215"/>
      <c r="DQ69" s="215"/>
      <c r="DR69" s="215"/>
      <c r="DS69" s="215"/>
      <c r="DT69" s="215"/>
      <c r="DU69" s="215"/>
      <c r="DV69" s="215"/>
      <c r="DW69" s="215"/>
      <c r="DX69" s="215"/>
      <c r="DY69" s="215"/>
      <c r="DZ69" s="215"/>
      <c r="EA69" s="215"/>
      <c r="EB69" s="215"/>
      <c r="EC69" s="215"/>
      <c r="ED69" s="215"/>
      <c r="EE69" s="215"/>
      <c r="EF69" s="215"/>
      <c r="EG69" s="215"/>
      <c r="EH69" s="215"/>
      <c r="EI69" s="215"/>
      <c r="EJ69" s="215"/>
      <c r="EK69" s="215"/>
      <c r="EL69" s="215"/>
      <c r="EM69" s="215"/>
      <c r="EN69" s="215"/>
      <c r="EO69" s="215"/>
      <c r="EP69" s="215"/>
      <c r="EQ69" s="215"/>
      <c r="ER69" s="215"/>
      <c r="ES69" s="215"/>
      <c r="ET69" s="215"/>
      <c r="EU69" s="215"/>
      <c r="EV69" s="215"/>
      <c r="EW69" s="215"/>
      <c r="EX69" s="215"/>
      <c r="EY69" s="215"/>
      <c r="EZ69" s="215"/>
      <c r="FA69" s="215"/>
      <c r="FB69" s="215"/>
      <c r="FC69" s="215"/>
      <c r="FD69" s="215"/>
      <c r="FE69" s="215"/>
      <c r="FF69" s="215"/>
      <c r="FG69" s="215"/>
      <c r="FH69" s="215"/>
      <c r="FI69" s="215"/>
      <c r="FJ69" s="215"/>
      <c r="FK69" s="215"/>
      <c r="FL69" s="215"/>
      <c r="FM69" s="215"/>
      <c r="FN69" s="215"/>
      <c r="FO69" s="215"/>
      <c r="FP69" s="215"/>
      <c r="FQ69" s="215"/>
      <c r="FR69" s="215"/>
      <c r="FS69" s="215"/>
      <c r="FT69" s="215"/>
      <c r="FU69" s="215"/>
      <c r="FV69" s="215"/>
      <c r="FW69" s="215"/>
      <c r="FX69" s="215"/>
      <c r="FY69" s="215"/>
      <c r="FZ69" s="215"/>
      <c r="GA69" s="215"/>
      <c r="GB69" s="215"/>
      <c r="GC69" s="215"/>
      <c r="GD69" s="215"/>
      <c r="GE69" s="215"/>
      <c r="GF69" s="215"/>
      <c r="GG69" s="215"/>
      <c r="GH69" s="215"/>
      <c r="GI69" s="215"/>
      <c r="GJ69" s="215"/>
      <c r="GK69" s="215"/>
      <c r="GL69" s="215"/>
      <c r="GM69" s="215"/>
      <c r="GN69" s="215"/>
      <c r="GO69" s="215"/>
      <c r="GP69" s="215"/>
      <c r="GQ69" s="215"/>
      <c r="GR69" s="215"/>
      <c r="GS69" s="215"/>
      <c r="GT69" s="215"/>
      <c r="GU69" s="215"/>
      <c r="GV69" s="215"/>
      <c r="GW69" s="215"/>
      <c r="GX69" s="215"/>
      <c r="GY69" s="215"/>
      <c r="GZ69" s="215"/>
      <c r="HA69" s="215"/>
      <c r="HB69" s="215"/>
      <c r="HC69" s="215"/>
      <c r="HD69" s="215"/>
      <c r="HE69" s="215"/>
      <c r="HF69" s="215"/>
      <c r="HG69" s="215"/>
      <c r="HH69" s="215"/>
      <c r="HI69" s="215"/>
      <c r="HJ69" s="215"/>
      <c r="HK69" s="215"/>
      <c r="HL69" s="215"/>
      <c r="HM69" s="215"/>
      <c r="HN69" s="215"/>
      <c r="HO69" s="215"/>
      <c r="HP69" s="215"/>
      <c r="HQ69" s="215"/>
      <c r="HR69" s="215"/>
      <c r="HS69" s="215"/>
      <c r="HT69" s="215"/>
      <c r="HU69" s="215"/>
      <c r="HV69" s="215"/>
      <c r="HW69" s="215"/>
      <c r="HX69" s="215"/>
      <c r="HY69" s="215"/>
      <c r="HZ69" s="215"/>
      <c r="IA69" s="215"/>
      <c r="IB69" s="215"/>
      <c r="IC69" s="215"/>
      <c r="ID69" s="215"/>
      <c r="IE69" s="215"/>
      <c r="IF69" s="215"/>
      <c r="IG69" s="215"/>
      <c r="IH69" s="215"/>
      <c r="II69" s="215"/>
      <c r="IJ69" s="215"/>
      <c r="IK69" s="215"/>
      <c r="IL69" s="215"/>
      <c r="IM69" s="215"/>
      <c r="IN69" s="215"/>
      <c r="IO69" s="215"/>
      <c r="IP69" s="215"/>
      <c r="IQ69" s="215"/>
      <c r="IR69" s="215"/>
      <c r="IS69" s="215"/>
      <c r="IT69" s="215"/>
      <c r="IU69" s="215"/>
      <c r="IV69" s="215"/>
      <c r="IW69" s="215"/>
      <c r="IX69" s="215"/>
      <c r="IY69" s="215"/>
    </row>
    <row r="70" spans="1:259" s="212" customFormat="1" ht="15" customHeight="1" x14ac:dyDescent="0.2">
      <c r="A70" s="195">
        <v>0</v>
      </c>
      <c r="B70" s="196"/>
      <c r="C70" s="196"/>
      <c r="D70" s="197" t="s">
        <v>425</v>
      </c>
      <c r="E70" s="198">
        <v>1</v>
      </c>
      <c r="F70" s="197" t="s">
        <v>535</v>
      </c>
      <c r="G70" s="198">
        <v>1</v>
      </c>
      <c r="H70" s="209" t="s">
        <v>426</v>
      </c>
      <c r="I70" s="197">
        <v>5</v>
      </c>
      <c r="J70" s="197">
        <v>2</v>
      </c>
      <c r="K70" s="197">
        <v>1</v>
      </c>
      <c r="L70" s="198" t="s">
        <v>429</v>
      </c>
      <c r="M70" s="198"/>
      <c r="N70" s="200"/>
      <c r="O70" s="200" t="s">
        <v>607</v>
      </c>
      <c r="P70" s="210" t="s">
        <v>612</v>
      </c>
      <c r="Q70" s="197" t="s">
        <v>428</v>
      </c>
      <c r="R70" s="197" t="s">
        <v>428</v>
      </c>
      <c r="S70" s="197" t="s">
        <v>428</v>
      </c>
      <c r="T70" s="197" t="s">
        <v>428</v>
      </c>
      <c r="U70" s="197"/>
      <c r="V70" s="197"/>
      <c r="W70" s="197"/>
      <c r="X70" s="197"/>
      <c r="Y70" s="197"/>
      <c r="Z70" s="197"/>
      <c r="AA70" s="197" t="s">
        <v>1</v>
      </c>
      <c r="AB70" s="198" t="s">
        <v>2</v>
      </c>
      <c r="AC70" s="198" t="s">
        <v>610</v>
      </c>
      <c r="AD70" s="197" t="s">
        <v>428</v>
      </c>
      <c r="AE70" s="197" t="s">
        <v>428</v>
      </c>
      <c r="AF70" s="197" t="s">
        <v>428</v>
      </c>
      <c r="AG70" s="197" t="s">
        <v>428</v>
      </c>
      <c r="AH70" s="197" t="s">
        <v>428</v>
      </c>
      <c r="AI70" s="197" t="s">
        <v>428</v>
      </c>
      <c r="AJ70" s="197" t="s">
        <v>428</v>
      </c>
      <c r="AK70" s="197" t="s">
        <v>428</v>
      </c>
      <c r="AL70" s="197" t="s">
        <v>428</v>
      </c>
      <c r="AM70" s="197" t="s">
        <v>428</v>
      </c>
      <c r="AN70" s="197" t="s">
        <v>428</v>
      </c>
      <c r="AO70" s="202"/>
      <c r="AP70" s="213"/>
      <c r="AQ70" s="214"/>
      <c r="AR70" s="214"/>
      <c r="AS70" s="214"/>
      <c r="AT70" s="214"/>
      <c r="AU70" s="214"/>
      <c r="AV70" s="214"/>
      <c r="AW70" s="214"/>
      <c r="AX70" s="214"/>
      <c r="AY70" s="214"/>
      <c r="AZ70" s="214"/>
      <c r="BA70" s="214"/>
      <c r="BB70" s="214"/>
      <c r="BC70" s="214"/>
      <c r="BD70" s="214"/>
      <c r="BE70" s="214"/>
      <c r="BF70" s="214"/>
      <c r="BG70" s="214"/>
      <c r="BH70" s="214"/>
      <c r="BI70" s="214"/>
      <c r="BJ70" s="214"/>
      <c r="BK70" s="214"/>
      <c r="BL70" s="214"/>
      <c r="BM70" s="214"/>
      <c r="BN70" s="215"/>
      <c r="BO70" s="215"/>
      <c r="BP70" s="215"/>
      <c r="BQ70" s="215"/>
      <c r="BR70" s="215"/>
      <c r="BS70" s="215"/>
      <c r="BT70" s="215"/>
      <c r="BU70" s="215"/>
      <c r="BV70" s="215"/>
      <c r="BW70" s="215"/>
      <c r="BX70" s="215"/>
      <c r="BY70" s="215"/>
      <c r="BZ70" s="215"/>
      <c r="CA70" s="215"/>
      <c r="CB70" s="215"/>
      <c r="CC70" s="215"/>
      <c r="CD70" s="215"/>
      <c r="CE70" s="215"/>
      <c r="CF70" s="215"/>
      <c r="CG70" s="215"/>
      <c r="CH70" s="215"/>
      <c r="CI70" s="215"/>
      <c r="CJ70" s="215"/>
      <c r="CK70" s="215"/>
      <c r="CL70" s="215"/>
      <c r="CM70" s="215"/>
      <c r="CN70" s="215"/>
      <c r="CO70" s="215"/>
      <c r="CP70" s="215"/>
      <c r="CQ70" s="215"/>
      <c r="CR70" s="215"/>
      <c r="CS70" s="215"/>
      <c r="CT70" s="215"/>
      <c r="CU70" s="215"/>
      <c r="CV70" s="215"/>
      <c r="CW70" s="215"/>
      <c r="CX70" s="215"/>
      <c r="CY70" s="215"/>
      <c r="CZ70" s="215"/>
      <c r="DA70" s="215"/>
      <c r="DB70" s="215"/>
      <c r="DC70" s="215"/>
      <c r="DD70" s="215"/>
      <c r="DE70" s="215"/>
      <c r="DF70" s="215"/>
      <c r="DG70" s="215"/>
      <c r="DH70" s="215"/>
      <c r="DI70" s="215"/>
      <c r="DJ70" s="215"/>
      <c r="DK70" s="215"/>
      <c r="DL70" s="215"/>
      <c r="DM70" s="215"/>
      <c r="DN70" s="215"/>
      <c r="DO70" s="215"/>
      <c r="DP70" s="215"/>
      <c r="DQ70" s="215"/>
      <c r="DR70" s="215"/>
      <c r="DS70" s="215"/>
      <c r="DT70" s="215"/>
      <c r="DU70" s="215"/>
      <c r="DV70" s="215"/>
      <c r="DW70" s="215"/>
      <c r="DX70" s="215"/>
      <c r="DY70" s="215"/>
      <c r="DZ70" s="215"/>
      <c r="EA70" s="215"/>
      <c r="EB70" s="215"/>
      <c r="EC70" s="215"/>
      <c r="ED70" s="215"/>
      <c r="EE70" s="215"/>
      <c r="EF70" s="215"/>
      <c r="EG70" s="215"/>
      <c r="EH70" s="215"/>
      <c r="EI70" s="215"/>
      <c r="EJ70" s="215"/>
      <c r="EK70" s="215"/>
      <c r="EL70" s="215"/>
      <c r="EM70" s="215"/>
      <c r="EN70" s="215"/>
      <c r="EO70" s="215"/>
      <c r="EP70" s="215"/>
      <c r="EQ70" s="215"/>
      <c r="ER70" s="215"/>
      <c r="ES70" s="215"/>
      <c r="ET70" s="215"/>
      <c r="EU70" s="215"/>
      <c r="EV70" s="215"/>
      <c r="EW70" s="215"/>
      <c r="EX70" s="215"/>
      <c r="EY70" s="215"/>
      <c r="EZ70" s="215"/>
      <c r="FA70" s="215"/>
      <c r="FB70" s="215"/>
      <c r="FC70" s="215"/>
      <c r="FD70" s="215"/>
      <c r="FE70" s="215"/>
      <c r="FF70" s="215"/>
      <c r="FG70" s="215"/>
      <c r="FH70" s="215"/>
      <c r="FI70" s="215"/>
      <c r="FJ70" s="215"/>
      <c r="FK70" s="215"/>
      <c r="FL70" s="215"/>
      <c r="FM70" s="215"/>
      <c r="FN70" s="215"/>
      <c r="FO70" s="215"/>
      <c r="FP70" s="215"/>
      <c r="FQ70" s="215"/>
      <c r="FR70" s="215"/>
      <c r="FS70" s="215"/>
      <c r="FT70" s="215"/>
      <c r="FU70" s="215"/>
      <c r="FV70" s="215"/>
      <c r="FW70" s="215"/>
      <c r="FX70" s="215"/>
      <c r="FY70" s="215"/>
      <c r="FZ70" s="215"/>
      <c r="GA70" s="215"/>
      <c r="GB70" s="215"/>
      <c r="GC70" s="215"/>
      <c r="GD70" s="215"/>
      <c r="GE70" s="215"/>
      <c r="GF70" s="215"/>
      <c r="GG70" s="215"/>
      <c r="GH70" s="215"/>
      <c r="GI70" s="215"/>
      <c r="GJ70" s="215"/>
      <c r="GK70" s="215"/>
      <c r="GL70" s="215"/>
      <c r="GM70" s="215"/>
      <c r="GN70" s="215"/>
      <c r="GO70" s="215"/>
      <c r="GP70" s="215"/>
      <c r="GQ70" s="215"/>
      <c r="GR70" s="215"/>
      <c r="GS70" s="215"/>
      <c r="GT70" s="215"/>
      <c r="GU70" s="215"/>
      <c r="GV70" s="215"/>
      <c r="GW70" s="215"/>
      <c r="GX70" s="215"/>
      <c r="GY70" s="215"/>
      <c r="GZ70" s="215"/>
      <c r="HA70" s="215"/>
      <c r="HB70" s="215"/>
      <c r="HC70" s="215"/>
      <c r="HD70" s="215"/>
      <c r="HE70" s="215"/>
      <c r="HF70" s="215"/>
      <c r="HG70" s="215"/>
      <c r="HH70" s="215"/>
      <c r="HI70" s="215"/>
      <c r="HJ70" s="215"/>
      <c r="HK70" s="215"/>
      <c r="HL70" s="215"/>
      <c r="HM70" s="215"/>
      <c r="HN70" s="215"/>
      <c r="HO70" s="215"/>
      <c r="HP70" s="215"/>
      <c r="HQ70" s="215"/>
      <c r="HR70" s="215"/>
      <c r="HS70" s="215"/>
      <c r="HT70" s="215"/>
      <c r="HU70" s="215"/>
      <c r="HV70" s="215"/>
      <c r="HW70" s="215"/>
      <c r="HX70" s="215"/>
      <c r="HY70" s="215"/>
      <c r="HZ70" s="215"/>
      <c r="IA70" s="215"/>
      <c r="IB70" s="215"/>
      <c r="IC70" s="215"/>
      <c r="ID70" s="215"/>
      <c r="IE70" s="215"/>
      <c r="IF70" s="215"/>
      <c r="IG70" s="215"/>
      <c r="IH70" s="215"/>
      <c r="II70" s="215"/>
      <c r="IJ70" s="215"/>
      <c r="IK70" s="215"/>
      <c r="IL70" s="215"/>
      <c r="IM70" s="215"/>
      <c r="IN70" s="215"/>
      <c r="IO70" s="215"/>
      <c r="IP70" s="215"/>
      <c r="IQ70" s="215"/>
      <c r="IR70" s="215"/>
      <c r="IS70" s="215"/>
      <c r="IT70" s="215"/>
      <c r="IU70" s="215"/>
      <c r="IV70" s="215"/>
      <c r="IW70" s="215"/>
      <c r="IX70" s="215"/>
      <c r="IY70" s="215"/>
    </row>
    <row r="71" spans="1:259" s="212" customFormat="1" ht="15" customHeight="1" x14ac:dyDescent="0.2">
      <c r="A71" s="195">
        <v>0</v>
      </c>
      <c r="B71" s="196"/>
      <c r="C71" s="196"/>
      <c r="D71" s="197" t="s">
        <v>425</v>
      </c>
      <c r="E71" s="198">
        <v>1</v>
      </c>
      <c r="F71" s="197" t="s">
        <v>535</v>
      </c>
      <c r="G71" s="198">
        <v>1</v>
      </c>
      <c r="H71" s="209" t="s">
        <v>426</v>
      </c>
      <c r="I71" s="197">
        <v>5</v>
      </c>
      <c r="J71" s="197">
        <v>2</v>
      </c>
      <c r="K71" s="197">
        <v>1</v>
      </c>
      <c r="L71" s="198" t="s">
        <v>429</v>
      </c>
      <c r="M71" s="198"/>
      <c r="N71" s="200"/>
      <c r="O71" s="200" t="s">
        <v>607</v>
      </c>
      <c r="P71" s="210" t="s">
        <v>612</v>
      </c>
      <c r="Q71" s="197" t="s">
        <v>428</v>
      </c>
      <c r="R71" s="197" t="s">
        <v>428</v>
      </c>
      <c r="S71" s="197" t="s">
        <v>428</v>
      </c>
      <c r="T71" s="197" t="s">
        <v>428</v>
      </c>
      <c r="U71" s="197"/>
      <c r="V71" s="197"/>
      <c r="W71" s="197"/>
      <c r="X71" s="197"/>
      <c r="Y71" s="197"/>
      <c r="Z71" s="197"/>
      <c r="AA71" s="197" t="s">
        <v>1</v>
      </c>
      <c r="AB71" s="198" t="s">
        <v>2</v>
      </c>
      <c r="AC71" s="198" t="s">
        <v>610</v>
      </c>
      <c r="AD71" s="197" t="s">
        <v>428</v>
      </c>
      <c r="AE71" s="197" t="s">
        <v>428</v>
      </c>
      <c r="AF71" s="197" t="s">
        <v>428</v>
      </c>
      <c r="AG71" s="197" t="s">
        <v>428</v>
      </c>
      <c r="AH71" s="197" t="s">
        <v>428</v>
      </c>
      <c r="AI71" s="197" t="s">
        <v>428</v>
      </c>
      <c r="AJ71" s="197" t="s">
        <v>428</v>
      </c>
      <c r="AK71" s="197" t="s">
        <v>428</v>
      </c>
      <c r="AL71" s="197" t="s">
        <v>428</v>
      </c>
      <c r="AM71" s="197" t="s">
        <v>428</v>
      </c>
      <c r="AN71" s="197" t="s">
        <v>428</v>
      </c>
      <c r="AO71" s="202"/>
      <c r="AP71" s="213"/>
      <c r="AQ71" s="214"/>
      <c r="AR71" s="214"/>
      <c r="AS71" s="214"/>
      <c r="AT71" s="214"/>
      <c r="AU71" s="214"/>
      <c r="AV71" s="214"/>
      <c r="AW71" s="214"/>
      <c r="AX71" s="214"/>
      <c r="AY71" s="214"/>
      <c r="AZ71" s="214"/>
      <c r="BA71" s="214"/>
      <c r="BB71" s="214"/>
      <c r="BC71" s="214"/>
      <c r="BD71" s="214"/>
      <c r="BE71" s="214"/>
      <c r="BF71" s="214"/>
      <c r="BG71" s="214"/>
      <c r="BH71" s="214"/>
      <c r="BI71" s="214"/>
      <c r="BJ71" s="214"/>
      <c r="BK71" s="214"/>
      <c r="BL71" s="214"/>
      <c r="BM71" s="214"/>
      <c r="BN71" s="215"/>
      <c r="BO71" s="215"/>
      <c r="BP71" s="215"/>
      <c r="BQ71" s="215"/>
      <c r="BR71" s="215"/>
      <c r="BS71" s="215"/>
      <c r="BT71" s="215"/>
      <c r="BU71" s="215"/>
      <c r="BV71" s="215"/>
      <c r="BW71" s="215"/>
      <c r="BX71" s="215"/>
      <c r="BY71" s="215"/>
      <c r="BZ71" s="215"/>
      <c r="CA71" s="215"/>
      <c r="CB71" s="215"/>
      <c r="CC71" s="215"/>
      <c r="CD71" s="215"/>
      <c r="CE71" s="215"/>
      <c r="CF71" s="215"/>
      <c r="CG71" s="215"/>
      <c r="CH71" s="215"/>
      <c r="CI71" s="215"/>
      <c r="CJ71" s="215"/>
      <c r="CK71" s="215"/>
      <c r="CL71" s="215"/>
      <c r="CM71" s="215"/>
      <c r="CN71" s="215"/>
      <c r="CO71" s="215"/>
      <c r="CP71" s="215"/>
      <c r="CQ71" s="215"/>
      <c r="CR71" s="215"/>
      <c r="CS71" s="215"/>
      <c r="CT71" s="215"/>
      <c r="CU71" s="215"/>
      <c r="CV71" s="215"/>
      <c r="CW71" s="215"/>
      <c r="CX71" s="215"/>
      <c r="CY71" s="215"/>
      <c r="CZ71" s="215"/>
      <c r="DA71" s="215"/>
      <c r="DB71" s="215"/>
      <c r="DC71" s="215"/>
      <c r="DD71" s="215"/>
      <c r="DE71" s="215"/>
      <c r="DF71" s="215"/>
      <c r="DG71" s="215"/>
      <c r="DH71" s="215"/>
      <c r="DI71" s="215"/>
      <c r="DJ71" s="215"/>
      <c r="DK71" s="215"/>
      <c r="DL71" s="215"/>
      <c r="DM71" s="215"/>
      <c r="DN71" s="215"/>
      <c r="DO71" s="215"/>
      <c r="DP71" s="215"/>
      <c r="DQ71" s="215"/>
      <c r="DR71" s="215"/>
      <c r="DS71" s="215"/>
      <c r="DT71" s="215"/>
      <c r="DU71" s="215"/>
      <c r="DV71" s="215"/>
      <c r="DW71" s="215"/>
      <c r="DX71" s="215"/>
      <c r="DY71" s="215"/>
      <c r="DZ71" s="215"/>
      <c r="EA71" s="215"/>
      <c r="EB71" s="215"/>
      <c r="EC71" s="215"/>
      <c r="ED71" s="215"/>
      <c r="EE71" s="215"/>
      <c r="EF71" s="215"/>
      <c r="EG71" s="215"/>
      <c r="EH71" s="215"/>
      <c r="EI71" s="215"/>
      <c r="EJ71" s="215"/>
      <c r="EK71" s="215"/>
      <c r="EL71" s="215"/>
      <c r="EM71" s="215"/>
      <c r="EN71" s="215"/>
      <c r="EO71" s="215"/>
      <c r="EP71" s="215"/>
      <c r="EQ71" s="215"/>
      <c r="ER71" s="215"/>
      <c r="ES71" s="215"/>
      <c r="ET71" s="215"/>
      <c r="EU71" s="215"/>
      <c r="EV71" s="215"/>
      <c r="EW71" s="215"/>
      <c r="EX71" s="215"/>
      <c r="EY71" s="215"/>
      <c r="EZ71" s="215"/>
      <c r="FA71" s="215"/>
      <c r="FB71" s="215"/>
      <c r="FC71" s="215"/>
      <c r="FD71" s="215"/>
      <c r="FE71" s="215"/>
      <c r="FF71" s="215"/>
      <c r="FG71" s="215"/>
      <c r="FH71" s="215"/>
      <c r="FI71" s="215"/>
      <c r="FJ71" s="215"/>
      <c r="FK71" s="215"/>
      <c r="FL71" s="215"/>
      <c r="FM71" s="215"/>
      <c r="FN71" s="215"/>
      <c r="FO71" s="215"/>
      <c r="FP71" s="215"/>
      <c r="FQ71" s="215"/>
      <c r="FR71" s="215"/>
      <c r="FS71" s="215"/>
      <c r="FT71" s="215"/>
      <c r="FU71" s="215"/>
      <c r="FV71" s="215"/>
      <c r="FW71" s="215"/>
      <c r="FX71" s="215"/>
      <c r="FY71" s="215"/>
      <c r="FZ71" s="215"/>
      <c r="GA71" s="215"/>
      <c r="GB71" s="215"/>
      <c r="GC71" s="215"/>
      <c r="GD71" s="215"/>
      <c r="GE71" s="215"/>
      <c r="GF71" s="215"/>
      <c r="GG71" s="215"/>
      <c r="GH71" s="215"/>
      <c r="GI71" s="215"/>
      <c r="GJ71" s="215"/>
      <c r="GK71" s="215"/>
      <c r="GL71" s="215"/>
      <c r="GM71" s="215"/>
      <c r="GN71" s="215"/>
      <c r="GO71" s="215"/>
      <c r="GP71" s="215"/>
      <c r="GQ71" s="215"/>
      <c r="GR71" s="215"/>
      <c r="GS71" s="215"/>
      <c r="GT71" s="215"/>
      <c r="GU71" s="215"/>
      <c r="GV71" s="215"/>
      <c r="GW71" s="215"/>
      <c r="GX71" s="215"/>
      <c r="GY71" s="215"/>
      <c r="GZ71" s="215"/>
      <c r="HA71" s="215"/>
      <c r="HB71" s="215"/>
      <c r="HC71" s="215"/>
      <c r="HD71" s="215"/>
      <c r="HE71" s="215"/>
      <c r="HF71" s="215"/>
      <c r="HG71" s="215"/>
      <c r="HH71" s="215"/>
      <c r="HI71" s="215"/>
      <c r="HJ71" s="215"/>
      <c r="HK71" s="215"/>
      <c r="HL71" s="215"/>
      <c r="HM71" s="215"/>
      <c r="HN71" s="215"/>
      <c r="HO71" s="215"/>
      <c r="HP71" s="215"/>
      <c r="HQ71" s="215"/>
      <c r="HR71" s="215"/>
      <c r="HS71" s="215"/>
      <c r="HT71" s="215"/>
      <c r="HU71" s="215"/>
      <c r="HV71" s="215"/>
      <c r="HW71" s="215"/>
      <c r="HX71" s="215"/>
      <c r="HY71" s="215"/>
      <c r="HZ71" s="215"/>
      <c r="IA71" s="215"/>
      <c r="IB71" s="215"/>
      <c r="IC71" s="215"/>
      <c r="ID71" s="215"/>
      <c r="IE71" s="215"/>
      <c r="IF71" s="215"/>
      <c r="IG71" s="215"/>
      <c r="IH71" s="215"/>
      <c r="II71" s="215"/>
      <c r="IJ71" s="215"/>
      <c r="IK71" s="215"/>
      <c r="IL71" s="215"/>
      <c r="IM71" s="215"/>
      <c r="IN71" s="215"/>
      <c r="IO71" s="215"/>
      <c r="IP71" s="215"/>
      <c r="IQ71" s="215"/>
      <c r="IR71" s="215"/>
      <c r="IS71" s="215"/>
      <c r="IT71" s="215"/>
      <c r="IU71" s="215"/>
      <c r="IV71" s="215"/>
      <c r="IW71" s="215"/>
      <c r="IX71" s="215"/>
      <c r="IY71" s="215"/>
    </row>
    <row r="72" spans="1:259" s="212" customFormat="1" ht="15" customHeight="1" x14ac:dyDescent="0.2">
      <c r="A72" s="195">
        <v>0</v>
      </c>
      <c r="B72" s="196"/>
      <c r="C72" s="196"/>
      <c r="D72" s="197" t="s">
        <v>425</v>
      </c>
      <c r="E72" s="198">
        <v>1</v>
      </c>
      <c r="F72" s="197" t="s">
        <v>535</v>
      </c>
      <c r="G72" s="198">
        <v>1</v>
      </c>
      <c r="H72" s="209" t="s">
        <v>426</v>
      </c>
      <c r="I72" s="197">
        <v>5</v>
      </c>
      <c r="J72" s="197">
        <v>2</v>
      </c>
      <c r="K72" s="197">
        <v>1</v>
      </c>
      <c r="L72" s="198" t="s">
        <v>429</v>
      </c>
      <c r="M72" s="198"/>
      <c r="N72" s="200"/>
      <c r="O72" s="200" t="s">
        <v>607</v>
      </c>
      <c r="P72" s="210" t="s">
        <v>612</v>
      </c>
      <c r="Q72" s="197" t="s">
        <v>428</v>
      </c>
      <c r="R72" s="197" t="s">
        <v>428</v>
      </c>
      <c r="S72" s="197" t="s">
        <v>428</v>
      </c>
      <c r="T72" s="197" t="s">
        <v>428</v>
      </c>
      <c r="U72" s="197"/>
      <c r="V72" s="197"/>
      <c r="W72" s="197"/>
      <c r="X72" s="197"/>
      <c r="Y72" s="197"/>
      <c r="Z72" s="197"/>
      <c r="AA72" s="197" t="s">
        <v>1</v>
      </c>
      <c r="AB72" s="198" t="s">
        <v>2</v>
      </c>
      <c r="AC72" s="198" t="s">
        <v>610</v>
      </c>
      <c r="AD72" s="197" t="s">
        <v>428</v>
      </c>
      <c r="AE72" s="197" t="s">
        <v>428</v>
      </c>
      <c r="AF72" s="197" t="s">
        <v>428</v>
      </c>
      <c r="AG72" s="197" t="s">
        <v>428</v>
      </c>
      <c r="AH72" s="197" t="s">
        <v>428</v>
      </c>
      <c r="AI72" s="197" t="s">
        <v>428</v>
      </c>
      <c r="AJ72" s="197" t="s">
        <v>428</v>
      </c>
      <c r="AK72" s="197" t="s">
        <v>428</v>
      </c>
      <c r="AL72" s="197" t="s">
        <v>428</v>
      </c>
      <c r="AM72" s="197" t="s">
        <v>428</v>
      </c>
      <c r="AN72" s="197" t="s">
        <v>428</v>
      </c>
      <c r="AO72" s="202"/>
      <c r="AP72" s="213"/>
      <c r="AQ72" s="214"/>
      <c r="AR72" s="214"/>
      <c r="AS72" s="214"/>
      <c r="AT72" s="214"/>
      <c r="AU72" s="214"/>
      <c r="AV72" s="214"/>
      <c r="AW72" s="214"/>
      <c r="AX72" s="214"/>
      <c r="AY72" s="214"/>
      <c r="AZ72" s="214"/>
      <c r="BA72" s="214"/>
      <c r="BB72" s="214"/>
      <c r="BC72" s="214"/>
      <c r="BD72" s="214"/>
      <c r="BE72" s="214"/>
      <c r="BF72" s="214"/>
      <c r="BG72" s="214"/>
      <c r="BH72" s="214"/>
      <c r="BI72" s="214"/>
      <c r="BJ72" s="214"/>
      <c r="BK72" s="214"/>
      <c r="BL72" s="214"/>
      <c r="BM72" s="214"/>
      <c r="BN72" s="215"/>
      <c r="BO72" s="215"/>
      <c r="BP72" s="215"/>
      <c r="BQ72" s="215"/>
      <c r="BR72" s="215"/>
      <c r="BS72" s="215"/>
      <c r="BT72" s="215"/>
      <c r="BU72" s="215"/>
      <c r="BV72" s="215"/>
      <c r="BW72" s="215"/>
      <c r="BX72" s="215"/>
      <c r="BY72" s="215"/>
      <c r="BZ72" s="215"/>
      <c r="CA72" s="215"/>
      <c r="CB72" s="215"/>
      <c r="CC72" s="215"/>
      <c r="CD72" s="215"/>
      <c r="CE72" s="215"/>
      <c r="CF72" s="215"/>
      <c r="CG72" s="215"/>
      <c r="CH72" s="215"/>
      <c r="CI72" s="215"/>
      <c r="CJ72" s="215"/>
      <c r="CK72" s="215"/>
      <c r="CL72" s="215"/>
      <c r="CM72" s="215"/>
      <c r="CN72" s="215"/>
      <c r="CO72" s="215"/>
      <c r="CP72" s="215"/>
      <c r="CQ72" s="215"/>
      <c r="CR72" s="215"/>
      <c r="CS72" s="215"/>
      <c r="CT72" s="215"/>
      <c r="CU72" s="215"/>
      <c r="CV72" s="215"/>
      <c r="CW72" s="215"/>
      <c r="CX72" s="215"/>
      <c r="CY72" s="215"/>
      <c r="CZ72" s="215"/>
      <c r="DA72" s="215"/>
      <c r="DB72" s="215"/>
      <c r="DC72" s="215"/>
      <c r="DD72" s="215"/>
      <c r="DE72" s="215"/>
      <c r="DF72" s="215"/>
      <c r="DG72" s="215"/>
      <c r="DH72" s="215"/>
      <c r="DI72" s="215"/>
      <c r="DJ72" s="215"/>
      <c r="DK72" s="215"/>
      <c r="DL72" s="215"/>
      <c r="DM72" s="215"/>
      <c r="DN72" s="215"/>
      <c r="DO72" s="215"/>
      <c r="DP72" s="215"/>
      <c r="DQ72" s="215"/>
      <c r="DR72" s="215"/>
      <c r="DS72" s="215"/>
      <c r="DT72" s="215"/>
      <c r="DU72" s="215"/>
      <c r="DV72" s="215"/>
      <c r="DW72" s="215"/>
      <c r="DX72" s="215"/>
      <c r="DY72" s="215"/>
      <c r="DZ72" s="215"/>
      <c r="EA72" s="215"/>
      <c r="EB72" s="215"/>
      <c r="EC72" s="215"/>
      <c r="ED72" s="215"/>
      <c r="EE72" s="215"/>
      <c r="EF72" s="215"/>
      <c r="EG72" s="215"/>
      <c r="EH72" s="215"/>
      <c r="EI72" s="215"/>
      <c r="EJ72" s="215"/>
      <c r="EK72" s="215"/>
      <c r="EL72" s="215"/>
      <c r="EM72" s="215"/>
      <c r="EN72" s="215"/>
      <c r="EO72" s="215"/>
      <c r="EP72" s="215"/>
      <c r="EQ72" s="215"/>
      <c r="ER72" s="215"/>
      <c r="ES72" s="215"/>
      <c r="ET72" s="215"/>
      <c r="EU72" s="215"/>
      <c r="EV72" s="215"/>
      <c r="EW72" s="215"/>
      <c r="EX72" s="215"/>
      <c r="EY72" s="215"/>
      <c r="EZ72" s="215"/>
      <c r="FA72" s="215"/>
      <c r="FB72" s="215"/>
      <c r="FC72" s="215"/>
      <c r="FD72" s="215"/>
      <c r="FE72" s="215"/>
      <c r="FF72" s="215"/>
      <c r="FG72" s="215"/>
      <c r="FH72" s="215"/>
      <c r="FI72" s="215"/>
      <c r="FJ72" s="215"/>
      <c r="FK72" s="215"/>
      <c r="FL72" s="215"/>
      <c r="FM72" s="215"/>
      <c r="FN72" s="215"/>
      <c r="FO72" s="215"/>
      <c r="FP72" s="215"/>
      <c r="FQ72" s="215"/>
      <c r="FR72" s="215"/>
      <c r="FS72" s="215"/>
      <c r="FT72" s="215"/>
      <c r="FU72" s="215"/>
      <c r="FV72" s="215"/>
      <c r="FW72" s="215"/>
      <c r="FX72" s="215"/>
      <c r="FY72" s="215"/>
      <c r="FZ72" s="215"/>
      <c r="GA72" s="215"/>
      <c r="GB72" s="215"/>
      <c r="GC72" s="215"/>
      <c r="GD72" s="215"/>
      <c r="GE72" s="215"/>
      <c r="GF72" s="215"/>
      <c r="GG72" s="215"/>
      <c r="GH72" s="215"/>
      <c r="GI72" s="215"/>
      <c r="GJ72" s="215"/>
      <c r="GK72" s="215"/>
      <c r="GL72" s="215"/>
      <c r="GM72" s="215"/>
      <c r="GN72" s="215"/>
      <c r="GO72" s="215"/>
      <c r="GP72" s="215"/>
      <c r="GQ72" s="215"/>
      <c r="GR72" s="215"/>
      <c r="GS72" s="215"/>
      <c r="GT72" s="215"/>
      <c r="GU72" s="215"/>
      <c r="GV72" s="215"/>
      <c r="GW72" s="215"/>
      <c r="GX72" s="215"/>
      <c r="GY72" s="215"/>
      <c r="GZ72" s="215"/>
      <c r="HA72" s="215"/>
      <c r="HB72" s="215"/>
      <c r="HC72" s="215"/>
      <c r="HD72" s="215"/>
      <c r="HE72" s="215"/>
      <c r="HF72" s="215"/>
      <c r="HG72" s="215"/>
      <c r="HH72" s="215"/>
      <c r="HI72" s="215"/>
      <c r="HJ72" s="215"/>
      <c r="HK72" s="215"/>
      <c r="HL72" s="215"/>
      <c r="HM72" s="215"/>
      <c r="HN72" s="215"/>
      <c r="HO72" s="215"/>
      <c r="HP72" s="215"/>
      <c r="HQ72" s="215"/>
      <c r="HR72" s="215"/>
      <c r="HS72" s="215"/>
      <c r="HT72" s="215"/>
      <c r="HU72" s="215"/>
      <c r="HV72" s="215"/>
      <c r="HW72" s="215"/>
      <c r="HX72" s="215"/>
      <c r="HY72" s="215"/>
      <c r="HZ72" s="215"/>
      <c r="IA72" s="215"/>
      <c r="IB72" s="215"/>
      <c r="IC72" s="215"/>
      <c r="ID72" s="215"/>
      <c r="IE72" s="215"/>
      <c r="IF72" s="215"/>
      <c r="IG72" s="215"/>
      <c r="IH72" s="215"/>
      <c r="II72" s="215"/>
      <c r="IJ72" s="215"/>
      <c r="IK72" s="215"/>
      <c r="IL72" s="215"/>
      <c r="IM72" s="215"/>
      <c r="IN72" s="215"/>
      <c r="IO72" s="215"/>
      <c r="IP72" s="215"/>
      <c r="IQ72" s="215"/>
      <c r="IR72" s="215"/>
      <c r="IS72" s="215"/>
      <c r="IT72" s="215"/>
      <c r="IU72" s="215"/>
      <c r="IV72" s="215"/>
      <c r="IW72" s="215"/>
      <c r="IX72" s="215"/>
      <c r="IY72" s="215"/>
    </row>
    <row r="73" spans="1:259" s="212" customFormat="1" ht="15" customHeight="1" x14ac:dyDescent="0.2">
      <c r="A73" s="195">
        <v>0</v>
      </c>
      <c r="B73" s="196"/>
      <c r="C73" s="196"/>
      <c r="D73" s="197" t="s">
        <v>573</v>
      </c>
      <c r="E73" s="198">
        <v>1</v>
      </c>
      <c r="F73" s="197" t="s">
        <v>605</v>
      </c>
      <c r="G73" s="198">
        <v>1</v>
      </c>
      <c r="H73" s="209" t="s">
        <v>426</v>
      </c>
      <c r="I73" s="197">
        <v>1</v>
      </c>
      <c r="J73" s="197">
        <v>1</v>
      </c>
      <c r="K73" s="197">
        <v>1</v>
      </c>
      <c r="L73" s="198" t="s">
        <v>429</v>
      </c>
      <c r="M73" s="198"/>
      <c r="N73" s="200"/>
      <c r="O73" s="200" t="s">
        <v>607</v>
      </c>
      <c r="P73" s="210" t="s">
        <v>613</v>
      </c>
      <c r="Q73" s="197" t="s">
        <v>428</v>
      </c>
      <c r="R73" s="197" t="s">
        <v>428</v>
      </c>
      <c r="S73" s="197" t="s">
        <v>428</v>
      </c>
      <c r="T73" s="197" t="s">
        <v>428</v>
      </c>
      <c r="U73" s="197"/>
      <c r="V73" s="197"/>
      <c r="W73" s="197"/>
      <c r="X73" s="197"/>
      <c r="Y73" s="197"/>
      <c r="Z73" s="197"/>
      <c r="AA73" s="197" t="s">
        <v>1</v>
      </c>
      <c r="AB73" s="198" t="s">
        <v>2</v>
      </c>
      <c r="AC73" s="198" t="s">
        <v>610</v>
      </c>
      <c r="AD73" s="197" t="s">
        <v>428</v>
      </c>
      <c r="AE73" s="197" t="s">
        <v>428</v>
      </c>
      <c r="AF73" s="197" t="s">
        <v>428</v>
      </c>
      <c r="AG73" s="197" t="s">
        <v>428</v>
      </c>
      <c r="AH73" s="197" t="s">
        <v>428</v>
      </c>
      <c r="AI73" s="197" t="s">
        <v>428</v>
      </c>
      <c r="AJ73" s="197" t="s">
        <v>428</v>
      </c>
      <c r="AK73" s="197" t="s">
        <v>428</v>
      </c>
      <c r="AL73" s="197" t="s">
        <v>428</v>
      </c>
      <c r="AM73" s="197" t="s">
        <v>428</v>
      </c>
      <c r="AN73" s="197" t="s">
        <v>428</v>
      </c>
      <c r="AO73" s="202"/>
      <c r="AP73" s="213"/>
      <c r="AQ73" s="214"/>
      <c r="AR73" s="214"/>
      <c r="AS73" s="214"/>
      <c r="AT73" s="214"/>
      <c r="AU73" s="214"/>
      <c r="AV73" s="214"/>
      <c r="AW73" s="214"/>
      <c r="AX73" s="214"/>
      <c r="AY73" s="214"/>
      <c r="AZ73" s="214"/>
      <c r="BA73" s="214"/>
      <c r="BB73" s="214"/>
      <c r="BC73" s="214"/>
      <c r="BD73" s="214"/>
      <c r="BE73" s="214"/>
      <c r="BF73" s="214"/>
      <c r="BG73" s="214"/>
      <c r="BH73" s="214"/>
      <c r="BI73" s="214"/>
      <c r="BJ73" s="214"/>
      <c r="BK73" s="214"/>
      <c r="BL73" s="214"/>
      <c r="BM73" s="214"/>
      <c r="BN73" s="215"/>
      <c r="BO73" s="215"/>
      <c r="BP73" s="215"/>
      <c r="BQ73" s="215"/>
      <c r="BR73" s="215"/>
      <c r="BS73" s="215"/>
      <c r="BT73" s="215"/>
      <c r="BU73" s="215"/>
      <c r="BV73" s="215"/>
      <c r="BW73" s="215"/>
      <c r="BX73" s="215"/>
      <c r="BY73" s="215"/>
      <c r="BZ73" s="215"/>
      <c r="CA73" s="215"/>
      <c r="CB73" s="215"/>
      <c r="CC73" s="215"/>
      <c r="CD73" s="215"/>
      <c r="CE73" s="215"/>
      <c r="CF73" s="215"/>
      <c r="CG73" s="215"/>
      <c r="CH73" s="215"/>
      <c r="CI73" s="215"/>
      <c r="CJ73" s="215"/>
      <c r="CK73" s="215"/>
      <c r="CL73" s="215"/>
      <c r="CM73" s="215"/>
      <c r="CN73" s="215"/>
      <c r="CO73" s="215"/>
      <c r="CP73" s="215"/>
      <c r="CQ73" s="215"/>
      <c r="CR73" s="215"/>
      <c r="CS73" s="215"/>
      <c r="CT73" s="215"/>
      <c r="CU73" s="215"/>
      <c r="CV73" s="215"/>
      <c r="CW73" s="215"/>
      <c r="CX73" s="215"/>
      <c r="CY73" s="215"/>
      <c r="CZ73" s="215"/>
      <c r="DA73" s="215"/>
      <c r="DB73" s="215"/>
      <c r="DC73" s="215"/>
      <c r="DD73" s="215"/>
      <c r="DE73" s="215"/>
      <c r="DF73" s="215"/>
      <c r="DG73" s="215"/>
      <c r="DH73" s="215"/>
      <c r="DI73" s="215"/>
      <c r="DJ73" s="215"/>
      <c r="DK73" s="215"/>
      <c r="DL73" s="215"/>
      <c r="DM73" s="215"/>
      <c r="DN73" s="215"/>
      <c r="DO73" s="215"/>
      <c r="DP73" s="215"/>
      <c r="DQ73" s="215"/>
      <c r="DR73" s="215"/>
      <c r="DS73" s="215"/>
      <c r="DT73" s="215"/>
      <c r="DU73" s="215"/>
      <c r="DV73" s="215"/>
      <c r="DW73" s="215"/>
      <c r="DX73" s="215"/>
      <c r="DY73" s="215"/>
      <c r="DZ73" s="215"/>
      <c r="EA73" s="215"/>
      <c r="EB73" s="215"/>
      <c r="EC73" s="215"/>
      <c r="ED73" s="215"/>
      <c r="EE73" s="215"/>
      <c r="EF73" s="215"/>
      <c r="EG73" s="215"/>
      <c r="EH73" s="215"/>
      <c r="EI73" s="215"/>
      <c r="EJ73" s="215"/>
      <c r="EK73" s="215"/>
      <c r="EL73" s="215"/>
      <c r="EM73" s="215"/>
      <c r="EN73" s="215"/>
      <c r="EO73" s="215"/>
      <c r="EP73" s="215"/>
      <c r="EQ73" s="215"/>
      <c r="ER73" s="215"/>
      <c r="ES73" s="215"/>
      <c r="ET73" s="215"/>
      <c r="EU73" s="215"/>
      <c r="EV73" s="215"/>
      <c r="EW73" s="215"/>
      <c r="EX73" s="215"/>
      <c r="EY73" s="215"/>
      <c r="EZ73" s="215"/>
      <c r="FA73" s="215"/>
      <c r="FB73" s="215"/>
      <c r="FC73" s="215"/>
      <c r="FD73" s="215"/>
      <c r="FE73" s="215"/>
      <c r="FF73" s="215"/>
      <c r="FG73" s="215"/>
      <c r="FH73" s="215"/>
      <c r="FI73" s="215"/>
      <c r="FJ73" s="215"/>
      <c r="FK73" s="215"/>
      <c r="FL73" s="215"/>
      <c r="FM73" s="215"/>
      <c r="FN73" s="215"/>
      <c r="FO73" s="215"/>
      <c r="FP73" s="215"/>
      <c r="FQ73" s="215"/>
      <c r="FR73" s="215"/>
      <c r="FS73" s="215"/>
      <c r="FT73" s="215"/>
      <c r="FU73" s="215"/>
      <c r="FV73" s="215"/>
      <c r="FW73" s="215"/>
      <c r="FX73" s="215"/>
      <c r="FY73" s="215"/>
      <c r="FZ73" s="215"/>
      <c r="GA73" s="215"/>
      <c r="GB73" s="215"/>
      <c r="GC73" s="215"/>
      <c r="GD73" s="215"/>
      <c r="GE73" s="215"/>
      <c r="GF73" s="215"/>
      <c r="GG73" s="215"/>
      <c r="GH73" s="215"/>
      <c r="GI73" s="215"/>
      <c r="GJ73" s="215"/>
      <c r="GK73" s="215"/>
      <c r="GL73" s="215"/>
      <c r="GM73" s="215"/>
      <c r="GN73" s="215"/>
      <c r="GO73" s="215"/>
      <c r="GP73" s="215"/>
      <c r="GQ73" s="215"/>
      <c r="GR73" s="215"/>
      <c r="GS73" s="215"/>
      <c r="GT73" s="215"/>
      <c r="GU73" s="215"/>
      <c r="GV73" s="215"/>
      <c r="GW73" s="215"/>
      <c r="GX73" s="215"/>
      <c r="GY73" s="215"/>
      <c r="GZ73" s="215"/>
      <c r="HA73" s="215"/>
      <c r="HB73" s="215"/>
      <c r="HC73" s="215"/>
      <c r="HD73" s="215"/>
      <c r="HE73" s="215"/>
      <c r="HF73" s="215"/>
      <c r="HG73" s="215"/>
      <c r="HH73" s="215"/>
      <c r="HI73" s="215"/>
      <c r="HJ73" s="215"/>
      <c r="HK73" s="215"/>
      <c r="HL73" s="215"/>
      <c r="HM73" s="215"/>
      <c r="HN73" s="215"/>
      <c r="HO73" s="215"/>
      <c r="HP73" s="215"/>
      <c r="HQ73" s="215"/>
      <c r="HR73" s="215"/>
      <c r="HS73" s="215"/>
      <c r="HT73" s="215"/>
      <c r="HU73" s="215"/>
      <c r="HV73" s="215"/>
      <c r="HW73" s="215"/>
      <c r="HX73" s="215"/>
      <c r="HY73" s="215"/>
      <c r="HZ73" s="215"/>
      <c r="IA73" s="215"/>
      <c r="IB73" s="215"/>
      <c r="IC73" s="215"/>
      <c r="ID73" s="215"/>
      <c r="IE73" s="215"/>
      <c r="IF73" s="215"/>
      <c r="IG73" s="215"/>
      <c r="IH73" s="215"/>
      <c r="II73" s="215"/>
      <c r="IJ73" s="215"/>
      <c r="IK73" s="215"/>
      <c r="IL73" s="215"/>
      <c r="IM73" s="215"/>
      <c r="IN73" s="215"/>
      <c r="IO73" s="215"/>
      <c r="IP73" s="215"/>
      <c r="IQ73" s="215"/>
      <c r="IR73" s="215"/>
      <c r="IS73" s="215"/>
      <c r="IT73" s="215"/>
      <c r="IU73" s="215"/>
      <c r="IV73" s="215"/>
      <c r="IW73" s="215"/>
      <c r="IX73" s="215"/>
      <c r="IY73" s="215"/>
    </row>
    <row r="74" spans="1:259" s="212" customFormat="1" ht="15" customHeight="1" x14ac:dyDescent="0.2">
      <c r="A74" s="195">
        <v>0</v>
      </c>
      <c r="B74" s="196"/>
      <c r="C74" s="196"/>
      <c r="D74" s="197" t="s">
        <v>573</v>
      </c>
      <c r="E74" s="198">
        <v>1</v>
      </c>
      <c r="F74" s="197" t="s">
        <v>605</v>
      </c>
      <c r="G74" s="198">
        <v>1</v>
      </c>
      <c r="H74" s="209" t="s">
        <v>426</v>
      </c>
      <c r="I74" s="197">
        <v>1</v>
      </c>
      <c r="J74" s="197">
        <v>1</v>
      </c>
      <c r="K74" s="197">
        <v>1</v>
      </c>
      <c r="L74" s="198" t="s">
        <v>429</v>
      </c>
      <c r="M74" s="198"/>
      <c r="N74" s="200"/>
      <c r="O74" s="200" t="s">
        <v>607</v>
      </c>
      <c r="P74" s="210" t="s">
        <v>613</v>
      </c>
      <c r="Q74" s="197" t="s">
        <v>428</v>
      </c>
      <c r="R74" s="197" t="s">
        <v>428</v>
      </c>
      <c r="S74" s="197" t="s">
        <v>428</v>
      </c>
      <c r="T74" s="197" t="s">
        <v>428</v>
      </c>
      <c r="U74" s="197"/>
      <c r="V74" s="197"/>
      <c r="W74" s="197"/>
      <c r="X74" s="197"/>
      <c r="Y74" s="197"/>
      <c r="Z74" s="197"/>
      <c r="AA74" s="197" t="s">
        <v>1</v>
      </c>
      <c r="AB74" s="198" t="s">
        <v>2</v>
      </c>
      <c r="AC74" s="198" t="s">
        <v>610</v>
      </c>
      <c r="AD74" s="197" t="s">
        <v>428</v>
      </c>
      <c r="AE74" s="197" t="s">
        <v>428</v>
      </c>
      <c r="AF74" s="197" t="s">
        <v>428</v>
      </c>
      <c r="AG74" s="197" t="s">
        <v>428</v>
      </c>
      <c r="AH74" s="197" t="s">
        <v>428</v>
      </c>
      <c r="AI74" s="197" t="s">
        <v>428</v>
      </c>
      <c r="AJ74" s="197" t="s">
        <v>428</v>
      </c>
      <c r="AK74" s="197" t="s">
        <v>428</v>
      </c>
      <c r="AL74" s="197" t="s">
        <v>428</v>
      </c>
      <c r="AM74" s="197" t="s">
        <v>428</v>
      </c>
      <c r="AN74" s="197" t="s">
        <v>428</v>
      </c>
      <c r="AO74" s="202"/>
      <c r="AP74" s="213"/>
      <c r="AQ74" s="214"/>
      <c r="AR74" s="214"/>
      <c r="AS74" s="214"/>
      <c r="AT74" s="214"/>
      <c r="AU74" s="214"/>
      <c r="AV74" s="214"/>
      <c r="AW74" s="214"/>
      <c r="AX74" s="214"/>
      <c r="AY74" s="214"/>
      <c r="AZ74" s="214"/>
      <c r="BA74" s="214"/>
      <c r="BB74" s="214"/>
      <c r="BC74" s="214"/>
      <c r="BD74" s="214"/>
      <c r="BE74" s="214"/>
      <c r="BF74" s="214"/>
      <c r="BG74" s="214"/>
      <c r="BH74" s="214"/>
      <c r="BI74" s="214"/>
      <c r="BJ74" s="214"/>
      <c r="BK74" s="214"/>
      <c r="BL74" s="214"/>
      <c r="BM74" s="214"/>
      <c r="BN74" s="215"/>
      <c r="BO74" s="215"/>
      <c r="BP74" s="215"/>
      <c r="BQ74" s="215"/>
      <c r="BR74" s="215"/>
      <c r="BS74" s="215"/>
      <c r="BT74" s="215"/>
      <c r="BU74" s="215"/>
      <c r="BV74" s="215"/>
      <c r="BW74" s="215"/>
      <c r="BX74" s="215"/>
      <c r="BY74" s="215"/>
      <c r="BZ74" s="215"/>
      <c r="CA74" s="215"/>
      <c r="CB74" s="215"/>
      <c r="CC74" s="215"/>
      <c r="CD74" s="215"/>
      <c r="CE74" s="215"/>
      <c r="CF74" s="215"/>
      <c r="CG74" s="215"/>
      <c r="CH74" s="215"/>
      <c r="CI74" s="215"/>
      <c r="CJ74" s="215"/>
      <c r="CK74" s="215"/>
      <c r="CL74" s="215"/>
      <c r="CM74" s="215"/>
      <c r="CN74" s="215"/>
      <c r="CO74" s="215"/>
      <c r="CP74" s="215"/>
      <c r="CQ74" s="215"/>
      <c r="CR74" s="215"/>
      <c r="CS74" s="215"/>
      <c r="CT74" s="215"/>
      <c r="CU74" s="215"/>
      <c r="CV74" s="215"/>
      <c r="CW74" s="215"/>
      <c r="CX74" s="215"/>
      <c r="CY74" s="215"/>
      <c r="CZ74" s="215"/>
      <c r="DA74" s="215"/>
      <c r="DB74" s="215"/>
      <c r="DC74" s="215"/>
      <c r="DD74" s="215"/>
      <c r="DE74" s="215"/>
      <c r="DF74" s="215"/>
      <c r="DG74" s="215"/>
      <c r="DH74" s="215"/>
      <c r="DI74" s="215"/>
      <c r="DJ74" s="215"/>
      <c r="DK74" s="215"/>
      <c r="DL74" s="215"/>
      <c r="DM74" s="215"/>
      <c r="DN74" s="215"/>
      <c r="DO74" s="215"/>
      <c r="DP74" s="215"/>
      <c r="DQ74" s="215"/>
      <c r="DR74" s="215"/>
      <c r="DS74" s="215"/>
      <c r="DT74" s="215"/>
      <c r="DU74" s="215"/>
      <c r="DV74" s="215"/>
      <c r="DW74" s="215"/>
      <c r="DX74" s="215"/>
      <c r="DY74" s="215"/>
      <c r="DZ74" s="215"/>
      <c r="EA74" s="215"/>
      <c r="EB74" s="215"/>
      <c r="EC74" s="215"/>
      <c r="ED74" s="215"/>
      <c r="EE74" s="215"/>
      <c r="EF74" s="215"/>
      <c r="EG74" s="215"/>
      <c r="EH74" s="215"/>
      <c r="EI74" s="215"/>
      <c r="EJ74" s="215"/>
      <c r="EK74" s="215"/>
      <c r="EL74" s="215"/>
      <c r="EM74" s="215"/>
      <c r="EN74" s="215"/>
      <c r="EO74" s="215"/>
      <c r="EP74" s="215"/>
      <c r="EQ74" s="215"/>
      <c r="ER74" s="215"/>
      <c r="ES74" s="215"/>
      <c r="ET74" s="215"/>
      <c r="EU74" s="215"/>
      <c r="EV74" s="215"/>
      <c r="EW74" s="215"/>
      <c r="EX74" s="215"/>
      <c r="EY74" s="215"/>
      <c r="EZ74" s="215"/>
      <c r="FA74" s="215"/>
      <c r="FB74" s="215"/>
      <c r="FC74" s="215"/>
      <c r="FD74" s="215"/>
      <c r="FE74" s="215"/>
      <c r="FF74" s="215"/>
      <c r="FG74" s="215"/>
      <c r="FH74" s="215"/>
      <c r="FI74" s="215"/>
      <c r="FJ74" s="215"/>
      <c r="FK74" s="215"/>
      <c r="FL74" s="215"/>
      <c r="FM74" s="215"/>
      <c r="FN74" s="215"/>
      <c r="FO74" s="215"/>
      <c r="FP74" s="215"/>
      <c r="FQ74" s="215"/>
      <c r="FR74" s="215"/>
      <c r="FS74" s="215"/>
      <c r="FT74" s="215"/>
      <c r="FU74" s="215"/>
      <c r="FV74" s="215"/>
      <c r="FW74" s="215"/>
      <c r="FX74" s="215"/>
      <c r="FY74" s="215"/>
      <c r="FZ74" s="215"/>
      <c r="GA74" s="215"/>
      <c r="GB74" s="215"/>
      <c r="GC74" s="215"/>
      <c r="GD74" s="215"/>
      <c r="GE74" s="215"/>
      <c r="GF74" s="215"/>
      <c r="GG74" s="215"/>
      <c r="GH74" s="215"/>
      <c r="GI74" s="215"/>
      <c r="GJ74" s="215"/>
      <c r="GK74" s="215"/>
      <c r="GL74" s="215"/>
      <c r="GM74" s="215"/>
      <c r="GN74" s="215"/>
      <c r="GO74" s="215"/>
      <c r="GP74" s="215"/>
      <c r="GQ74" s="215"/>
      <c r="GR74" s="215"/>
      <c r="GS74" s="215"/>
      <c r="GT74" s="215"/>
      <c r="GU74" s="215"/>
      <c r="GV74" s="215"/>
      <c r="GW74" s="215"/>
      <c r="GX74" s="215"/>
      <c r="GY74" s="215"/>
      <c r="GZ74" s="215"/>
      <c r="HA74" s="215"/>
      <c r="HB74" s="215"/>
      <c r="HC74" s="215"/>
      <c r="HD74" s="215"/>
      <c r="HE74" s="215"/>
      <c r="HF74" s="215"/>
      <c r="HG74" s="215"/>
      <c r="HH74" s="215"/>
      <c r="HI74" s="215"/>
      <c r="HJ74" s="215"/>
      <c r="HK74" s="215"/>
      <c r="HL74" s="215"/>
      <c r="HM74" s="215"/>
      <c r="HN74" s="215"/>
      <c r="HO74" s="215"/>
      <c r="HP74" s="215"/>
      <c r="HQ74" s="215"/>
      <c r="HR74" s="215"/>
      <c r="HS74" s="215"/>
      <c r="HT74" s="215"/>
      <c r="HU74" s="215"/>
      <c r="HV74" s="215"/>
      <c r="HW74" s="215"/>
      <c r="HX74" s="215"/>
      <c r="HY74" s="215"/>
      <c r="HZ74" s="215"/>
      <c r="IA74" s="215"/>
      <c r="IB74" s="215"/>
      <c r="IC74" s="215"/>
      <c r="ID74" s="215"/>
      <c r="IE74" s="215"/>
      <c r="IF74" s="215"/>
      <c r="IG74" s="215"/>
      <c r="IH74" s="215"/>
      <c r="II74" s="215"/>
      <c r="IJ74" s="215"/>
      <c r="IK74" s="215"/>
      <c r="IL74" s="215"/>
      <c r="IM74" s="215"/>
      <c r="IN74" s="215"/>
      <c r="IO74" s="215"/>
      <c r="IP74" s="215"/>
      <c r="IQ74" s="215"/>
      <c r="IR74" s="215"/>
      <c r="IS74" s="215"/>
      <c r="IT74" s="215"/>
      <c r="IU74" s="215"/>
      <c r="IV74" s="215"/>
      <c r="IW74" s="215"/>
      <c r="IX74" s="215"/>
      <c r="IY74" s="215"/>
    </row>
    <row r="75" spans="1:259" s="212" customFormat="1" ht="15" customHeight="1" x14ac:dyDescent="0.2">
      <c r="A75" s="195">
        <v>0</v>
      </c>
      <c r="B75" s="196"/>
      <c r="C75" s="196"/>
      <c r="D75" s="197" t="s">
        <v>573</v>
      </c>
      <c r="E75" s="198">
        <v>1</v>
      </c>
      <c r="F75" s="197" t="s">
        <v>605</v>
      </c>
      <c r="G75" s="198">
        <v>1</v>
      </c>
      <c r="H75" s="209" t="s">
        <v>426</v>
      </c>
      <c r="I75" s="197">
        <v>1</v>
      </c>
      <c r="J75" s="197">
        <v>1</v>
      </c>
      <c r="K75" s="197">
        <v>1</v>
      </c>
      <c r="L75" s="198" t="s">
        <v>429</v>
      </c>
      <c r="M75" s="198"/>
      <c r="N75" s="200"/>
      <c r="O75" s="200" t="s">
        <v>607</v>
      </c>
      <c r="P75" s="210" t="s">
        <v>613</v>
      </c>
      <c r="Q75" s="197" t="s">
        <v>428</v>
      </c>
      <c r="R75" s="197" t="s">
        <v>428</v>
      </c>
      <c r="S75" s="197" t="s">
        <v>428</v>
      </c>
      <c r="T75" s="197" t="s">
        <v>428</v>
      </c>
      <c r="U75" s="197"/>
      <c r="V75" s="197"/>
      <c r="W75" s="197"/>
      <c r="X75" s="197"/>
      <c r="Y75" s="197"/>
      <c r="Z75" s="197"/>
      <c r="AA75" s="197" t="s">
        <v>1</v>
      </c>
      <c r="AB75" s="198" t="s">
        <v>2</v>
      </c>
      <c r="AC75" s="198" t="s">
        <v>610</v>
      </c>
      <c r="AD75" s="197" t="s">
        <v>428</v>
      </c>
      <c r="AE75" s="197" t="s">
        <v>428</v>
      </c>
      <c r="AF75" s="197" t="s">
        <v>428</v>
      </c>
      <c r="AG75" s="197" t="s">
        <v>428</v>
      </c>
      <c r="AH75" s="197" t="s">
        <v>428</v>
      </c>
      <c r="AI75" s="197" t="s">
        <v>428</v>
      </c>
      <c r="AJ75" s="197" t="s">
        <v>428</v>
      </c>
      <c r="AK75" s="197" t="s">
        <v>428</v>
      </c>
      <c r="AL75" s="197" t="s">
        <v>428</v>
      </c>
      <c r="AM75" s="197" t="s">
        <v>428</v>
      </c>
      <c r="AN75" s="197" t="s">
        <v>428</v>
      </c>
      <c r="AO75" s="202"/>
      <c r="AP75" s="213"/>
      <c r="AQ75" s="214"/>
      <c r="AR75" s="214"/>
      <c r="AS75" s="214"/>
      <c r="AT75" s="214"/>
      <c r="AU75" s="214"/>
      <c r="AV75" s="214"/>
      <c r="AW75" s="214"/>
      <c r="AX75" s="214"/>
      <c r="AY75" s="214"/>
      <c r="AZ75" s="214"/>
      <c r="BA75" s="214"/>
      <c r="BB75" s="214"/>
      <c r="BC75" s="214"/>
      <c r="BD75" s="214"/>
      <c r="BE75" s="214"/>
      <c r="BF75" s="214"/>
      <c r="BG75" s="214"/>
      <c r="BH75" s="214"/>
      <c r="BI75" s="214"/>
      <c r="BJ75" s="214"/>
      <c r="BK75" s="214"/>
      <c r="BL75" s="214"/>
      <c r="BM75" s="214"/>
      <c r="BN75" s="215"/>
      <c r="BO75" s="215"/>
      <c r="BP75" s="215"/>
      <c r="BQ75" s="215"/>
      <c r="BR75" s="215"/>
      <c r="BS75" s="215"/>
      <c r="BT75" s="215"/>
      <c r="BU75" s="215"/>
      <c r="BV75" s="215"/>
      <c r="BW75" s="215"/>
      <c r="BX75" s="215"/>
      <c r="BY75" s="215"/>
      <c r="BZ75" s="215"/>
      <c r="CA75" s="215"/>
      <c r="CB75" s="215"/>
      <c r="CC75" s="215"/>
      <c r="CD75" s="215"/>
      <c r="CE75" s="215"/>
      <c r="CF75" s="215"/>
      <c r="CG75" s="215"/>
      <c r="CH75" s="215"/>
      <c r="CI75" s="215"/>
      <c r="CJ75" s="215"/>
      <c r="CK75" s="215"/>
      <c r="CL75" s="215"/>
      <c r="CM75" s="215"/>
      <c r="CN75" s="215"/>
      <c r="CO75" s="215"/>
      <c r="CP75" s="215"/>
      <c r="CQ75" s="215"/>
      <c r="CR75" s="215"/>
      <c r="CS75" s="215"/>
      <c r="CT75" s="215"/>
      <c r="CU75" s="215"/>
      <c r="CV75" s="215"/>
      <c r="CW75" s="215"/>
      <c r="CX75" s="215"/>
      <c r="CY75" s="215"/>
      <c r="CZ75" s="215"/>
      <c r="DA75" s="215"/>
      <c r="DB75" s="215"/>
      <c r="DC75" s="215"/>
      <c r="DD75" s="215"/>
      <c r="DE75" s="215"/>
      <c r="DF75" s="215"/>
      <c r="DG75" s="215"/>
      <c r="DH75" s="215"/>
      <c r="DI75" s="215"/>
      <c r="DJ75" s="215"/>
      <c r="DK75" s="215"/>
      <c r="DL75" s="215"/>
      <c r="DM75" s="215"/>
      <c r="DN75" s="215"/>
      <c r="DO75" s="215"/>
      <c r="DP75" s="215"/>
      <c r="DQ75" s="215"/>
      <c r="DR75" s="215"/>
      <c r="DS75" s="215"/>
      <c r="DT75" s="215"/>
      <c r="DU75" s="215"/>
      <c r="DV75" s="215"/>
      <c r="DW75" s="215"/>
      <c r="DX75" s="215"/>
      <c r="DY75" s="215"/>
      <c r="DZ75" s="215"/>
      <c r="EA75" s="215"/>
      <c r="EB75" s="215"/>
      <c r="EC75" s="215"/>
      <c r="ED75" s="215"/>
      <c r="EE75" s="215"/>
      <c r="EF75" s="215"/>
      <c r="EG75" s="215"/>
      <c r="EH75" s="215"/>
      <c r="EI75" s="215"/>
      <c r="EJ75" s="215"/>
      <c r="EK75" s="215"/>
      <c r="EL75" s="215"/>
      <c r="EM75" s="215"/>
      <c r="EN75" s="215"/>
      <c r="EO75" s="215"/>
      <c r="EP75" s="215"/>
      <c r="EQ75" s="215"/>
      <c r="ER75" s="215"/>
      <c r="ES75" s="215"/>
      <c r="ET75" s="215"/>
      <c r="EU75" s="215"/>
      <c r="EV75" s="215"/>
      <c r="EW75" s="215"/>
      <c r="EX75" s="215"/>
      <c r="EY75" s="215"/>
      <c r="EZ75" s="215"/>
      <c r="FA75" s="215"/>
      <c r="FB75" s="215"/>
      <c r="FC75" s="215"/>
      <c r="FD75" s="215"/>
      <c r="FE75" s="215"/>
      <c r="FF75" s="215"/>
      <c r="FG75" s="215"/>
      <c r="FH75" s="215"/>
      <c r="FI75" s="215"/>
      <c r="FJ75" s="215"/>
      <c r="FK75" s="215"/>
      <c r="FL75" s="215"/>
      <c r="FM75" s="215"/>
      <c r="FN75" s="215"/>
      <c r="FO75" s="215"/>
      <c r="FP75" s="215"/>
      <c r="FQ75" s="215"/>
      <c r="FR75" s="215"/>
      <c r="FS75" s="215"/>
      <c r="FT75" s="215"/>
      <c r="FU75" s="215"/>
      <c r="FV75" s="215"/>
      <c r="FW75" s="215"/>
      <c r="FX75" s="215"/>
      <c r="FY75" s="215"/>
      <c r="FZ75" s="215"/>
      <c r="GA75" s="215"/>
      <c r="GB75" s="215"/>
      <c r="GC75" s="215"/>
      <c r="GD75" s="215"/>
      <c r="GE75" s="215"/>
      <c r="GF75" s="215"/>
      <c r="GG75" s="215"/>
      <c r="GH75" s="215"/>
      <c r="GI75" s="215"/>
      <c r="GJ75" s="215"/>
      <c r="GK75" s="215"/>
      <c r="GL75" s="215"/>
      <c r="GM75" s="215"/>
      <c r="GN75" s="215"/>
      <c r="GO75" s="215"/>
      <c r="GP75" s="215"/>
      <c r="GQ75" s="215"/>
      <c r="GR75" s="215"/>
      <c r="GS75" s="215"/>
      <c r="GT75" s="215"/>
      <c r="GU75" s="215"/>
      <c r="GV75" s="215"/>
      <c r="GW75" s="215"/>
      <c r="GX75" s="215"/>
      <c r="GY75" s="215"/>
      <c r="GZ75" s="215"/>
      <c r="HA75" s="215"/>
      <c r="HB75" s="215"/>
      <c r="HC75" s="215"/>
      <c r="HD75" s="215"/>
      <c r="HE75" s="215"/>
      <c r="HF75" s="215"/>
      <c r="HG75" s="215"/>
      <c r="HH75" s="215"/>
      <c r="HI75" s="215"/>
      <c r="HJ75" s="215"/>
      <c r="HK75" s="215"/>
      <c r="HL75" s="215"/>
      <c r="HM75" s="215"/>
      <c r="HN75" s="215"/>
      <c r="HO75" s="215"/>
      <c r="HP75" s="215"/>
      <c r="HQ75" s="215"/>
      <c r="HR75" s="215"/>
      <c r="HS75" s="215"/>
      <c r="HT75" s="215"/>
      <c r="HU75" s="215"/>
      <c r="HV75" s="215"/>
      <c r="HW75" s="215"/>
      <c r="HX75" s="215"/>
      <c r="HY75" s="215"/>
      <c r="HZ75" s="215"/>
      <c r="IA75" s="215"/>
      <c r="IB75" s="215"/>
      <c r="IC75" s="215"/>
      <c r="ID75" s="215"/>
      <c r="IE75" s="215"/>
      <c r="IF75" s="215"/>
      <c r="IG75" s="215"/>
      <c r="IH75" s="215"/>
      <c r="II75" s="215"/>
      <c r="IJ75" s="215"/>
      <c r="IK75" s="215"/>
      <c r="IL75" s="215"/>
      <c r="IM75" s="215"/>
      <c r="IN75" s="215"/>
      <c r="IO75" s="215"/>
      <c r="IP75" s="215"/>
      <c r="IQ75" s="215"/>
      <c r="IR75" s="215"/>
      <c r="IS75" s="215"/>
      <c r="IT75" s="215"/>
      <c r="IU75" s="215"/>
      <c r="IV75" s="215"/>
      <c r="IW75" s="215"/>
      <c r="IX75" s="215"/>
      <c r="IY75" s="215"/>
    </row>
    <row r="76" spans="1:259" ht="15" customHeight="1" x14ac:dyDescent="0.2">
      <c r="A76" s="195">
        <v>0</v>
      </c>
      <c r="B76" s="196"/>
      <c r="C76" s="196"/>
      <c r="D76" s="197" t="s">
        <v>428</v>
      </c>
      <c r="E76" s="197" t="s">
        <v>427</v>
      </c>
      <c r="F76" s="197" t="s">
        <v>430</v>
      </c>
      <c r="G76" s="197" t="s">
        <v>427</v>
      </c>
      <c r="H76" s="209" t="s">
        <v>565</v>
      </c>
      <c r="I76" s="197" t="s">
        <v>427</v>
      </c>
      <c r="J76" s="197" t="s">
        <v>427</v>
      </c>
      <c r="K76" s="197">
        <v>1</v>
      </c>
      <c r="L76" s="198" t="s">
        <v>429</v>
      </c>
      <c r="M76" s="198"/>
      <c r="N76" s="200"/>
      <c r="O76" s="200" t="s">
        <v>614</v>
      </c>
      <c r="P76" s="210" t="s">
        <v>600</v>
      </c>
      <c r="Q76" s="197" t="s">
        <v>428</v>
      </c>
      <c r="R76" s="197" t="s">
        <v>428</v>
      </c>
      <c r="S76" s="197" t="s">
        <v>428</v>
      </c>
      <c r="T76" s="197" t="s">
        <v>428</v>
      </c>
      <c r="U76" s="197"/>
      <c r="V76" s="197"/>
      <c r="W76" s="197"/>
      <c r="X76" s="197"/>
      <c r="Y76" s="197"/>
      <c r="Z76" s="197"/>
      <c r="AA76" s="197" t="s">
        <v>1</v>
      </c>
      <c r="AB76" s="198" t="s">
        <v>2</v>
      </c>
      <c r="AC76" s="198" t="s">
        <v>615</v>
      </c>
      <c r="AD76" s="197" t="s">
        <v>438</v>
      </c>
      <c r="AE76" s="197" t="s">
        <v>438</v>
      </c>
      <c r="AF76" s="197" t="s">
        <v>438</v>
      </c>
      <c r="AG76" s="197" t="s">
        <v>438</v>
      </c>
      <c r="AH76" s="197" t="s">
        <v>438</v>
      </c>
      <c r="AI76" s="197" t="s">
        <v>438</v>
      </c>
      <c r="AJ76" s="197" t="s">
        <v>438</v>
      </c>
      <c r="AK76" s="197" t="s">
        <v>438</v>
      </c>
      <c r="AL76" s="197" t="s">
        <v>438</v>
      </c>
      <c r="AM76" s="197" t="s">
        <v>428</v>
      </c>
      <c r="AN76" s="197" t="s">
        <v>428</v>
      </c>
      <c r="AO76" s="202"/>
    </row>
    <row r="77" spans="1:259" ht="15" customHeight="1" x14ac:dyDescent="0.2">
      <c r="A77" s="195">
        <v>0</v>
      </c>
      <c r="B77" s="196"/>
      <c r="C77" s="196"/>
      <c r="D77" s="197" t="s">
        <v>428</v>
      </c>
      <c r="E77" s="197" t="s">
        <v>427</v>
      </c>
      <c r="F77" s="197" t="s">
        <v>430</v>
      </c>
      <c r="G77" s="197" t="s">
        <v>427</v>
      </c>
      <c r="H77" s="209" t="s">
        <v>426</v>
      </c>
      <c r="I77" s="197" t="s">
        <v>427</v>
      </c>
      <c r="J77" s="197" t="s">
        <v>427</v>
      </c>
      <c r="K77" s="197">
        <v>1</v>
      </c>
      <c r="L77" s="198" t="s">
        <v>429</v>
      </c>
      <c r="M77" s="198"/>
      <c r="N77" s="200"/>
      <c r="O77" s="200" t="s">
        <v>614</v>
      </c>
      <c r="P77" s="210" t="s">
        <v>604</v>
      </c>
      <c r="Q77" s="197" t="s">
        <v>428</v>
      </c>
      <c r="R77" s="197" t="s">
        <v>428</v>
      </c>
      <c r="S77" s="197" t="s">
        <v>428</v>
      </c>
      <c r="T77" s="197" t="s">
        <v>428</v>
      </c>
      <c r="U77" s="197"/>
      <c r="V77" s="197"/>
      <c r="W77" s="197"/>
      <c r="X77" s="197"/>
      <c r="Y77" s="197"/>
      <c r="Z77" s="197"/>
      <c r="AA77" s="197" t="s">
        <v>1</v>
      </c>
      <c r="AB77" s="198" t="s">
        <v>2</v>
      </c>
      <c r="AC77" s="198" t="s">
        <v>615</v>
      </c>
      <c r="AD77" s="197" t="s">
        <v>428</v>
      </c>
      <c r="AE77" s="197">
        <v>380</v>
      </c>
      <c r="AF77" s="197">
        <v>3</v>
      </c>
      <c r="AG77" s="197">
        <v>60</v>
      </c>
      <c r="AH77" s="197" t="s">
        <v>428</v>
      </c>
      <c r="AI77" s="197" t="s">
        <v>428</v>
      </c>
      <c r="AJ77" s="197" t="s">
        <v>1</v>
      </c>
      <c r="AK77" s="197" t="s">
        <v>428</v>
      </c>
      <c r="AL77" s="197" t="s">
        <v>428</v>
      </c>
      <c r="AM77" s="197" t="s">
        <v>428</v>
      </c>
      <c r="AN77" s="197" t="s">
        <v>428</v>
      </c>
      <c r="AO77" s="202"/>
    </row>
    <row r="78" spans="1:259" ht="15" customHeight="1" x14ac:dyDescent="0.2">
      <c r="A78" s="195">
        <v>0</v>
      </c>
      <c r="B78" s="196"/>
      <c r="C78" s="196"/>
      <c r="D78" s="197" t="s">
        <v>428</v>
      </c>
      <c r="E78" s="197" t="s">
        <v>427</v>
      </c>
      <c r="F78" s="197" t="s">
        <v>430</v>
      </c>
      <c r="G78" s="197" t="s">
        <v>427</v>
      </c>
      <c r="H78" s="209" t="s">
        <v>426</v>
      </c>
      <c r="I78" s="197" t="s">
        <v>427</v>
      </c>
      <c r="J78" s="197" t="s">
        <v>427</v>
      </c>
      <c r="K78" s="197">
        <v>1</v>
      </c>
      <c r="L78" s="198" t="s">
        <v>429</v>
      </c>
      <c r="M78" s="198"/>
      <c r="N78" s="200"/>
      <c r="O78" s="200" t="s">
        <v>614</v>
      </c>
      <c r="P78" s="210" t="s">
        <v>537</v>
      </c>
      <c r="Q78" s="197" t="s">
        <v>428</v>
      </c>
      <c r="R78" s="197" t="s">
        <v>428</v>
      </c>
      <c r="S78" s="197" t="s">
        <v>428</v>
      </c>
      <c r="T78" s="197" t="s">
        <v>428</v>
      </c>
      <c r="U78" s="197"/>
      <c r="V78" s="197"/>
      <c r="W78" s="197"/>
      <c r="X78" s="197"/>
      <c r="Y78" s="197"/>
      <c r="Z78" s="197"/>
      <c r="AA78" s="197" t="s">
        <v>1</v>
      </c>
      <c r="AB78" s="198" t="s">
        <v>2</v>
      </c>
      <c r="AC78" s="198" t="s">
        <v>615</v>
      </c>
      <c r="AD78" s="197" t="s">
        <v>428</v>
      </c>
      <c r="AE78" s="197">
        <v>380</v>
      </c>
      <c r="AF78" s="197">
        <v>3</v>
      </c>
      <c r="AG78" s="197">
        <v>60</v>
      </c>
      <c r="AH78" s="197" t="s">
        <v>428</v>
      </c>
      <c r="AI78" s="197" t="s">
        <v>428</v>
      </c>
      <c r="AJ78" s="197" t="s">
        <v>1</v>
      </c>
      <c r="AK78" s="197" t="s">
        <v>428</v>
      </c>
      <c r="AL78" s="197" t="s">
        <v>428</v>
      </c>
      <c r="AM78" s="197" t="s">
        <v>428</v>
      </c>
      <c r="AN78" s="197" t="s">
        <v>428</v>
      </c>
      <c r="AO78" s="202"/>
    </row>
    <row r="79" spans="1:259" ht="15" customHeight="1" x14ac:dyDescent="0.2">
      <c r="A79" s="195">
        <v>0</v>
      </c>
      <c r="B79" s="196"/>
      <c r="C79" s="196"/>
      <c r="D79" s="197" t="s">
        <v>428</v>
      </c>
      <c r="E79" s="197" t="s">
        <v>427</v>
      </c>
      <c r="F79" s="197" t="s">
        <v>430</v>
      </c>
      <c r="G79" s="197" t="s">
        <v>427</v>
      </c>
      <c r="H79" s="209" t="s">
        <v>426</v>
      </c>
      <c r="I79" s="197" t="s">
        <v>427</v>
      </c>
      <c r="J79" s="197" t="s">
        <v>427</v>
      </c>
      <c r="K79" s="197">
        <v>1</v>
      </c>
      <c r="L79" s="198" t="s">
        <v>429</v>
      </c>
      <c r="M79" s="198"/>
      <c r="N79" s="200"/>
      <c r="O79" s="200" t="s">
        <v>614</v>
      </c>
      <c r="P79" s="210" t="s">
        <v>537</v>
      </c>
      <c r="Q79" s="197" t="s">
        <v>428</v>
      </c>
      <c r="R79" s="197" t="s">
        <v>428</v>
      </c>
      <c r="S79" s="197" t="s">
        <v>428</v>
      </c>
      <c r="T79" s="197" t="s">
        <v>428</v>
      </c>
      <c r="U79" s="197"/>
      <c r="V79" s="197"/>
      <c r="W79" s="197"/>
      <c r="X79" s="197"/>
      <c r="Y79" s="197"/>
      <c r="Z79" s="197"/>
      <c r="AA79" s="197" t="s">
        <v>1</v>
      </c>
      <c r="AB79" s="198" t="s">
        <v>2</v>
      </c>
      <c r="AC79" s="198" t="s">
        <v>615</v>
      </c>
      <c r="AD79" s="197" t="s">
        <v>428</v>
      </c>
      <c r="AE79" s="197">
        <v>380</v>
      </c>
      <c r="AF79" s="197">
        <v>3</v>
      </c>
      <c r="AG79" s="197">
        <v>60</v>
      </c>
      <c r="AH79" s="197" t="s">
        <v>428</v>
      </c>
      <c r="AI79" s="197" t="s">
        <v>428</v>
      </c>
      <c r="AJ79" s="197" t="s">
        <v>1</v>
      </c>
      <c r="AK79" s="197" t="s">
        <v>428</v>
      </c>
      <c r="AL79" s="197" t="s">
        <v>428</v>
      </c>
      <c r="AM79" s="197" t="s">
        <v>428</v>
      </c>
      <c r="AN79" s="197" t="s">
        <v>428</v>
      </c>
      <c r="AO79" s="202"/>
    </row>
    <row r="80" spans="1:259" ht="15" customHeight="1" x14ac:dyDescent="0.2">
      <c r="A80" s="195">
        <v>0</v>
      </c>
      <c r="B80" s="196"/>
      <c r="C80" s="196"/>
      <c r="D80" s="197" t="s">
        <v>428</v>
      </c>
      <c r="E80" s="197" t="s">
        <v>427</v>
      </c>
      <c r="F80" s="197" t="s">
        <v>430</v>
      </c>
      <c r="G80" s="197" t="s">
        <v>427</v>
      </c>
      <c r="H80" s="209" t="s">
        <v>563</v>
      </c>
      <c r="I80" s="197" t="s">
        <v>427</v>
      </c>
      <c r="J80" s="197" t="s">
        <v>427</v>
      </c>
      <c r="K80" s="197">
        <v>1</v>
      </c>
      <c r="L80" s="198" t="s">
        <v>429</v>
      </c>
      <c r="M80" s="198"/>
      <c r="N80" s="200"/>
      <c r="O80" s="200" t="s">
        <v>614</v>
      </c>
      <c r="P80" s="210" t="s">
        <v>564</v>
      </c>
      <c r="Q80" s="197" t="s">
        <v>428</v>
      </c>
      <c r="R80" s="197" t="s">
        <v>428</v>
      </c>
      <c r="S80" s="197" t="s">
        <v>428</v>
      </c>
      <c r="T80" s="197" t="s">
        <v>428</v>
      </c>
      <c r="U80" s="197"/>
      <c r="V80" s="197"/>
      <c r="W80" s="197"/>
      <c r="X80" s="197"/>
      <c r="Y80" s="197"/>
      <c r="Z80" s="197"/>
      <c r="AA80" s="197" t="s">
        <v>1</v>
      </c>
      <c r="AB80" s="198" t="s">
        <v>2</v>
      </c>
      <c r="AC80" s="198" t="s">
        <v>615</v>
      </c>
      <c r="AD80" s="197" t="s">
        <v>438</v>
      </c>
      <c r="AE80" s="197" t="s">
        <v>438</v>
      </c>
      <c r="AF80" s="197" t="s">
        <v>438</v>
      </c>
      <c r="AG80" s="197" t="s">
        <v>438</v>
      </c>
      <c r="AH80" s="197" t="s">
        <v>438</v>
      </c>
      <c r="AI80" s="197" t="s">
        <v>438</v>
      </c>
      <c r="AJ80" s="197" t="s">
        <v>438</v>
      </c>
      <c r="AK80" s="197" t="s">
        <v>438</v>
      </c>
      <c r="AL80" s="197" t="s">
        <v>438</v>
      </c>
      <c r="AM80" s="197" t="s">
        <v>428</v>
      </c>
      <c r="AN80" s="197" t="s">
        <v>428</v>
      </c>
      <c r="AO80" s="202"/>
    </row>
    <row r="81" spans="1:41" ht="15" customHeight="1" x14ac:dyDescent="0.2">
      <c r="A81" s="195">
        <v>0</v>
      </c>
      <c r="B81" s="196"/>
      <c r="C81" s="196"/>
      <c r="D81" s="197" t="s">
        <v>428</v>
      </c>
      <c r="E81" s="197" t="s">
        <v>427</v>
      </c>
      <c r="F81" s="197" t="s">
        <v>430</v>
      </c>
      <c r="G81" s="197" t="s">
        <v>427</v>
      </c>
      <c r="H81" s="209" t="s">
        <v>565</v>
      </c>
      <c r="I81" s="197" t="s">
        <v>427</v>
      </c>
      <c r="J81" s="197" t="s">
        <v>427</v>
      </c>
      <c r="K81" s="197">
        <v>1</v>
      </c>
      <c r="L81" s="198" t="s">
        <v>429</v>
      </c>
      <c r="M81" s="198"/>
      <c r="N81" s="200"/>
      <c r="O81" s="200" t="s">
        <v>616</v>
      </c>
      <c r="P81" s="210" t="s">
        <v>617</v>
      </c>
      <c r="Q81" s="197" t="s">
        <v>428</v>
      </c>
      <c r="R81" s="197" t="s">
        <v>428</v>
      </c>
      <c r="S81" s="197" t="s">
        <v>428</v>
      </c>
      <c r="T81" s="197" t="s">
        <v>428</v>
      </c>
      <c r="U81" s="197"/>
      <c r="V81" s="197"/>
      <c r="W81" s="197"/>
      <c r="X81" s="197"/>
      <c r="Y81" s="197"/>
      <c r="Z81" s="197"/>
      <c r="AA81" s="197" t="s">
        <v>1</v>
      </c>
      <c r="AB81" s="198" t="s">
        <v>2</v>
      </c>
      <c r="AC81" s="198" t="s">
        <v>618</v>
      </c>
      <c r="AD81" s="197" t="s">
        <v>438</v>
      </c>
      <c r="AE81" s="197" t="s">
        <v>438</v>
      </c>
      <c r="AF81" s="197" t="s">
        <v>438</v>
      </c>
      <c r="AG81" s="197" t="s">
        <v>438</v>
      </c>
      <c r="AH81" s="197" t="s">
        <v>438</v>
      </c>
      <c r="AI81" s="197" t="s">
        <v>438</v>
      </c>
      <c r="AJ81" s="197" t="s">
        <v>438</v>
      </c>
      <c r="AK81" s="197" t="s">
        <v>438</v>
      </c>
      <c r="AL81" s="197" t="s">
        <v>438</v>
      </c>
      <c r="AM81" s="197" t="s">
        <v>428</v>
      </c>
      <c r="AN81" s="197" t="s">
        <v>428</v>
      </c>
      <c r="AO81" s="202"/>
    </row>
    <row r="82" spans="1:41" ht="15" customHeight="1" x14ac:dyDescent="0.2">
      <c r="A82" s="195">
        <v>0</v>
      </c>
      <c r="B82" s="196"/>
      <c r="C82" s="196"/>
      <c r="D82" s="197" t="s">
        <v>428</v>
      </c>
      <c r="E82" s="197" t="s">
        <v>427</v>
      </c>
      <c r="F82" s="197" t="s">
        <v>430</v>
      </c>
      <c r="G82" s="197" t="s">
        <v>427</v>
      </c>
      <c r="H82" s="209" t="s">
        <v>565</v>
      </c>
      <c r="I82" s="197" t="s">
        <v>427</v>
      </c>
      <c r="J82" s="197" t="s">
        <v>427</v>
      </c>
      <c r="K82" s="197">
        <v>1</v>
      </c>
      <c r="L82" s="198" t="s">
        <v>429</v>
      </c>
      <c r="M82" s="198"/>
      <c r="N82" s="200"/>
      <c r="O82" s="200" t="s">
        <v>616</v>
      </c>
      <c r="P82" s="210" t="s">
        <v>619</v>
      </c>
      <c r="Q82" s="197" t="s">
        <v>428</v>
      </c>
      <c r="R82" s="197" t="s">
        <v>428</v>
      </c>
      <c r="S82" s="197" t="s">
        <v>428</v>
      </c>
      <c r="T82" s="197" t="s">
        <v>428</v>
      </c>
      <c r="U82" s="197"/>
      <c r="V82" s="197"/>
      <c r="W82" s="197"/>
      <c r="X82" s="197"/>
      <c r="Y82" s="197"/>
      <c r="Z82" s="197"/>
      <c r="AA82" s="197" t="s">
        <v>1</v>
      </c>
      <c r="AB82" s="198" t="s">
        <v>2</v>
      </c>
      <c r="AC82" s="198" t="s">
        <v>618</v>
      </c>
      <c r="AD82" s="197" t="s">
        <v>438</v>
      </c>
      <c r="AE82" s="197" t="s">
        <v>438</v>
      </c>
      <c r="AF82" s="197" t="s">
        <v>438</v>
      </c>
      <c r="AG82" s="197" t="s">
        <v>438</v>
      </c>
      <c r="AH82" s="197" t="s">
        <v>438</v>
      </c>
      <c r="AI82" s="197" t="s">
        <v>438</v>
      </c>
      <c r="AJ82" s="197" t="s">
        <v>438</v>
      </c>
      <c r="AK82" s="197" t="s">
        <v>438</v>
      </c>
      <c r="AL82" s="197" t="s">
        <v>438</v>
      </c>
      <c r="AM82" s="197" t="s">
        <v>428</v>
      </c>
      <c r="AN82" s="197" t="s">
        <v>428</v>
      </c>
      <c r="AO82" s="202"/>
    </row>
    <row r="83" spans="1:41" ht="15" customHeight="1" x14ac:dyDescent="0.2">
      <c r="A83" s="195">
        <v>0</v>
      </c>
      <c r="B83" s="196"/>
      <c r="C83" s="196"/>
      <c r="D83" s="197" t="s">
        <v>428</v>
      </c>
      <c r="E83" s="197" t="s">
        <v>427</v>
      </c>
      <c r="F83" s="197" t="s">
        <v>430</v>
      </c>
      <c r="G83" s="197" t="s">
        <v>427</v>
      </c>
      <c r="H83" s="209" t="s">
        <v>426</v>
      </c>
      <c r="I83" s="197" t="s">
        <v>427</v>
      </c>
      <c r="J83" s="197" t="s">
        <v>427</v>
      </c>
      <c r="K83" s="197">
        <v>1</v>
      </c>
      <c r="L83" s="198" t="s">
        <v>429</v>
      </c>
      <c r="M83" s="198"/>
      <c r="N83" s="200"/>
      <c r="O83" s="200" t="s">
        <v>616</v>
      </c>
      <c r="P83" s="210" t="s">
        <v>620</v>
      </c>
      <c r="Q83" s="197" t="s">
        <v>428</v>
      </c>
      <c r="R83" s="197" t="s">
        <v>428</v>
      </c>
      <c r="S83" s="197" t="s">
        <v>428</v>
      </c>
      <c r="T83" s="197" t="s">
        <v>428</v>
      </c>
      <c r="U83" s="197"/>
      <c r="V83" s="197"/>
      <c r="W83" s="197"/>
      <c r="X83" s="197"/>
      <c r="Y83" s="197"/>
      <c r="Z83" s="197"/>
      <c r="AA83" s="197" t="s">
        <v>1</v>
      </c>
      <c r="AB83" s="198" t="s">
        <v>2</v>
      </c>
      <c r="AC83" s="198" t="s">
        <v>618</v>
      </c>
      <c r="AD83" s="197" t="s">
        <v>428</v>
      </c>
      <c r="AE83" s="197">
        <v>380</v>
      </c>
      <c r="AF83" s="197">
        <v>3</v>
      </c>
      <c r="AG83" s="197">
        <v>60</v>
      </c>
      <c r="AH83" s="197" t="s">
        <v>428</v>
      </c>
      <c r="AI83" s="197" t="s">
        <v>428</v>
      </c>
      <c r="AJ83" s="197" t="s">
        <v>1</v>
      </c>
      <c r="AK83" s="197" t="s">
        <v>428</v>
      </c>
      <c r="AL83" s="197" t="s">
        <v>428</v>
      </c>
      <c r="AM83" s="197" t="s">
        <v>428</v>
      </c>
      <c r="AN83" s="197" t="s">
        <v>428</v>
      </c>
      <c r="AO83" s="202"/>
    </row>
    <row r="84" spans="1:41" ht="15" customHeight="1" x14ac:dyDescent="0.2">
      <c r="A84" s="195">
        <v>0</v>
      </c>
      <c r="B84" s="196"/>
      <c r="C84" s="196"/>
      <c r="D84" s="197" t="s">
        <v>428</v>
      </c>
      <c r="E84" s="197" t="s">
        <v>427</v>
      </c>
      <c r="F84" s="197" t="s">
        <v>430</v>
      </c>
      <c r="G84" s="197" t="s">
        <v>427</v>
      </c>
      <c r="H84" s="209" t="s">
        <v>426</v>
      </c>
      <c r="I84" s="197" t="s">
        <v>427</v>
      </c>
      <c r="J84" s="197" t="s">
        <v>427</v>
      </c>
      <c r="K84" s="197">
        <v>1</v>
      </c>
      <c r="L84" s="198" t="s">
        <v>429</v>
      </c>
      <c r="M84" s="198"/>
      <c r="N84" s="200"/>
      <c r="O84" s="200" t="s">
        <v>616</v>
      </c>
      <c r="P84" s="210" t="s">
        <v>620</v>
      </c>
      <c r="Q84" s="197" t="s">
        <v>428</v>
      </c>
      <c r="R84" s="197" t="s">
        <v>428</v>
      </c>
      <c r="S84" s="197" t="s">
        <v>428</v>
      </c>
      <c r="T84" s="197" t="s">
        <v>428</v>
      </c>
      <c r="U84" s="197"/>
      <c r="V84" s="197"/>
      <c r="W84" s="197"/>
      <c r="X84" s="197"/>
      <c r="Y84" s="197"/>
      <c r="Z84" s="197"/>
      <c r="AA84" s="197" t="s">
        <v>1</v>
      </c>
      <c r="AB84" s="198" t="s">
        <v>2</v>
      </c>
      <c r="AC84" s="198" t="s">
        <v>618</v>
      </c>
      <c r="AD84" s="197" t="s">
        <v>428</v>
      </c>
      <c r="AE84" s="197">
        <v>380</v>
      </c>
      <c r="AF84" s="197">
        <v>3</v>
      </c>
      <c r="AG84" s="197">
        <v>60</v>
      </c>
      <c r="AH84" s="197" t="s">
        <v>428</v>
      </c>
      <c r="AI84" s="197" t="s">
        <v>428</v>
      </c>
      <c r="AJ84" s="197" t="s">
        <v>1</v>
      </c>
      <c r="AK84" s="197" t="s">
        <v>428</v>
      </c>
      <c r="AL84" s="197" t="s">
        <v>428</v>
      </c>
      <c r="AM84" s="197" t="s">
        <v>428</v>
      </c>
      <c r="AN84" s="197" t="s">
        <v>428</v>
      </c>
      <c r="AO84" s="202"/>
    </row>
    <row r="85" spans="1:41" ht="15" customHeight="1" x14ac:dyDescent="0.2">
      <c r="A85" s="195">
        <v>0</v>
      </c>
      <c r="B85" s="196"/>
      <c r="C85" s="196"/>
      <c r="D85" s="197" t="s">
        <v>428</v>
      </c>
      <c r="E85" s="197" t="s">
        <v>427</v>
      </c>
      <c r="F85" s="197" t="s">
        <v>430</v>
      </c>
      <c r="G85" s="197" t="s">
        <v>427</v>
      </c>
      <c r="H85" s="209" t="s">
        <v>426</v>
      </c>
      <c r="I85" s="197" t="s">
        <v>427</v>
      </c>
      <c r="J85" s="197" t="s">
        <v>427</v>
      </c>
      <c r="K85" s="197">
        <v>1</v>
      </c>
      <c r="L85" s="198" t="s">
        <v>429</v>
      </c>
      <c r="M85" s="198"/>
      <c r="N85" s="200"/>
      <c r="O85" s="200" t="s">
        <v>616</v>
      </c>
      <c r="P85" s="210" t="s">
        <v>621</v>
      </c>
      <c r="Q85" s="197" t="s">
        <v>428</v>
      </c>
      <c r="R85" s="197" t="s">
        <v>428</v>
      </c>
      <c r="S85" s="197" t="s">
        <v>428</v>
      </c>
      <c r="T85" s="197" t="s">
        <v>428</v>
      </c>
      <c r="U85" s="197"/>
      <c r="V85" s="197"/>
      <c r="W85" s="197"/>
      <c r="X85" s="197"/>
      <c r="Y85" s="197"/>
      <c r="Z85" s="197"/>
      <c r="AA85" s="197" t="s">
        <v>1</v>
      </c>
      <c r="AB85" s="198" t="s">
        <v>2</v>
      </c>
      <c r="AC85" s="198" t="s">
        <v>618</v>
      </c>
      <c r="AD85" s="197" t="s">
        <v>428</v>
      </c>
      <c r="AE85" s="197">
        <v>380</v>
      </c>
      <c r="AF85" s="197">
        <v>3</v>
      </c>
      <c r="AG85" s="197">
        <v>60</v>
      </c>
      <c r="AH85" s="197" t="s">
        <v>428</v>
      </c>
      <c r="AI85" s="197" t="s">
        <v>428</v>
      </c>
      <c r="AJ85" s="197" t="s">
        <v>1</v>
      </c>
      <c r="AK85" s="197" t="s">
        <v>428</v>
      </c>
      <c r="AL85" s="197" t="s">
        <v>428</v>
      </c>
      <c r="AM85" s="197" t="s">
        <v>428</v>
      </c>
      <c r="AN85" s="197" t="s">
        <v>428</v>
      </c>
      <c r="AO85" s="202"/>
    </row>
    <row r="86" spans="1:41" ht="15" customHeight="1" x14ac:dyDescent="0.2">
      <c r="A86" s="195">
        <v>0</v>
      </c>
      <c r="B86" s="196"/>
      <c r="C86" s="196"/>
      <c r="D86" s="197" t="s">
        <v>428</v>
      </c>
      <c r="E86" s="197" t="s">
        <v>427</v>
      </c>
      <c r="F86" s="197" t="s">
        <v>430</v>
      </c>
      <c r="G86" s="197" t="s">
        <v>427</v>
      </c>
      <c r="H86" s="209" t="s">
        <v>426</v>
      </c>
      <c r="I86" s="197" t="s">
        <v>427</v>
      </c>
      <c r="J86" s="197" t="s">
        <v>427</v>
      </c>
      <c r="K86" s="197">
        <v>1</v>
      </c>
      <c r="L86" s="198" t="s">
        <v>429</v>
      </c>
      <c r="M86" s="198"/>
      <c r="N86" s="200"/>
      <c r="O86" s="200" t="s">
        <v>616</v>
      </c>
      <c r="P86" s="210" t="s">
        <v>621</v>
      </c>
      <c r="Q86" s="197" t="s">
        <v>428</v>
      </c>
      <c r="R86" s="197" t="s">
        <v>428</v>
      </c>
      <c r="S86" s="197" t="s">
        <v>428</v>
      </c>
      <c r="T86" s="197" t="s">
        <v>428</v>
      </c>
      <c r="U86" s="197"/>
      <c r="V86" s="197"/>
      <c r="W86" s="197"/>
      <c r="X86" s="197"/>
      <c r="Y86" s="197"/>
      <c r="Z86" s="197"/>
      <c r="AA86" s="197" t="s">
        <v>1</v>
      </c>
      <c r="AB86" s="198" t="s">
        <v>2</v>
      </c>
      <c r="AC86" s="198" t="s">
        <v>618</v>
      </c>
      <c r="AD86" s="197" t="s">
        <v>428</v>
      </c>
      <c r="AE86" s="197">
        <v>380</v>
      </c>
      <c r="AF86" s="197">
        <v>3</v>
      </c>
      <c r="AG86" s="197">
        <v>60</v>
      </c>
      <c r="AH86" s="197" t="s">
        <v>428</v>
      </c>
      <c r="AI86" s="197" t="s">
        <v>428</v>
      </c>
      <c r="AJ86" s="197" t="s">
        <v>1</v>
      </c>
      <c r="AK86" s="197" t="s">
        <v>428</v>
      </c>
      <c r="AL86" s="197" t="s">
        <v>428</v>
      </c>
      <c r="AM86" s="197" t="s">
        <v>428</v>
      </c>
      <c r="AN86" s="197" t="s">
        <v>428</v>
      </c>
      <c r="AO86" s="202"/>
    </row>
    <row r="87" spans="1:41" ht="15" customHeight="1" x14ac:dyDescent="0.2">
      <c r="A87" s="195">
        <v>0</v>
      </c>
      <c r="B87" s="196"/>
      <c r="C87" s="196"/>
      <c r="D87" s="197" t="s">
        <v>428</v>
      </c>
      <c r="E87" s="197" t="s">
        <v>427</v>
      </c>
      <c r="F87" s="197" t="s">
        <v>430</v>
      </c>
      <c r="G87" s="197" t="s">
        <v>427</v>
      </c>
      <c r="H87" s="209" t="s">
        <v>563</v>
      </c>
      <c r="I87" s="197" t="s">
        <v>427</v>
      </c>
      <c r="J87" s="197" t="s">
        <v>427</v>
      </c>
      <c r="K87" s="197">
        <v>1</v>
      </c>
      <c r="L87" s="198" t="s">
        <v>429</v>
      </c>
      <c r="M87" s="198"/>
      <c r="N87" s="200"/>
      <c r="O87" s="200" t="s">
        <v>616</v>
      </c>
      <c r="P87" s="210" t="s">
        <v>622</v>
      </c>
      <c r="Q87" s="197" t="s">
        <v>428</v>
      </c>
      <c r="R87" s="197" t="s">
        <v>428</v>
      </c>
      <c r="S87" s="197" t="s">
        <v>428</v>
      </c>
      <c r="T87" s="197" t="s">
        <v>428</v>
      </c>
      <c r="U87" s="197"/>
      <c r="V87" s="197"/>
      <c r="W87" s="197"/>
      <c r="X87" s="197"/>
      <c r="Y87" s="197"/>
      <c r="Z87" s="197"/>
      <c r="AA87" s="197" t="s">
        <v>1</v>
      </c>
      <c r="AB87" s="198" t="s">
        <v>2</v>
      </c>
      <c r="AC87" s="198" t="s">
        <v>618</v>
      </c>
      <c r="AD87" s="197" t="s">
        <v>428</v>
      </c>
      <c r="AE87" s="197">
        <v>380</v>
      </c>
      <c r="AF87" s="197">
        <v>3</v>
      </c>
      <c r="AG87" s="197">
        <v>60</v>
      </c>
      <c r="AH87" s="197" t="s">
        <v>428</v>
      </c>
      <c r="AI87" s="197" t="s">
        <v>428</v>
      </c>
      <c r="AJ87" s="197" t="s">
        <v>1</v>
      </c>
      <c r="AK87" s="197" t="s">
        <v>428</v>
      </c>
      <c r="AL87" s="197" t="s">
        <v>428</v>
      </c>
      <c r="AM87" s="197" t="s">
        <v>428</v>
      </c>
      <c r="AN87" s="197" t="s">
        <v>428</v>
      </c>
      <c r="AO87" s="216" t="s">
        <v>623</v>
      </c>
    </row>
  </sheetData>
  <autoFilter ref="A2:IY87" xr:uid="{00000000-0001-0000-0100-000000000000}"/>
  <mergeCells count="36">
    <mergeCell ref="IB1:IY1"/>
    <mergeCell ref="BV1:BY1"/>
    <mergeCell ref="BZ1:CC1"/>
    <mergeCell ref="CD1:CG1"/>
    <mergeCell ref="CH1:CJ1"/>
    <mergeCell ref="CK1:CM1"/>
    <mergeCell ref="CN1:DK1"/>
    <mergeCell ref="DL1:EI1"/>
    <mergeCell ref="EJ1:FG1"/>
    <mergeCell ref="FH1:GE1"/>
    <mergeCell ref="GF1:HC1"/>
    <mergeCell ref="HD1:IA1"/>
    <mergeCell ref="BR1:BU1"/>
    <mergeCell ref="AD1:AJ1"/>
    <mergeCell ref="AK1:AL1"/>
    <mergeCell ref="AM1:AN1"/>
    <mergeCell ref="AP1:AS1"/>
    <mergeCell ref="AT1:AW1"/>
    <mergeCell ref="AX1:BA1"/>
    <mergeCell ref="BB1:BD1"/>
    <mergeCell ref="BE1:BG1"/>
    <mergeCell ref="BH1:BJ1"/>
    <mergeCell ref="BK1:BM1"/>
    <mergeCell ref="BN1:BQ1"/>
    <mergeCell ref="AA1:AA2"/>
    <mergeCell ref="A1:A2"/>
    <mergeCell ref="D1:L1"/>
    <mergeCell ref="Q1:Q2"/>
    <mergeCell ref="R1:R2"/>
    <mergeCell ref="S1:S2"/>
    <mergeCell ref="T1:T2"/>
    <mergeCell ref="U1:U2"/>
    <mergeCell ref="V1:V2"/>
    <mergeCell ref="X1:X2"/>
    <mergeCell ref="Y1:Y2"/>
    <mergeCell ref="Z1:Z2"/>
  </mergeCells>
  <printOptions horizontalCentered="1"/>
  <pageMargins left="0.39370078740157483" right="0.39370078740157483" top="0.77517361111111116" bottom="0.39370078740157483" header="0.31496062992125984" footer="0.11811023622047245"/>
  <pageSetup paperSize="8" scale="53" fitToHeight="0" orientation="landscape" r:id="rId1"/>
  <headerFooter>
    <oddHeader xml:space="preserve">&amp;L&amp;G
&amp;"Arial,Normal"&amp;10Lista de Equipamentos
Projeto N°: 2022-00025&amp;R&amp;G
&amp;"Arial,Normal"&amp;10 9999-1002-LEQ-16U-01
Revisão: 0
Projeto: BELLY NESTLÉ
</oddHeader>
    <oddFooter xml:space="preserve">&amp;L&amp;"Arial,Normal"NKBR1-0000-EM-TMP-025, rev.01&amp;R&amp;"Arial,Normal"&amp;10
&amp;P/&amp;N </oddFoot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5F345-D6BA-4DB0-A5B9-50DEA94466C0}">
  <dimension ref="A1:J33"/>
  <sheetViews>
    <sheetView workbookViewId="0">
      <selection activeCell="K30" sqref="K30"/>
    </sheetView>
  </sheetViews>
  <sheetFormatPr defaultColWidth="9.109375" defaultRowHeight="14.4" x14ac:dyDescent="0.3"/>
  <cols>
    <col min="1" max="16384" width="9.109375" style="167"/>
  </cols>
  <sheetData>
    <row r="1" spans="1:10" x14ac:dyDescent="0.3">
      <c r="A1" s="172"/>
      <c r="B1" s="172"/>
      <c r="C1" s="172"/>
      <c r="D1" s="172"/>
      <c r="E1" s="172"/>
      <c r="F1" s="172"/>
      <c r="G1" s="172"/>
      <c r="H1" s="172"/>
      <c r="I1" s="172"/>
      <c r="J1" s="172"/>
    </row>
    <row r="2" spans="1:10" x14ac:dyDescent="0.3">
      <c r="A2" s="548" t="s">
        <v>12</v>
      </c>
      <c r="B2" s="548"/>
      <c r="C2" s="548"/>
      <c r="D2" s="548"/>
      <c r="E2" s="548"/>
      <c r="F2" s="548"/>
      <c r="G2" s="548"/>
      <c r="H2" s="548"/>
      <c r="I2" s="548"/>
      <c r="J2" s="548"/>
    </row>
    <row r="3" spans="1:10" x14ac:dyDescent="0.3">
      <c r="A3" s="548" t="s">
        <v>13</v>
      </c>
      <c r="B3" s="548"/>
      <c r="C3" s="549" t="s">
        <v>14</v>
      </c>
      <c r="D3" s="549"/>
      <c r="E3" s="549"/>
      <c r="F3" s="549"/>
      <c r="G3" s="549"/>
      <c r="H3" s="549"/>
      <c r="I3" s="549"/>
      <c r="J3" s="549"/>
    </row>
    <row r="4" spans="1:10" x14ac:dyDescent="0.3">
      <c r="A4" s="548"/>
      <c r="B4" s="548"/>
      <c r="C4" s="548" t="s">
        <v>15</v>
      </c>
      <c r="D4" s="548"/>
      <c r="E4" s="548" t="s">
        <v>16</v>
      </c>
      <c r="F4" s="548"/>
      <c r="G4" s="548" t="s">
        <v>17</v>
      </c>
      <c r="H4" s="548"/>
      <c r="I4" s="548" t="s">
        <v>18</v>
      </c>
      <c r="J4" s="548"/>
    </row>
    <row r="5" spans="1:10" x14ac:dyDescent="0.3">
      <c r="A5" s="548"/>
      <c r="B5" s="548"/>
      <c r="C5" s="548"/>
      <c r="D5" s="548"/>
      <c r="E5" s="548"/>
      <c r="F5" s="548"/>
      <c r="G5" s="548"/>
      <c r="H5" s="548"/>
      <c r="I5" s="548"/>
      <c r="J5" s="548"/>
    </row>
    <row r="6" spans="1:10" x14ac:dyDescent="0.3">
      <c r="A6" s="549" t="s">
        <v>19</v>
      </c>
      <c r="B6" s="549" t="s">
        <v>20</v>
      </c>
      <c r="C6" s="549" t="s">
        <v>21</v>
      </c>
      <c r="D6" s="549" t="s">
        <v>22</v>
      </c>
      <c r="E6" s="549" t="s">
        <v>21</v>
      </c>
      <c r="F6" s="549" t="s">
        <v>22</v>
      </c>
      <c r="G6" s="549" t="s">
        <v>21</v>
      </c>
      <c r="H6" s="549" t="s">
        <v>22</v>
      </c>
      <c r="I6" s="549" t="s">
        <v>21</v>
      </c>
      <c r="J6" s="549" t="s">
        <v>22</v>
      </c>
    </row>
    <row r="7" spans="1:10" x14ac:dyDescent="0.3">
      <c r="A7" s="549"/>
      <c r="B7" s="549"/>
      <c r="C7" s="549"/>
      <c r="D7" s="549"/>
      <c r="E7" s="549"/>
      <c r="F7" s="549"/>
      <c r="G7" s="549"/>
      <c r="H7" s="549"/>
      <c r="I7" s="549"/>
      <c r="J7" s="549"/>
    </row>
    <row r="8" spans="1:10" x14ac:dyDescent="0.3">
      <c r="A8" s="170">
        <v>0.75</v>
      </c>
      <c r="B8" s="170">
        <v>1</v>
      </c>
      <c r="C8" s="169">
        <v>80.099999999999994</v>
      </c>
      <c r="D8" s="169">
        <v>0.81</v>
      </c>
      <c r="E8" s="169">
        <v>82.7</v>
      </c>
      <c r="F8" s="169">
        <v>0.68</v>
      </c>
      <c r="G8" s="169">
        <v>80</v>
      </c>
      <c r="H8" s="169">
        <v>0.63</v>
      </c>
      <c r="I8" s="169">
        <v>70</v>
      </c>
      <c r="J8" s="169">
        <v>0.6</v>
      </c>
    </row>
    <row r="9" spans="1:10" x14ac:dyDescent="0.3">
      <c r="A9" s="170">
        <v>1.1000000000000001</v>
      </c>
      <c r="B9" s="170">
        <v>1.5</v>
      </c>
      <c r="C9" s="169">
        <v>82.5</v>
      </c>
      <c r="D9" s="169">
        <v>0.87</v>
      </c>
      <c r="E9" s="169">
        <v>81.5</v>
      </c>
      <c r="F9" s="169">
        <v>0.68</v>
      </c>
      <c r="G9" s="169">
        <v>77</v>
      </c>
      <c r="H9" s="169">
        <v>0.68</v>
      </c>
      <c r="I9" s="169">
        <v>77</v>
      </c>
      <c r="J9" s="169">
        <v>0.6</v>
      </c>
    </row>
    <row r="10" spans="1:10" x14ac:dyDescent="0.3">
      <c r="A10" s="170">
        <v>1.5</v>
      </c>
      <c r="B10" s="170">
        <v>2</v>
      </c>
      <c r="C10" s="169">
        <v>84</v>
      </c>
      <c r="D10" s="169">
        <v>0.84</v>
      </c>
      <c r="E10" s="169">
        <v>84.2</v>
      </c>
      <c r="F10" s="169">
        <v>0.76</v>
      </c>
      <c r="G10" s="169">
        <v>83</v>
      </c>
      <c r="H10" s="169">
        <v>0.65</v>
      </c>
      <c r="I10" s="169">
        <v>82.5</v>
      </c>
      <c r="J10" s="169">
        <v>0.61</v>
      </c>
    </row>
    <row r="11" spans="1:10" x14ac:dyDescent="0.3">
      <c r="A11" s="170">
        <v>2.2000000000000002</v>
      </c>
      <c r="B11" s="170">
        <v>3</v>
      </c>
      <c r="C11" s="169">
        <v>85.1</v>
      </c>
      <c r="D11" s="169">
        <v>0.86</v>
      </c>
      <c r="E11" s="169">
        <v>85.1</v>
      </c>
      <c r="F11" s="169">
        <v>0.79</v>
      </c>
      <c r="G11" s="169">
        <v>83</v>
      </c>
      <c r="H11" s="169">
        <v>0.69</v>
      </c>
      <c r="I11" s="169">
        <v>84</v>
      </c>
      <c r="J11" s="169">
        <v>0.61</v>
      </c>
    </row>
    <row r="12" spans="1:10" x14ac:dyDescent="0.3">
      <c r="A12" s="170">
        <v>3</v>
      </c>
      <c r="B12" s="170">
        <v>4</v>
      </c>
      <c r="C12" s="169">
        <v>85.1</v>
      </c>
      <c r="D12" s="169">
        <v>0.92</v>
      </c>
      <c r="E12" s="169">
        <v>86</v>
      </c>
      <c r="F12" s="169">
        <v>0.79</v>
      </c>
      <c r="G12" s="169">
        <v>85</v>
      </c>
      <c r="H12" s="169">
        <v>0.71</v>
      </c>
      <c r="I12" s="169">
        <v>84.5</v>
      </c>
      <c r="J12" s="169">
        <v>0.62</v>
      </c>
    </row>
    <row r="13" spans="1:10" x14ac:dyDescent="0.3">
      <c r="A13" s="170">
        <v>3.7</v>
      </c>
      <c r="B13" s="170">
        <v>5</v>
      </c>
      <c r="C13" s="169">
        <v>87.6</v>
      </c>
      <c r="D13" s="169">
        <v>0.85</v>
      </c>
      <c r="E13" s="169">
        <v>87.5</v>
      </c>
      <c r="F13" s="169">
        <v>0.78</v>
      </c>
      <c r="G13" s="169">
        <v>87.5</v>
      </c>
      <c r="H13" s="169">
        <v>0.73</v>
      </c>
      <c r="I13" s="169">
        <v>85.5</v>
      </c>
      <c r="J13" s="169">
        <v>0.62</v>
      </c>
    </row>
    <row r="14" spans="1:10" x14ac:dyDescent="0.3">
      <c r="A14" s="170">
        <v>4.5</v>
      </c>
      <c r="B14" s="170">
        <v>6</v>
      </c>
      <c r="C14" s="169">
        <v>88</v>
      </c>
      <c r="D14" s="169">
        <v>0.9</v>
      </c>
      <c r="E14" s="169">
        <v>88.5</v>
      </c>
      <c r="F14" s="169">
        <v>0.81</v>
      </c>
      <c r="G14" s="169">
        <v>87.5</v>
      </c>
      <c r="H14" s="169">
        <v>0.75</v>
      </c>
      <c r="I14" s="169">
        <v>85.5</v>
      </c>
      <c r="J14" s="169">
        <v>0.62</v>
      </c>
    </row>
    <row r="15" spans="1:10" x14ac:dyDescent="0.3">
      <c r="A15" s="170">
        <v>5.5</v>
      </c>
      <c r="B15" s="170">
        <v>7.5</v>
      </c>
      <c r="C15" s="169">
        <v>88.8</v>
      </c>
      <c r="D15" s="169">
        <v>0.85</v>
      </c>
      <c r="E15" s="169">
        <v>89.5</v>
      </c>
      <c r="F15" s="169">
        <v>0.81</v>
      </c>
      <c r="G15" s="169">
        <v>88</v>
      </c>
      <c r="H15" s="169">
        <v>0.71</v>
      </c>
      <c r="I15" s="169">
        <v>85.5</v>
      </c>
      <c r="J15" s="169">
        <v>0.62</v>
      </c>
    </row>
    <row r="16" spans="1:10" x14ac:dyDescent="0.3">
      <c r="A16" s="170">
        <v>7.5</v>
      </c>
      <c r="B16" s="170">
        <v>10</v>
      </c>
      <c r="C16" s="169">
        <v>89.5</v>
      </c>
      <c r="D16" s="169">
        <v>0.85</v>
      </c>
      <c r="E16" s="169">
        <v>90</v>
      </c>
      <c r="F16" s="169">
        <v>0.83</v>
      </c>
      <c r="G16" s="169">
        <v>88.5</v>
      </c>
      <c r="H16" s="169">
        <v>0.74</v>
      </c>
      <c r="I16" s="169">
        <v>88.5</v>
      </c>
      <c r="J16" s="169">
        <v>0.66</v>
      </c>
    </row>
    <row r="17" spans="1:10" x14ac:dyDescent="0.3">
      <c r="A17" s="170">
        <v>9</v>
      </c>
      <c r="B17" s="170">
        <v>12.5</v>
      </c>
      <c r="C17" s="169">
        <v>89.5</v>
      </c>
      <c r="D17" s="169">
        <v>0.9</v>
      </c>
      <c r="E17" s="169">
        <v>90</v>
      </c>
      <c r="F17" s="169">
        <v>0.82</v>
      </c>
      <c r="G17" s="169">
        <v>88.5</v>
      </c>
      <c r="H17" s="169">
        <v>0.76</v>
      </c>
      <c r="I17" s="169">
        <v>88.5</v>
      </c>
      <c r="J17" s="169">
        <v>0.74</v>
      </c>
    </row>
    <row r="18" spans="1:10" x14ac:dyDescent="0.3">
      <c r="A18" s="170">
        <v>11</v>
      </c>
      <c r="B18" s="170">
        <v>15</v>
      </c>
      <c r="C18" s="169">
        <v>90.2</v>
      </c>
      <c r="D18" s="169">
        <v>0.88</v>
      </c>
      <c r="E18" s="169">
        <v>91</v>
      </c>
      <c r="F18" s="169">
        <v>0.82</v>
      </c>
      <c r="G18" s="169">
        <v>90.2</v>
      </c>
      <c r="H18" s="169">
        <v>0.77</v>
      </c>
      <c r="I18" s="169">
        <v>88.5</v>
      </c>
      <c r="J18" s="169">
        <v>0.74</v>
      </c>
    </row>
    <row r="19" spans="1:10" x14ac:dyDescent="0.3">
      <c r="A19" s="170">
        <v>15</v>
      </c>
      <c r="B19" s="170">
        <v>20</v>
      </c>
      <c r="C19" s="169">
        <v>90.2</v>
      </c>
      <c r="D19" s="169">
        <v>0.85</v>
      </c>
      <c r="E19" s="169">
        <v>91</v>
      </c>
      <c r="F19" s="169">
        <v>0.87</v>
      </c>
      <c r="G19" s="169">
        <v>90.2</v>
      </c>
      <c r="H19" s="169">
        <v>0.79</v>
      </c>
      <c r="I19" s="169">
        <v>89.5</v>
      </c>
      <c r="J19" s="169">
        <v>0.81</v>
      </c>
    </row>
    <row r="20" spans="1:10" x14ac:dyDescent="0.3">
      <c r="A20" s="170">
        <v>18.5</v>
      </c>
      <c r="B20" s="170">
        <v>25</v>
      </c>
      <c r="C20" s="169">
        <v>91</v>
      </c>
      <c r="D20" s="169">
        <v>0.88</v>
      </c>
      <c r="E20" s="169">
        <v>92.4</v>
      </c>
      <c r="F20" s="169">
        <v>0.89</v>
      </c>
      <c r="G20" s="169">
        <v>91.7</v>
      </c>
      <c r="H20" s="169">
        <v>0.82</v>
      </c>
      <c r="I20" s="169">
        <v>89.5</v>
      </c>
      <c r="J20" s="169">
        <v>0.76</v>
      </c>
    </row>
    <row r="21" spans="1:10" x14ac:dyDescent="0.3">
      <c r="A21" s="170">
        <v>22</v>
      </c>
      <c r="B21" s="170">
        <v>30</v>
      </c>
      <c r="C21" s="169">
        <v>91</v>
      </c>
      <c r="D21" s="169">
        <v>0.9</v>
      </c>
      <c r="E21" s="169">
        <v>92.4</v>
      </c>
      <c r="F21" s="169">
        <v>0.85</v>
      </c>
      <c r="G21" s="169">
        <v>91.7</v>
      </c>
      <c r="H21" s="169">
        <v>0.81</v>
      </c>
      <c r="I21" s="169">
        <v>91</v>
      </c>
      <c r="J21" s="169">
        <v>0.73</v>
      </c>
    </row>
    <row r="22" spans="1:10" x14ac:dyDescent="0.3">
      <c r="A22" s="170">
        <v>30</v>
      </c>
      <c r="B22" s="170">
        <v>40</v>
      </c>
      <c r="C22" s="169">
        <v>91.7</v>
      </c>
      <c r="D22" s="169">
        <v>0.92</v>
      </c>
      <c r="E22" s="169">
        <v>93</v>
      </c>
      <c r="F22" s="169">
        <v>0.88</v>
      </c>
      <c r="G22" s="169">
        <v>93</v>
      </c>
      <c r="H22" s="169">
        <v>0.78</v>
      </c>
      <c r="I22" s="169">
        <v>91</v>
      </c>
      <c r="J22" s="169">
        <v>0.75</v>
      </c>
    </row>
    <row r="23" spans="1:10" x14ac:dyDescent="0.3">
      <c r="A23" s="170">
        <v>37</v>
      </c>
      <c r="B23" s="170">
        <v>50</v>
      </c>
      <c r="C23" s="169">
        <v>92.4</v>
      </c>
      <c r="D23" s="169">
        <v>0.92</v>
      </c>
      <c r="E23" s="169">
        <v>93</v>
      </c>
      <c r="F23" s="169">
        <v>0.9</v>
      </c>
      <c r="G23" s="169">
        <v>93</v>
      </c>
      <c r="H23" s="169">
        <v>0.8</v>
      </c>
      <c r="I23" s="169">
        <v>91.7</v>
      </c>
      <c r="J23" s="169">
        <v>0.77</v>
      </c>
    </row>
    <row r="24" spans="1:10" x14ac:dyDescent="0.3">
      <c r="A24" s="170">
        <v>45</v>
      </c>
      <c r="B24" s="170">
        <v>60</v>
      </c>
      <c r="C24" s="169">
        <v>93</v>
      </c>
      <c r="D24" s="169">
        <v>0.94</v>
      </c>
      <c r="E24" s="169">
        <v>93.6</v>
      </c>
      <c r="F24" s="169">
        <v>0.89</v>
      </c>
      <c r="G24" s="169">
        <v>93.6</v>
      </c>
      <c r="H24" s="169">
        <v>0.86</v>
      </c>
      <c r="I24" s="169">
        <v>91.7</v>
      </c>
      <c r="J24" s="169">
        <v>0.78</v>
      </c>
    </row>
    <row r="25" spans="1:10" x14ac:dyDescent="0.3">
      <c r="A25" s="170">
        <v>55</v>
      </c>
      <c r="B25" s="170">
        <v>75</v>
      </c>
      <c r="C25" s="169">
        <v>93</v>
      </c>
      <c r="D25" s="169">
        <v>0.94</v>
      </c>
      <c r="E25" s="169">
        <v>94.1</v>
      </c>
      <c r="F25" s="169">
        <v>0.9</v>
      </c>
      <c r="G25" s="169">
        <v>93.6</v>
      </c>
      <c r="H25" s="169">
        <v>0.87</v>
      </c>
      <c r="I25" s="169">
        <v>93</v>
      </c>
      <c r="J25" s="169">
        <v>0.78</v>
      </c>
    </row>
    <row r="26" spans="1:10" x14ac:dyDescent="0.3">
      <c r="A26" s="170">
        <v>75</v>
      </c>
      <c r="B26" s="170">
        <v>100</v>
      </c>
      <c r="C26" s="169">
        <v>93.6</v>
      </c>
      <c r="D26" s="169">
        <v>0.94</v>
      </c>
      <c r="E26" s="169">
        <v>94.5</v>
      </c>
      <c r="F26" s="169">
        <v>0.9</v>
      </c>
      <c r="G26" s="169">
        <v>94.1</v>
      </c>
      <c r="H26" s="169">
        <v>0.87</v>
      </c>
      <c r="I26" s="169">
        <v>93</v>
      </c>
      <c r="J26" s="169">
        <v>0.8</v>
      </c>
    </row>
    <row r="27" spans="1:10" x14ac:dyDescent="0.3">
      <c r="A27" s="170">
        <v>90</v>
      </c>
      <c r="B27" s="170">
        <v>125</v>
      </c>
      <c r="C27" s="169">
        <v>94.5</v>
      </c>
      <c r="D27" s="169">
        <v>0.9</v>
      </c>
      <c r="E27" s="169">
        <v>94.5</v>
      </c>
      <c r="F27" s="169">
        <v>0.9</v>
      </c>
      <c r="G27" s="169">
        <v>94.1</v>
      </c>
      <c r="H27" s="169">
        <v>0.86</v>
      </c>
      <c r="I27" s="169">
        <v>93.6</v>
      </c>
      <c r="J27" s="169">
        <v>0.82</v>
      </c>
    </row>
    <row r="28" spans="1:10" x14ac:dyDescent="0.3">
      <c r="A28" s="170">
        <v>110</v>
      </c>
      <c r="B28" s="170">
        <v>150</v>
      </c>
      <c r="C28" s="169">
        <v>94.5</v>
      </c>
      <c r="D28" s="169">
        <v>0.91</v>
      </c>
      <c r="E28" s="169">
        <v>95</v>
      </c>
      <c r="F28" s="169">
        <v>0.9</v>
      </c>
      <c r="G28" s="169">
        <v>95</v>
      </c>
      <c r="H28" s="169">
        <v>0.85</v>
      </c>
      <c r="I28" s="169">
        <v>93.6</v>
      </c>
      <c r="J28" s="169">
        <v>0.82</v>
      </c>
    </row>
    <row r="29" spans="1:10" x14ac:dyDescent="0.3">
      <c r="A29" s="170">
        <v>130</v>
      </c>
      <c r="B29" s="170">
        <v>175</v>
      </c>
      <c r="C29" s="169">
        <v>94.7</v>
      </c>
      <c r="D29" s="169">
        <v>0.9</v>
      </c>
      <c r="E29" s="169">
        <v>95</v>
      </c>
      <c r="F29" s="169">
        <v>0.86</v>
      </c>
      <c r="G29" s="169">
        <v>95</v>
      </c>
      <c r="H29" s="169">
        <v>0.85</v>
      </c>
      <c r="I29" s="169"/>
      <c r="J29" s="169"/>
    </row>
    <row r="30" spans="1:10" x14ac:dyDescent="0.3">
      <c r="A30" s="170">
        <v>150</v>
      </c>
      <c r="B30" s="170">
        <v>200</v>
      </c>
      <c r="C30" s="169">
        <v>95</v>
      </c>
      <c r="D30" s="169">
        <v>0.9</v>
      </c>
      <c r="E30" s="169">
        <v>95</v>
      </c>
      <c r="F30" s="169">
        <v>0.86</v>
      </c>
      <c r="G30" s="169">
        <v>95</v>
      </c>
      <c r="H30" s="169">
        <v>0.85</v>
      </c>
      <c r="I30" s="169"/>
      <c r="J30" s="169"/>
    </row>
    <row r="31" spans="1:10" x14ac:dyDescent="0.3">
      <c r="A31" s="171">
        <v>190</v>
      </c>
      <c r="B31" s="170">
        <v>250</v>
      </c>
      <c r="C31" s="169">
        <v>95.4</v>
      </c>
      <c r="D31" s="169">
        <v>0.91</v>
      </c>
      <c r="E31" s="169">
        <v>95</v>
      </c>
      <c r="F31" s="169">
        <v>0.87</v>
      </c>
      <c r="G31" s="169"/>
      <c r="H31" s="169"/>
      <c r="I31" s="169"/>
      <c r="J31" s="168"/>
    </row>
    <row r="32" spans="1:10" x14ac:dyDescent="0.3">
      <c r="A32" s="171">
        <v>250</v>
      </c>
      <c r="B32" s="170">
        <v>340</v>
      </c>
      <c r="C32" s="169">
        <v>95.4</v>
      </c>
      <c r="D32" s="169">
        <v>0.91</v>
      </c>
      <c r="E32" s="169">
        <v>95</v>
      </c>
      <c r="F32" s="169">
        <v>0.87</v>
      </c>
      <c r="G32" s="169"/>
      <c r="H32" s="169"/>
      <c r="I32" s="169"/>
      <c r="J32" s="168"/>
    </row>
    <row r="33" spans="1:10" x14ac:dyDescent="0.3">
      <c r="A33" s="171">
        <v>5000</v>
      </c>
      <c r="B33" s="170">
        <v>690</v>
      </c>
      <c r="C33" s="169">
        <v>95.4</v>
      </c>
      <c r="D33" s="169">
        <v>0.91</v>
      </c>
      <c r="E33" s="169">
        <v>95</v>
      </c>
      <c r="F33" s="169">
        <v>0.87</v>
      </c>
      <c r="G33" s="169"/>
      <c r="H33" s="169"/>
      <c r="I33" s="169"/>
      <c r="J33" s="168"/>
    </row>
  </sheetData>
  <mergeCells count="17">
    <mergeCell ref="G6:G7"/>
    <mergeCell ref="H6:H7"/>
    <mergeCell ref="I6:I7"/>
    <mergeCell ref="J6:J7"/>
    <mergeCell ref="A6:A7"/>
    <mergeCell ref="B6:B7"/>
    <mergeCell ref="C6:C7"/>
    <mergeCell ref="D6:D7"/>
    <mergeCell ref="E6:E7"/>
    <mergeCell ref="F6:F7"/>
    <mergeCell ref="A2:J2"/>
    <mergeCell ref="A3:B5"/>
    <mergeCell ref="C3:J3"/>
    <mergeCell ref="C4:D5"/>
    <mergeCell ref="E4:F5"/>
    <mergeCell ref="G4:H5"/>
    <mergeCell ref="I4:J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39810-8F58-4735-A3EB-5E001FAAF1E7}">
  <dimension ref="A1:F16"/>
  <sheetViews>
    <sheetView workbookViewId="0">
      <selection activeCell="I13" sqref="I13"/>
    </sheetView>
  </sheetViews>
  <sheetFormatPr defaultRowHeight="13.2" x14ac:dyDescent="0.25"/>
  <cols>
    <col min="1" max="1" width="9.109375" customWidth="1"/>
  </cols>
  <sheetData>
    <row r="1" spans="1:6" ht="14.25" customHeight="1" x14ac:dyDescent="0.25">
      <c r="A1" s="173" t="s">
        <v>400</v>
      </c>
      <c r="B1" s="174"/>
      <c r="C1" s="174"/>
      <c r="D1" s="174"/>
      <c r="E1" s="174"/>
      <c r="F1" s="174"/>
    </row>
    <row r="2" spans="1:6" ht="14.25" customHeight="1" x14ac:dyDescent="0.25">
      <c r="A2" s="175" t="s">
        <v>401</v>
      </c>
      <c r="B2" s="176"/>
      <c r="C2" s="176"/>
      <c r="D2" s="176"/>
      <c r="E2" s="176"/>
      <c r="F2" s="176"/>
    </row>
    <row r="3" spans="1:6" ht="14.25" customHeight="1" x14ac:dyDescent="0.25">
      <c r="A3" s="175" t="s">
        <v>402</v>
      </c>
      <c r="B3" s="176"/>
      <c r="C3" s="176"/>
      <c r="D3" s="176"/>
      <c r="E3" s="176"/>
      <c r="F3" s="176"/>
    </row>
    <row r="4" spans="1:6" ht="14.25" customHeight="1" x14ac:dyDescent="0.25">
      <c r="A4" s="175" t="s">
        <v>403</v>
      </c>
      <c r="B4" s="176"/>
      <c r="C4" s="176"/>
      <c r="D4" s="176"/>
      <c r="E4" s="176"/>
      <c r="F4" s="176"/>
    </row>
    <row r="5" spans="1:6" ht="14.25" customHeight="1" x14ac:dyDescent="0.25">
      <c r="A5" s="175" t="s">
        <v>404</v>
      </c>
      <c r="B5" s="176"/>
      <c r="C5" s="176"/>
      <c r="D5" s="176"/>
      <c r="E5" s="176"/>
      <c r="F5" s="176"/>
    </row>
    <row r="6" spans="1:6" ht="14.25" customHeight="1" x14ac:dyDescent="0.25">
      <c r="A6" s="175" t="s">
        <v>434</v>
      </c>
      <c r="B6" s="176"/>
      <c r="C6" s="176"/>
      <c r="D6" s="176"/>
      <c r="E6" s="176"/>
      <c r="F6" s="176"/>
    </row>
    <row r="7" spans="1:6" ht="14.25" customHeight="1" x14ac:dyDescent="0.25">
      <c r="A7" s="175" t="s">
        <v>439</v>
      </c>
      <c r="B7" s="176"/>
      <c r="C7" s="176"/>
      <c r="D7" s="176"/>
      <c r="E7" s="176"/>
      <c r="F7" s="176"/>
    </row>
    <row r="9" spans="1:6" ht="13.8" x14ac:dyDescent="0.25">
      <c r="A9" s="176" t="s">
        <v>417</v>
      </c>
      <c r="B9">
        <v>1</v>
      </c>
    </row>
    <row r="10" spans="1:6" ht="13.8" x14ac:dyDescent="0.25">
      <c r="A10" s="176" t="s">
        <v>416</v>
      </c>
      <c r="B10">
        <v>2</v>
      </c>
    </row>
    <row r="11" spans="1:6" x14ac:dyDescent="0.25">
      <c r="A11" s="30" t="s">
        <v>414</v>
      </c>
      <c r="B11">
        <v>3</v>
      </c>
    </row>
    <row r="12" spans="1:6" x14ac:dyDescent="0.25">
      <c r="A12" s="30" t="s">
        <v>413</v>
      </c>
      <c r="B12">
        <v>4</v>
      </c>
    </row>
    <row r="13" spans="1:6" x14ac:dyDescent="0.25">
      <c r="A13" s="30" t="s">
        <v>415</v>
      </c>
      <c r="B13">
        <v>5</v>
      </c>
    </row>
    <row r="14" spans="1:6" x14ac:dyDescent="0.25">
      <c r="A14" s="30" t="s">
        <v>436</v>
      </c>
      <c r="B14">
        <v>6</v>
      </c>
    </row>
    <row r="15" spans="1:6" x14ac:dyDescent="0.25">
      <c r="A15" s="30" t="s">
        <v>437</v>
      </c>
      <c r="B15">
        <v>7</v>
      </c>
    </row>
    <row r="16" spans="1:6" x14ac:dyDescent="0.25">
      <c r="A16" s="30" t="s">
        <v>430</v>
      </c>
      <c r="B16" s="30" t="s">
        <v>430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730A4-6DA0-4146-BC30-B102E9D4243E}">
  <dimension ref="E6:AD21"/>
  <sheetViews>
    <sheetView topLeftCell="C1" workbookViewId="0">
      <selection activeCell="J51" sqref="J51"/>
    </sheetView>
  </sheetViews>
  <sheetFormatPr defaultRowHeight="13.2" x14ac:dyDescent="0.25"/>
  <sheetData>
    <row r="6" spans="5:30" x14ac:dyDescent="0.25">
      <c r="F6" t="s">
        <v>340</v>
      </c>
    </row>
    <row r="8" spans="5:30" x14ac:dyDescent="0.25">
      <c r="E8" s="550" t="s">
        <v>338</v>
      </c>
      <c r="F8">
        <v>127</v>
      </c>
      <c r="G8">
        <v>150</v>
      </c>
      <c r="H8">
        <f>G8/5</f>
        <v>30</v>
      </c>
      <c r="I8">
        <v>30</v>
      </c>
      <c r="J8">
        <f>I8*1270</f>
        <v>38100</v>
      </c>
    </row>
    <row r="9" spans="5:30" x14ac:dyDescent="0.25">
      <c r="E9" s="551"/>
      <c r="F9">
        <v>220</v>
      </c>
      <c r="G9">
        <v>10</v>
      </c>
      <c r="H9">
        <f>G9/5</f>
        <v>2</v>
      </c>
      <c r="I9">
        <v>3</v>
      </c>
      <c r="J9">
        <f>I9*4400</f>
        <v>13200</v>
      </c>
    </row>
    <row r="10" spans="5:30" x14ac:dyDescent="0.25">
      <c r="M10" s="30"/>
    </row>
    <row r="11" spans="5:30" x14ac:dyDescent="0.25">
      <c r="M11" s="30"/>
    </row>
    <row r="12" spans="5:30" x14ac:dyDescent="0.25">
      <c r="E12" s="550" t="s">
        <v>339</v>
      </c>
      <c r="F12">
        <v>127</v>
      </c>
      <c r="G12">
        <v>217</v>
      </c>
      <c r="H12">
        <f>G12/5</f>
        <v>43.4</v>
      </c>
      <c r="I12">
        <v>44</v>
      </c>
      <c r="J12">
        <f>I12*1270</f>
        <v>55880</v>
      </c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</row>
    <row r="13" spans="5:30" x14ac:dyDescent="0.25">
      <c r="E13" s="551"/>
      <c r="F13">
        <v>220</v>
      </c>
      <c r="G13">
        <v>185</v>
      </c>
      <c r="H13">
        <f>G13/5</f>
        <v>37</v>
      </c>
      <c r="I13">
        <v>37</v>
      </c>
      <c r="J13">
        <f>I13*4400</f>
        <v>162800</v>
      </c>
    </row>
    <row r="16" spans="5:30" x14ac:dyDescent="0.25">
      <c r="F16">
        <v>127</v>
      </c>
      <c r="G16">
        <v>9</v>
      </c>
      <c r="H16">
        <v>6</v>
      </c>
      <c r="I16">
        <v>11</v>
      </c>
      <c r="J16">
        <v>8</v>
      </c>
      <c r="K16">
        <v>4</v>
      </c>
      <c r="L16">
        <v>10</v>
      </c>
      <c r="M16" s="30">
        <v>2</v>
      </c>
      <c r="N16" s="30">
        <v>1</v>
      </c>
      <c r="O16" s="30">
        <v>4</v>
      </c>
      <c r="P16" s="30">
        <v>2</v>
      </c>
      <c r="Q16" s="30">
        <v>2</v>
      </c>
      <c r="R16" s="30">
        <v>8</v>
      </c>
      <c r="S16" s="30">
        <v>3</v>
      </c>
      <c r="T16" s="30">
        <v>4</v>
      </c>
      <c r="U16" s="30">
        <v>6</v>
      </c>
      <c r="V16" s="30">
        <v>3</v>
      </c>
      <c r="W16" s="30">
        <v>4</v>
      </c>
      <c r="X16" s="30">
        <v>1</v>
      </c>
      <c r="Y16" s="30">
        <v>1</v>
      </c>
      <c r="Z16" s="30">
        <v>8</v>
      </c>
      <c r="AA16" s="30">
        <v>4</v>
      </c>
      <c r="AB16" s="30">
        <v>2</v>
      </c>
      <c r="AC16" s="30">
        <v>37</v>
      </c>
      <c r="AD16" s="30">
        <v>77</v>
      </c>
    </row>
    <row r="17" spans="6:27" x14ac:dyDescent="0.25">
      <c r="F17">
        <v>220</v>
      </c>
      <c r="G17">
        <v>9</v>
      </c>
      <c r="H17">
        <v>6</v>
      </c>
      <c r="I17">
        <v>11</v>
      </c>
      <c r="J17">
        <v>8</v>
      </c>
      <c r="K17">
        <v>4</v>
      </c>
      <c r="L17">
        <v>10</v>
      </c>
      <c r="M17">
        <v>2</v>
      </c>
      <c r="N17">
        <v>1</v>
      </c>
      <c r="O17">
        <v>4</v>
      </c>
      <c r="P17">
        <v>2</v>
      </c>
      <c r="Q17">
        <v>2</v>
      </c>
      <c r="R17">
        <v>10</v>
      </c>
      <c r="S17">
        <v>3</v>
      </c>
      <c r="T17">
        <v>4</v>
      </c>
      <c r="U17">
        <v>7</v>
      </c>
      <c r="V17">
        <v>3</v>
      </c>
      <c r="W17">
        <v>2</v>
      </c>
      <c r="X17">
        <v>1</v>
      </c>
      <c r="Y17">
        <v>1</v>
      </c>
      <c r="Z17">
        <v>36</v>
      </c>
      <c r="AA17">
        <v>59</v>
      </c>
    </row>
    <row r="21" spans="6:27" x14ac:dyDescent="0.25">
      <c r="F21">
        <v>220</v>
      </c>
      <c r="G21">
        <v>22</v>
      </c>
      <c r="H21">
        <f>G21/5</f>
        <v>4.4000000000000004</v>
      </c>
      <c r="I21">
        <v>5</v>
      </c>
      <c r="J21">
        <f>I21*4400</f>
        <v>22000</v>
      </c>
    </row>
  </sheetData>
  <mergeCells count="2">
    <mergeCell ref="E8:E9"/>
    <mergeCell ref="E12:E13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0C84E-E381-4443-ACC0-EF68A474C263}">
  <dimension ref="A1:R261"/>
  <sheetViews>
    <sheetView view="pageLayout" zoomScaleNormal="85" workbookViewId="0">
      <selection activeCell="A34" sqref="A34:D34"/>
    </sheetView>
  </sheetViews>
  <sheetFormatPr defaultRowHeight="13.2" x14ac:dyDescent="0.25"/>
  <cols>
    <col min="1" max="1" width="44.6640625" bestFit="1" customWidth="1"/>
    <col min="2" max="2" width="14.88671875" style="20" bestFit="1" customWidth="1"/>
    <col min="3" max="3" width="13" style="20" customWidth="1"/>
    <col min="4" max="9" width="9.109375" style="20"/>
    <col min="10" max="10" width="14.6640625" style="20" bestFit="1" customWidth="1"/>
    <col min="11" max="11" width="22.5546875" bestFit="1" customWidth="1"/>
    <col min="12" max="12" width="9.6640625" bestFit="1" customWidth="1"/>
    <col min="13" max="16" width="9.109375" style="20"/>
  </cols>
  <sheetData>
    <row r="1" spans="1:16" ht="12.75" customHeight="1" x14ac:dyDescent="0.25">
      <c r="A1" s="457" t="s">
        <v>78</v>
      </c>
      <c r="B1" s="457" t="s">
        <v>159</v>
      </c>
      <c r="C1" s="457" t="s">
        <v>160</v>
      </c>
      <c r="D1" s="457" t="s">
        <v>58</v>
      </c>
      <c r="E1" s="457" t="s">
        <v>60</v>
      </c>
      <c r="F1" s="457" t="s">
        <v>61</v>
      </c>
      <c r="G1" s="457" t="s">
        <v>62</v>
      </c>
      <c r="H1" s="457" t="s">
        <v>63</v>
      </c>
      <c r="M1" s="457" t="s">
        <v>60</v>
      </c>
      <c r="N1" s="457" t="s">
        <v>61</v>
      </c>
      <c r="O1" s="457" t="s">
        <v>62</v>
      </c>
      <c r="P1" s="457" t="s">
        <v>63</v>
      </c>
    </row>
    <row r="2" spans="1:16" ht="75.75" customHeight="1" x14ac:dyDescent="0.25">
      <c r="A2" s="457"/>
      <c r="B2" s="457"/>
      <c r="C2" s="457"/>
      <c r="D2" s="457"/>
      <c r="E2" s="457"/>
      <c r="F2" s="457"/>
      <c r="G2" s="457"/>
      <c r="H2" s="457"/>
      <c r="M2" s="457"/>
      <c r="N2" s="457"/>
      <c r="O2" s="457"/>
      <c r="P2" s="457"/>
    </row>
    <row r="3" spans="1:16" x14ac:dyDescent="0.25">
      <c r="A3" s="27" t="s">
        <v>28</v>
      </c>
      <c r="B3" s="22" t="s">
        <v>327</v>
      </c>
      <c r="C3" s="22">
        <v>1</v>
      </c>
      <c r="D3" s="2" t="s">
        <v>76</v>
      </c>
      <c r="E3" s="23">
        <f>SUMIFS('Lista de Cargas'!P$4:P$18,'Lista de Cargas'!$H$4:$H$18,$D3,'Lista de Cargas'!$B$4:$B$18,$B3)</f>
        <v>0</v>
      </c>
      <c r="F3" s="23">
        <f>SUMIFS('Lista de Cargas'!Q$4:Q$18,'Lista de Cargas'!$H$4:$H$18,$D3,'Lista de Cargas'!$B$4:$B$18,$B3)</f>
        <v>0</v>
      </c>
      <c r="G3" s="23">
        <f>SUMIFS('Lista de Cargas'!R$4:R$18,'Lista de Cargas'!$H$4:$H$18,$D3,'Lista de Cargas'!$B$4:$B$18,$B3)</f>
        <v>0</v>
      </c>
      <c r="H3" s="23">
        <f>SUMIFS('Lista de Cargas'!S$4:S$18,'Lista de Cargas'!$H$4:$H$18,$D3,'Lista de Cargas'!$B$4:$B$18,$B3)</f>
        <v>0</v>
      </c>
      <c r="K3" s="20"/>
      <c r="L3" s="20"/>
      <c r="M3" s="23">
        <f t="shared" ref="M3:M9" si="0">E3</f>
        <v>0</v>
      </c>
      <c r="N3" s="23">
        <f>F3</f>
        <v>0</v>
      </c>
      <c r="O3" s="23">
        <f>G3</f>
        <v>0</v>
      </c>
      <c r="P3" s="23">
        <f>H3</f>
        <v>0</v>
      </c>
    </row>
    <row r="4" spans="1:16" x14ac:dyDescent="0.25">
      <c r="A4" s="27" t="s">
        <v>28</v>
      </c>
      <c r="B4" s="22" t="s">
        <v>327</v>
      </c>
      <c r="C4" s="22">
        <v>1</v>
      </c>
      <c r="D4" s="10" t="s">
        <v>37</v>
      </c>
      <c r="E4" s="23">
        <f>SUMIFS('Lista de Cargas'!P$4:P$18,'Lista de Cargas'!$H$4:$H$18,$D4,'Lista de Cargas'!$B$4:$B$18,$B4)</f>
        <v>0</v>
      </c>
      <c r="F4" s="23">
        <f>SUMIFS('Lista de Cargas'!Q$4:Q$18,'Lista de Cargas'!$H$4:$H$18,$D4,'Lista de Cargas'!$B$4:$B$18,$B4)</f>
        <v>0</v>
      </c>
      <c r="G4" s="23">
        <f>SUMIFS('Lista de Cargas'!R$4:R$18,'Lista de Cargas'!$H$4:$H$18,$D4,'Lista de Cargas'!$B$4:$B$18,$B4)</f>
        <v>0</v>
      </c>
      <c r="H4" s="23">
        <f>SUMIFS('Lista de Cargas'!S$4:S$18,'Lista de Cargas'!$H$4:$H$18,$D4,'Lista de Cargas'!$B$4:$B$18,$B4)</f>
        <v>0</v>
      </c>
      <c r="J4"/>
      <c r="M4" s="23">
        <f t="shared" si="0"/>
        <v>0</v>
      </c>
      <c r="N4" s="23">
        <f t="shared" ref="N4:P9" si="1">F4</f>
        <v>0</v>
      </c>
      <c r="O4" s="23">
        <f t="shared" si="1"/>
        <v>0</v>
      </c>
      <c r="P4" s="23">
        <f t="shared" si="1"/>
        <v>0</v>
      </c>
    </row>
    <row r="5" spans="1:16" x14ac:dyDescent="0.25">
      <c r="A5" s="27" t="s">
        <v>28</v>
      </c>
      <c r="B5" s="22" t="s">
        <v>327</v>
      </c>
      <c r="C5" s="22">
        <v>1</v>
      </c>
      <c r="D5" s="10" t="s">
        <v>38</v>
      </c>
      <c r="E5" s="23">
        <f>SUMIFS('Lista de Cargas'!P$4:P$18,'Lista de Cargas'!$H$4:$H$18,$D5,'Lista de Cargas'!$B$4:$B$18,$B5)</f>
        <v>0</v>
      </c>
      <c r="F5" s="23">
        <f>SUMIFS('Lista de Cargas'!Q$4:Q$18,'Lista de Cargas'!$H$4:$H$18,$D5,'Lista de Cargas'!$B$4:$B$18,$B5)</f>
        <v>0</v>
      </c>
      <c r="G5" s="23">
        <f>SUMIFS('Lista de Cargas'!R$4:R$18,'Lista de Cargas'!$H$4:$H$18,$D5,'Lista de Cargas'!$B$4:$B$18,$B5)</f>
        <v>0</v>
      </c>
      <c r="H5" s="23">
        <f>SUMIFS('Lista de Cargas'!S$4:S$18,'Lista de Cargas'!$H$4:$H$18,$D5,'Lista de Cargas'!$B$4:$B$18,$B5)</f>
        <v>0</v>
      </c>
      <c r="J5"/>
      <c r="M5" s="23">
        <f t="shared" si="0"/>
        <v>0</v>
      </c>
      <c r="N5" s="23">
        <f t="shared" si="1"/>
        <v>0</v>
      </c>
      <c r="O5" s="23">
        <f t="shared" si="1"/>
        <v>0</v>
      </c>
      <c r="P5" s="23">
        <f t="shared" si="1"/>
        <v>0</v>
      </c>
    </row>
    <row r="6" spans="1:16" x14ac:dyDescent="0.25">
      <c r="A6" s="27" t="s">
        <v>28</v>
      </c>
      <c r="B6" s="22" t="s">
        <v>327</v>
      </c>
      <c r="C6" s="22">
        <v>1</v>
      </c>
      <c r="D6" s="10" t="s">
        <v>36</v>
      </c>
      <c r="E6" s="23">
        <f>SUMIFS('Lista de Cargas'!P$4:P$18,'Lista de Cargas'!$H$4:$H$18,$D6,'Lista de Cargas'!$B$4:$B$18,$B6)</f>
        <v>0</v>
      </c>
      <c r="F6" s="23">
        <f>SUMIFS('Lista de Cargas'!Q$4:Q$18,'Lista de Cargas'!$H$4:$H$18,$D6,'Lista de Cargas'!$B$4:$B$18,$B6)</f>
        <v>0</v>
      </c>
      <c r="G6" s="23">
        <f>SUMIFS('Lista de Cargas'!R$4:R$18,'Lista de Cargas'!$H$4:$H$18,$D6,'Lista de Cargas'!$B$4:$B$18,$B6)</f>
        <v>0</v>
      </c>
      <c r="H6" s="23">
        <f>SUMIFS('Lista de Cargas'!S$4:S$18,'Lista de Cargas'!$H$4:$H$18,$D6,'Lista de Cargas'!$B$4:$B$18,$B6)</f>
        <v>0</v>
      </c>
      <c r="M6" s="23">
        <f t="shared" si="0"/>
        <v>0</v>
      </c>
      <c r="N6" s="23">
        <f t="shared" si="1"/>
        <v>0</v>
      </c>
      <c r="O6" s="23">
        <f t="shared" si="1"/>
        <v>0</v>
      </c>
      <c r="P6" s="23">
        <f t="shared" si="1"/>
        <v>0</v>
      </c>
    </row>
    <row r="7" spans="1:16" x14ac:dyDescent="0.25">
      <c r="A7" s="27" t="s">
        <v>28</v>
      </c>
      <c r="B7" s="22" t="s">
        <v>327</v>
      </c>
      <c r="C7" s="22">
        <v>1</v>
      </c>
      <c r="D7" s="2" t="s">
        <v>158</v>
      </c>
      <c r="E7" s="23">
        <f>SUMIFS('Lista de Cargas'!P$4:P$18,'Lista de Cargas'!$H$4:$H$18,$D7,'Lista de Cargas'!$B$4:$B$18,$B7)</f>
        <v>0</v>
      </c>
      <c r="F7" s="23">
        <f>SUMIFS('Lista de Cargas'!Q$4:Q$18,'Lista de Cargas'!$H$4:$H$18,$D7,'Lista de Cargas'!$B$4:$B$18,$B7)</f>
        <v>0</v>
      </c>
      <c r="G7" s="23">
        <f>SUMIFS('Lista de Cargas'!R$4:R$18,'Lista de Cargas'!$H$4:$H$18,$D7,'Lista de Cargas'!$B$4:$B$18,$B7)</f>
        <v>0</v>
      </c>
      <c r="H7" s="23">
        <f>SUMIFS('Lista de Cargas'!S$4:S$18,'Lista de Cargas'!$H$4:$H$18,$D7,'Lista de Cargas'!$B$4:$B$18,$B7)</f>
        <v>0</v>
      </c>
      <c r="M7" s="23">
        <f t="shared" si="0"/>
        <v>0</v>
      </c>
      <c r="N7" s="23">
        <f t="shared" si="1"/>
        <v>0</v>
      </c>
      <c r="O7" s="23">
        <f t="shared" si="1"/>
        <v>0</v>
      </c>
      <c r="P7" s="23">
        <f t="shared" si="1"/>
        <v>0</v>
      </c>
    </row>
    <row r="8" spans="1:16" x14ac:dyDescent="0.25">
      <c r="A8" s="27" t="s">
        <v>28</v>
      </c>
      <c r="B8" s="22" t="s">
        <v>327</v>
      </c>
      <c r="C8" s="22">
        <v>1</v>
      </c>
      <c r="D8" s="10" t="s">
        <v>41</v>
      </c>
      <c r="E8" s="23">
        <f>SUMIFS('Lista de Cargas'!P$4:P$18,'Lista de Cargas'!$H$4:$H$18,$D8,'Lista de Cargas'!$B$4:$B$18,$B8)</f>
        <v>0</v>
      </c>
      <c r="F8" s="23">
        <f>SUMIFS('Lista de Cargas'!Q$4:Q$18,'Lista de Cargas'!$H$4:$H$18,$D8,'Lista de Cargas'!$B$4:$B$18,$B8)</f>
        <v>0</v>
      </c>
      <c r="G8" s="23">
        <f>SUMIFS('Lista de Cargas'!R$4:R$18,'Lista de Cargas'!$H$4:$H$18,$D8,'Lista de Cargas'!$B$4:$B$18,$B8)</f>
        <v>0</v>
      </c>
      <c r="H8" s="23">
        <f>SUMIFS('Lista de Cargas'!S$4:S$18,'Lista de Cargas'!$H$4:$H$18,$D8,'Lista de Cargas'!$B$4:$B$18,$B8)</f>
        <v>0</v>
      </c>
      <c r="M8" s="23">
        <f t="shared" si="0"/>
        <v>0</v>
      </c>
      <c r="N8" s="23">
        <f t="shared" si="1"/>
        <v>0</v>
      </c>
      <c r="O8" s="23">
        <f t="shared" si="1"/>
        <v>0</v>
      </c>
      <c r="P8" s="23">
        <f t="shared" si="1"/>
        <v>0</v>
      </c>
    </row>
    <row r="9" spans="1:16" x14ac:dyDescent="0.25">
      <c r="A9" s="27" t="s">
        <v>28</v>
      </c>
      <c r="B9" s="22" t="s">
        <v>327</v>
      </c>
      <c r="C9" s="22">
        <v>1</v>
      </c>
      <c r="D9" s="10" t="s">
        <v>42</v>
      </c>
      <c r="E9" s="23">
        <f>SUMIFS('Lista de Cargas'!P$4:P$18,'Lista de Cargas'!$H$4:$H$18,$D9,'Lista de Cargas'!$B$4:$B$18,$B9)</f>
        <v>0</v>
      </c>
      <c r="F9" s="23">
        <f>SUMIFS('Lista de Cargas'!Q$4:Q$18,'Lista de Cargas'!$H$4:$H$18,$D9,'Lista de Cargas'!$B$4:$B$18,$B9)</f>
        <v>0</v>
      </c>
      <c r="G9" s="23">
        <f>SUMIFS('Lista de Cargas'!R$4:R$18,'Lista de Cargas'!$H$4:$H$18,$D9,'Lista de Cargas'!$B$4:$B$18,$B9)</f>
        <v>0</v>
      </c>
      <c r="H9" s="23">
        <f>SUMIFS('Lista de Cargas'!S$4:S$18,'Lista de Cargas'!$H$4:$H$18,$D9,'Lista de Cargas'!$B$4:$B$18,$B9)</f>
        <v>0</v>
      </c>
      <c r="M9" s="23">
        <f t="shared" si="0"/>
        <v>0</v>
      </c>
      <c r="N9" s="23">
        <f t="shared" si="1"/>
        <v>0</v>
      </c>
      <c r="O9" s="23">
        <f t="shared" si="1"/>
        <v>0</v>
      </c>
      <c r="P9" s="23">
        <f t="shared" si="1"/>
        <v>0</v>
      </c>
    </row>
    <row r="10" spans="1:16" s="43" customFormat="1" x14ac:dyDescent="0.25">
      <c r="A10" s="38" t="s">
        <v>28</v>
      </c>
      <c r="B10" s="39" t="s">
        <v>327</v>
      </c>
      <c r="C10" s="40">
        <v>1</v>
      </c>
      <c r="D10" s="41" t="s">
        <v>47</v>
      </c>
      <c r="E10" s="40">
        <f>SUM(E3:E9)</f>
        <v>0</v>
      </c>
      <c r="F10" s="40">
        <f>SUM(F3:F9)</f>
        <v>0</v>
      </c>
      <c r="G10" s="40">
        <f>SUM(G3:G9)</f>
        <v>0</v>
      </c>
      <c r="H10" s="40">
        <f>SUM(H3:H9)</f>
        <v>0</v>
      </c>
      <c r="I10" s="42"/>
      <c r="J10" s="42"/>
      <c r="M10" s="44"/>
      <c r="N10" s="44"/>
      <c r="O10" s="44"/>
      <c r="P10" s="44"/>
    </row>
    <row r="11" spans="1:16" s="43" customFormat="1" x14ac:dyDescent="0.25">
      <c r="A11" s="45" t="s">
        <v>2</v>
      </c>
      <c r="B11" s="45" t="s">
        <v>2</v>
      </c>
      <c r="C11" s="46"/>
      <c r="D11" s="47" t="s">
        <v>2</v>
      </c>
      <c r="E11" s="48" t="e">
        <f>E10/E$247</f>
        <v>#DIV/0!</v>
      </c>
      <c r="F11" s="48" t="e">
        <f>F10/F$247</f>
        <v>#DIV/0!</v>
      </c>
      <c r="G11" s="48" t="e">
        <f>G10/G$247</f>
        <v>#DIV/0!</v>
      </c>
      <c r="H11" s="48" t="e">
        <f>H10/H$247</f>
        <v>#DIV/0!</v>
      </c>
      <c r="I11" s="42"/>
      <c r="J11" s="42"/>
      <c r="M11" s="44"/>
      <c r="N11" s="44"/>
      <c r="O11" s="44"/>
      <c r="P11" s="44"/>
    </row>
    <row r="12" spans="1:16" x14ac:dyDescent="0.25">
      <c r="A12" s="27" t="s">
        <v>321</v>
      </c>
      <c r="B12" s="22" t="s">
        <v>323</v>
      </c>
      <c r="C12" s="22">
        <v>1</v>
      </c>
      <c r="D12" s="2" t="s">
        <v>76</v>
      </c>
      <c r="E12" s="23">
        <f>SUMIFS('Lista de Cargas'!P$4:P$18,'Lista de Cargas'!$H$4:$H$18,$D12,'Lista de Cargas'!$B$4:$B$18,$B12)</f>
        <v>0</v>
      </c>
      <c r="F12" s="23">
        <f>SUMIFS('Lista de Cargas'!Q$4:Q$18,'Lista de Cargas'!$H$4:$H$18,$D12,'Lista de Cargas'!$B$4:$B$18,$B12)</f>
        <v>0</v>
      </c>
      <c r="G12" s="23">
        <f>SUMIFS('Lista de Cargas'!R$4:R$18,'Lista de Cargas'!$H$4:$H$18,$D12,'Lista de Cargas'!$B$4:$B$18,$B12)</f>
        <v>0</v>
      </c>
      <c r="H12" s="23">
        <f>SUMIFS('Lista de Cargas'!S$4:S$18,'Lista de Cargas'!$H$4:$H$18,$D12,'Lista de Cargas'!$B$4:$B$18,$B12)</f>
        <v>0</v>
      </c>
      <c r="M12" s="23">
        <f t="shared" ref="M12:P18" si="2">E12</f>
        <v>0</v>
      </c>
      <c r="N12" s="23">
        <f t="shared" si="2"/>
        <v>0</v>
      </c>
      <c r="O12" s="23">
        <f t="shared" si="2"/>
        <v>0</v>
      </c>
      <c r="P12" s="23">
        <f t="shared" si="2"/>
        <v>0</v>
      </c>
    </row>
    <row r="13" spans="1:16" x14ac:dyDescent="0.25">
      <c r="A13" s="27" t="s">
        <v>321</v>
      </c>
      <c r="B13" s="22" t="s">
        <v>323</v>
      </c>
      <c r="C13" s="22">
        <v>1</v>
      </c>
      <c r="D13" s="10" t="s">
        <v>37</v>
      </c>
      <c r="E13" s="23">
        <f>SUMIFS('Lista de Cargas'!P$4:P$18,'Lista de Cargas'!$H$4:$H$18,$D13,'Lista de Cargas'!$B$4:$B$18,$B13)</f>
        <v>0</v>
      </c>
      <c r="F13" s="23">
        <f>SUMIFS('Lista de Cargas'!Q$4:Q$18,'Lista de Cargas'!$H$4:$H$18,$D13,'Lista de Cargas'!$B$4:$B$18,$B13)</f>
        <v>0</v>
      </c>
      <c r="G13" s="23">
        <f>SUMIFS('Lista de Cargas'!R$4:R$18,'Lista de Cargas'!$H$4:$H$18,$D13,'Lista de Cargas'!$B$4:$B$18,$B13)</f>
        <v>0</v>
      </c>
      <c r="H13" s="23">
        <f>SUMIFS('Lista de Cargas'!S$4:S$18,'Lista de Cargas'!$H$4:$H$18,$D13,'Lista de Cargas'!$B$4:$B$18,$B13)</f>
        <v>0</v>
      </c>
      <c r="M13" s="23">
        <f t="shared" si="2"/>
        <v>0</v>
      </c>
      <c r="N13" s="23">
        <f t="shared" si="2"/>
        <v>0</v>
      </c>
      <c r="O13" s="23">
        <f t="shared" si="2"/>
        <v>0</v>
      </c>
      <c r="P13" s="23">
        <f t="shared" si="2"/>
        <v>0</v>
      </c>
    </row>
    <row r="14" spans="1:16" x14ac:dyDescent="0.25">
      <c r="A14" s="27" t="s">
        <v>321</v>
      </c>
      <c r="B14" s="22" t="s">
        <v>323</v>
      </c>
      <c r="C14" s="22">
        <v>1</v>
      </c>
      <c r="D14" s="10" t="s">
        <v>38</v>
      </c>
      <c r="E14" s="23">
        <f>SUMIFS('Lista de Cargas'!P$4:P$18,'Lista de Cargas'!$H$4:$H$18,$D14,'Lista de Cargas'!$B$4:$B$18,$B14)</f>
        <v>0</v>
      </c>
      <c r="F14" s="23">
        <f>SUMIFS('Lista de Cargas'!Q$4:Q$18,'Lista de Cargas'!$H$4:$H$18,$D14,'Lista de Cargas'!$B$4:$B$18,$B14)</f>
        <v>0</v>
      </c>
      <c r="G14" s="23">
        <f>SUMIFS('Lista de Cargas'!R$4:R$18,'Lista de Cargas'!$H$4:$H$18,$D14,'Lista de Cargas'!$B$4:$B$18,$B14)</f>
        <v>0</v>
      </c>
      <c r="H14" s="23">
        <f>SUMIFS('Lista de Cargas'!S$4:S$18,'Lista de Cargas'!$H$4:$H$18,$D14,'Lista de Cargas'!$B$4:$B$18,$B14)</f>
        <v>0</v>
      </c>
      <c r="M14" s="23">
        <f t="shared" si="2"/>
        <v>0</v>
      </c>
      <c r="N14" s="23">
        <f t="shared" si="2"/>
        <v>0</v>
      </c>
      <c r="O14" s="23">
        <f t="shared" si="2"/>
        <v>0</v>
      </c>
      <c r="P14" s="23">
        <f t="shared" si="2"/>
        <v>0</v>
      </c>
    </row>
    <row r="15" spans="1:16" x14ac:dyDescent="0.25">
      <c r="A15" s="27" t="s">
        <v>321</v>
      </c>
      <c r="B15" s="22" t="s">
        <v>323</v>
      </c>
      <c r="C15" s="22">
        <v>1</v>
      </c>
      <c r="D15" s="10" t="s">
        <v>36</v>
      </c>
      <c r="E15" s="23">
        <f>SUMIFS('Lista de Cargas'!P$4:P$18,'Lista de Cargas'!$H$4:$H$18,$D15,'Lista de Cargas'!$B$4:$B$18,$B15)</f>
        <v>0</v>
      </c>
      <c r="F15" s="23">
        <f>SUMIFS('Lista de Cargas'!Q$4:Q$18,'Lista de Cargas'!$H$4:$H$18,$D15,'Lista de Cargas'!$B$4:$B$18,$B15)</f>
        <v>0</v>
      </c>
      <c r="G15" s="23">
        <f>SUMIFS('Lista de Cargas'!R$4:R$18,'Lista de Cargas'!$H$4:$H$18,$D15,'Lista de Cargas'!$B$4:$B$18,$B15)</f>
        <v>0</v>
      </c>
      <c r="H15" s="23">
        <f>SUMIFS('Lista de Cargas'!S$4:S$18,'Lista de Cargas'!$H$4:$H$18,$D15,'Lista de Cargas'!$B$4:$B$18,$B15)</f>
        <v>0</v>
      </c>
      <c r="M15" s="23">
        <f t="shared" si="2"/>
        <v>0</v>
      </c>
      <c r="N15" s="23">
        <f t="shared" si="2"/>
        <v>0</v>
      </c>
      <c r="O15" s="23">
        <f t="shared" si="2"/>
        <v>0</v>
      </c>
      <c r="P15" s="23">
        <f t="shared" si="2"/>
        <v>0</v>
      </c>
    </row>
    <row r="16" spans="1:16" x14ac:dyDescent="0.25">
      <c r="A16" s="27" t="s">
        <v>321</v>
      </c>
      <c r="B16" s="22" t="s">
        <v>323</v>
      </c>
      <c r="C16" s="22">
        <v>1</v>
      </c>
      <c r="D16" s="2" t="s">
        <v>158</v>
      </c>
      <c r="E16" s="23">
        <f>SUMIFS('Lista de Cargas'!P$4:P$18,'Lista de Cargas'!$H$4:$H$18,$D16,'Lista de Cargas'!$B$4:$B$18,$B16)</f>
        <v>0</v>
      </c>
      <c r="F16" s="23">
        <f>SUMIFS('Lista de Cargas'!Q$4:Q$18,'Lista de Cargas'!$H$4:$H$18,$D16,'Lista de Cargas'!$B$4:$B$18,$B16)</f>
        <v>0</v>
      </c>
      <c r="G16" s="23">
        <f>SUMIFS('Lista de Cargas'!R$4:R$18,'Lista de Cargas'!$H$4:$H$18,$D16,'Lista de Cargas'!$B$4:$B$18,$B16)</f>
        <v>0</v>
      </c>
      <c r="H16" s="23">
        <f>SUMIFS('Lista de Cargas'!S$4:S$18,'Lista de Cargas'!$H$4:$H$18,$D16,'Lista de Cargas'!$B$4:$B$18,$B16)</f>
        <v>0</v>
      </c>
      <c r="M16" s="23">
        <f t="shared" si="2"/>
        <v>0</v>
      </c>
      <c r="N16" s="23">
        <f t="shared" si="2"/>
        <v>0</v>
      </c>
      <c r="O16" s="23">
        <f t="shared" si="2"/>
        <v>0</v>
      </c>
      <c r="P16" s="23">
        <f t="shared" si="2"/>
        <v>0</v>
      </c>
    </row>
    <row r="17" spans="1:16" x14ac:dyDescent="0.25">
      <c r="A17" s="27" t="s">
        <v>321</v>
      </c>
      <c r="B17" s="22" t="s">
        <v>323</v>
      </c>
      <c r="C17" s="22">
        <v>1</v>
      </c>
      <c r="D17" s="10" t="s">
        <v>41</v>
      </c>
      <c r="E17" s="23">
        <f>SUMIFS('Lista de Cargas'!P$4:P$18,'Lista de Cargas'!$H$4:$H$18,$D17,'Lista de Cargas'!$B$4:$B$18,$B17)</f>
        <v>0</v>
      </c>
      <c r="F17" s="23">
        <f>SUMIFS('Lista de Cargas'!Q$4:Q$18,'Lista de Cargas'!$H$4:$H$18,$D17,'Lista de Cargas'!$B$4:$B$18,$B17)</f>
        <v>0</v>
      </c>
      <c r="G17" s="23">
        <f>SUMIFS('Lista de Cargas'!R$4:R$18,'Lista de Cargas'!$H$4:$H$18,$D17,'Lista de Cargas'!$B$4:$B$18,$B17)</f>
        <v>0</v>
      </c>
      <c r="H17" s="23">
        <f>SUMIFS('Lista de Cargas'!S$4:S$18,'Lista de Cargas'!$H$4:$H$18,$D17,'Lista de Cargas'!$B$4:$B$18,$B17)</f>
        <v>0</v>
      </c>
      <c r="M17" s="23">
        <f t="shared" si="2"/>
        <v>0</v>
      </c>
      <c r="N17" s="23">
        <f t="shared" si="2"/>
        <v>0</v>
      </c>
      <c r="O17" s="23">
        <f t="shared" si="2"/>
        <v>0</v>
      </c>
      <c r="P17" s="23">
        <f t="shared" si="2"/>
        <v>0</v>
      </c>
    </row>
    <row r="18" spans="1:16" x14ac:dyDescent="0.25">
      <c r="A18" s="27" t="s">
        <v>321</v>
      </c>
      <c r="B18" s="22" t="s">
        <v>323</v>
      </c>
      <c r="C18" s="22">
        <v>1</v>
      </c>
      <c r="D18" s="10" t="s">
        <v>42</v>
      </c>
      <c r="E18" s="23">
        <f>SUMIFS('Lista de Cargas'!P$4:P$18,'Lista de Cargas'!$H$4:$H$18,$D18,'Lista de Cargas'!$B$4:$B$18,$B18)</f>
        <v>0</v>
      </c>
      <c r="F18" s="23">
        <f>SUMIFS('Lista de Cargas'!Q$4:Q$18,'Lista de Cargas'!$H$4:$H$18,$D18,'Lista de Cargas'!$B$4:$B$18,$B18)</f>
        <v>0</v>
      </c>
      <c r="G18" s="23">
        <f>SUMIFS('Lista de Cargas'!R$4:R$18,'Lista de Cargas'!$H$4:$H$18,$D18,'Lista de Cargas'!$B$4:$B$18,$B18)</f>
        <v>0</v>
      </c>
      <c r="H18" s="23">
        <f>SUMIFS('Lista de Cargas'!S$4:S$18,'Lista de Cargas'!$H$4:$H$18,$D18,'Lista de Cargas'!$B$4:$B$18,$B18)</f>
        <v>0</v>
      </c>
      <c r="M18" s="23">
        <f t="shared" si="2"/>
        <v>0</v>
      </c>
      <c r="N18" s="23">
        <f t="shared" si="2"/>
        <v>0</v>
      </c>
      <c r="O18" s="23">
        <f t="shared" si="2"/>
        <v>0</v>
      </c>
      <c r="P18" s="23">
        <f t="shared" si="2"/>
        <v>0</v>
      </c>
    </row>
    <row r="19" spans="1:16" s="50" customFormat="1" x14ac:dyDescent="0.25">
      <c r="A19" s="38" t="s">
        <v>321</v>
      </c>
      <c r="B19" s="45" t="s">
        <v>323</v>
      </c>
      <c r="C19" s="45">
        <v>1</v>
      </c>
      <c r="D19" s="41" t="s">
        <v>47</v>
      </c>
      <c r="E19" s="40">
        <f>SUM(E12:E18)</f>
        <v>0</v>
      </c>
      <c r="F19" s="40">
        <f>SUM(F12:F18)</f>
        <v>0</v>
      </c>
      <c r="G19" s="40">
        <f>SUM(G12:G18)</f>
        <v>0</v>
      </c>
      <c r="H19" s="40">
        <f>SUM(H12:H18)</f>
        <v>0</v>
      </c>
      <c r="I19" s="49"/>
      <c r="J19" s="49"/>
      <c r="M19" s="44"/>
      <c r="N19" s="44"/>
      <c r="O19" s="44"/>
      <c r="P19" s="44"/>
    </row>
    <row r="20" spans="1:16" s="43" customFormat="1" x14ac:dyDescent="0.25">
      <c r="A20" s="45" t="s">
        <v>2</v>
      </c>
      <c r="B20" s="45" t="s">
        <v>2</v>
      </c>
      <c r="C20" s="46"/>
      <c r="D20" s="47" t="s">
        <v>2</v>
      </c>
      <c r="E20" s="48" t="e">
        <f>E19/E$247</f>
        <v>#DIV/0!</v>
      </c>
      <c r="F20" s="48" t="e">
        <f>F19/F$247</f>
        <v>#DIV/0!</v>
      </c>
      <c r="G20" s="48" t="e">
        <f>G19/G$247</f>
        <v>#DIV/0!</v>
      </c>
      <c r="H20" s="48" t="e">
        <f>H19/H$247</f>
        <v>#DIV/0!</v>
      </c>
      <c r="I20" s="42"/>
      <c r="J20" s="42"/>
      <c r="M20" s="44"/>
      <c r="N20" s="44"/>
      <c r="O20" s="44"/>
      <c r="P20" s="44"/>
    </row>
    <row r="21" spans="1:16" x14ac:dyDescent="0.25">
      <c r="A21" s="27" t="s">
        <v>322</v>
      </c>
      <c r="B21" s="22" t="s">
        <v>328</v>
      </c>
      <c r="C21" s="22">
        <v>1</v>
      </c>
      <c r="D21" s="2" t="s">
        <v>76</v>
      </c>
      <c r="E21" s="23">
        <f>SUMIFS('Lista de Cargas'!P$4:P$18,'Lista de Cargas'!$H$4:$H$18,$D21,'Lista de Cargas'!$B$4:$B$18,$B21)</f>
        <v>0</v>
      </c>
      <c r="F21" s="23">
        <f>SUMIFS('Lista de Cargas'!Q$4:Q$18,'Lista de Cargas'!$H$4:$H$18,$D21,'Lista de Cargas'!$B$4:$B$18,$B21)</f>
        <v>0</v>
      </c>
      <c r="G21" s="23">
        <f>SUMIFS('Lista de Cargas'!R$4:R$18,'Lista de Cargas'!$H$4:$H$18,$D21,'Lista de Cargas'!$B$4:$B$18,$B21)</f>
        <v>0</v>
      </c>
      <c r="H21" s="23">
        <f>SUMIFS('Lista de Cargas'!S$4:S$18,'Lista de Cargas'!$H$4:$H$18,$D21,'Lista de Cargas'!$B$4:$B$18,$B21)</f>
        <v>0</v>
      </c>
      <c r="M21" s="23">
        <f t="shared" ref="M21:P27" si="3">E21</f>
        <v>0</v>
      </c>
      <c r="N21" s="23">
        <f t="shared" si="3"/>
        <v>0</v>
      </c>
      <c r="O21" s="23">
        <f t="shared" si="3"/>
        <v>0</v>
      </c>
      <c r="P21" s="23">
        <f t="shared" si="3"/>
        <v>0</v>
      </c>
    </row>
    <row r="22" spans="1:16" x14ac:dyDescent="0.25">
      <c r="A22" s="27" t="s">
        <v>322</v>
      </c>
      <c r="B22" s="22" t="s">
        <v>328</v>
      </c>
      <c r="C22" s="22">
        <v>1</v>
      </c>
      <c r="D22" s="10" t="s">
        <v>37</v>
      </c>
      <c r="E22" s="23">
        <f>SUMIFS('Lista de Cargas'!P$4:P$18,'Lista de Cargas'!$H$4:$H$18,$D22,'Lista de Cargas'!$B$4:$B$18,$B22)</f>
        <v>0</v>
      </c>
      <c r="F22" s="23">
        <f>SUMIFS('Lista de Cargas'!Q$4:Q$18,'Lista de Cargas'!$H$4:$H$18,$D22,'Lista de Cargas'!$B$4:$B$18,$B22)</f>
        <v>0</v>
      </c>
      <c r="G22" s="23">
        <f>SUMIFS('Lista de Cargas'!R$4:R$18,'Lista de Cargas'!$H$4:$H$18,$D22,'Lista de Cargas'!$B$4:$B$18,$B22)</f>
        <v>0</v>
      </c>
      <c r="H22" s="23">
        <f>SUMIFS('Lista de Cargas'!S$4:S$18,'Lista de Cargas'!$H$4:$H$18,$D22,'Lista de Cargas'!$B$4:$B$18,$B22)</f>
        <v>0</v>
      </c>
      <c r="M22" s="23">
        <f t="shared" si="3"/>
        <v>0</v>
      </c>
      <c r="N22" s="23">
        <f t="shared" si="3"/>
        <v>0</v>
      </c>
      <c r="O22" s="23">
        <f t="shared" si="3"/>
        <v>0</v>
      </c>
      <c r="P22" s="23">
        <f t="shared" si="3"/>
        <v>0</v>
      </c>
    </row>
    <row r="23" spans="1:16" x14ac:dyDescent="0.25">
      <c r="A23" s="27" t="s">
        <v>322</v>
      </c>
      <c r="B23" s="22" t="s">
        <v>328</v>
      </c>
      <c r="C23" s="22">
        <v>1</v>
      </c>
      <c r="D23" s="10" t="s">
        <v>38</v>
      </c>
      <c r="E23" s="23">
        <f>SUMIFS('Lista de Cargas'!P$4:P$18,'Lista de Cargas'!$H$4:$H$18,$D23,'Lista de Cargas'!$B$4:$B$18,$B23)</f>
        <v>0</v>
      </c>
      <c r="F23" s="23">
        <f>SUMIFS('Lista de Cargas'!Q$4:Q$18,'Lista de Cargas'!$H$4:$H$18,$D23,'Lista de Cargas'!$B$4:$B$18,$B23)</f>
        <v>0</v>
      </c>
      <c r="G23" s="23">
        <f>SUMIFS('Lista de Cargas'!R$4:R$18,'Lista de Cargas'!$H$4:$H$18,$D23,'Lista de Cargas'!$B$4:$B$18,$B23)</f>
        <v>0</v>
      </c>
      <c r="H23" s="23">
        <f>SUMIFS('Lista de Cargas'!S$4:S$18,'Lista de Cargas'!$H$4:$H$18,$D23,'Lista de Cargas'!$B$4:$B$18,$B23)</f>
        <v>0</v>
      </c>
      <c r="M23" s="23">
        <f t="shared" si="3"/>
        <v>0</v>
      </c>
      <c r="N23" s="23">
        <f t="shared" si="3"/>
        <v>0</v>
      </c>
      <c r="O23" s="23">
        <f t="shared" si="3"/>
        <v>0</v>
      </c>
      <c r="P23" s="23">
        <f t="shared" si="3"/>
        <v>0</v>
      </c>
    </row>
    <row r="24" spans="1:16" x14ac:dyDescent="0.25">
      <c r="A24" s="27" t="s">
        <v>322</v>
      </c>
      <c r="B24" s="22" t="s">
        <v>328</v>
      </c>
      <c r="C24" s="22">
        <v>1</v>
      </c>
      <c r="D24" s="10" t="s">
        <v>36</v>
      </c>
      <c r="E24" s="23">
        <f>SUMIFS('Lista de Cargas'!P$4:P$18,'Lista de Cargas'!$H$4:$H$18,$D24,'Lista de Cargas'!$B$4:$B$18,$B24)</f>
        <v>0</v>
      </c>
      <c r="F24" s="23">
        <f>SUMIFS('Lista de Cargas'!Q$4:Q$18,'Lista de Cargas'!$H$4:$H$18,$D24,'Lista de Cargas'!$B$4:$B$18,$B24)</f>
        <v>0</v>
      </c>
      <c r="G24" s="23">
        <f>SUMIFS('Lista de Cargas'!R$4:R$18,'Lista de Cargas'!$H$4:$H$18,$D24,'Lista de Cargas'!$B$4:$B$18,$B24)</f>
        <v>0</v>
      </c>
      <c r="H24" s="23">
        <f>SUMIFS('Lista de Cargas'!S$4:S$18,'Lista de Cargas'!$H$4:$H$18,$D24,'Lista de Cargas'!$B$4:$B$18,$B24)</f>
        <v>0</v>
      </c>
      <c r="M24" s="23">
        <f t="shared" si="3"/>
        <v>0</v>
      </c>
      <c r="N24" s="23">
        <f t="shared" si="3"/>
        <v>0</v>
      </c>
      <c r="O24" s="23">
        <f t="shared" si="3"/>
        <v>0</v>
      </c>
      <c r="P24" s="23">
        <f t="shared" si="3"/>
        <v>0</v>
      </c>
    </row>
    <row r="25" spans="1:16" x14ac:dyDescent="0.25">
      <c r="A25" s="27" t="s">
        <v>322</v>
      </c>
      <c r="B25" s="22" t="s">
        <v>328</v>
      </c>
      <c r="C25" s="22">
        <v>1</v>
      </c>
      <c r="D25" s="2" t="s">
        <v>158</v>
      </c>
      <c r="E25" s="23">
        <f>SUMIFS('Lista de Cargas'!P$4:P$18,'Lista de Cargas'!$H$4:$H$18,$D25,'Lista de Cargas'!$B$4:$B$18,$B25)</f>
        <v>0</v>
      </c>
      <c r="F25" s="23">
        <f>SUMIFS('Lista de Cargas'!Q$4:Q$18,'Lista de Cargas'!$H$4:$H$18,$D25,'Lista de Cargas'!$B$4:$B$18,$B25)</f>
        <v>0</v>
      </c>
      <c r="G25" s="23">
        <f>SUMIFS('Lista de Cargas'!R$4:R$18,'Lista de Cargas'!$H$4:$H$18,$D25,'Lista de Cargas'!$B$4:$B$18,$B25)</f>
        <v>0</v>
      </c>
      <c r="H25" s="23">
        <f>SUMIFS('Lista de Cargas'!S$4:S$18,'Lista de Cargas'!$H$4:$H$18,$D25,'Lista de Cargas'!$B$4:$B$18,$B25)</f>
        <v>0</v>
      </c>
      <c r="M25" s="23">
        <f t="shared" si="3"/>
        <v>0</v>
      </c>
      <c r="N25" s="23">
        <f t="shared" si="3"/>
        <v>0</v>
      </c>
      <c r="O25" s="23">
        <f t="shared" si="3"/>
        <v>0</v>
      </c>
      <c r="P25" s="23">
        <f t="shared" si="3"/>
        <v>0</v>
      </c>
    </row>
    <row r="26" spans="1:16" x14ac:dyDescent="0.25">
      <c r="A26" s="27" t="s">
        <v>322</v>
      </c>
      <c r="B26" s="22" t="s">
        <v>328</v>
      </c>
      <c r="C26" s="22">
        <v>1</v>
      </c>
      <c r="D26" s="10" t="s">
        <v>41</v>
      </c>
      <c r="E26" s="23">
        <f>SUMIFS('Lista de Cargas'!P$4:P$18,'Lista de Cargas'!$H$4:$H$18,$D26,'Lista de Cargas'!$B$4:$B$18,$B26)</f>
        <v>0</v>
      </c>
      <c r="F26" s="23">
        <f>SUMIFS('Lista de Cargas'!Q$4:Q$18,'Lista de Cargas'!$H$4:$H$18,$D26,'Lista de Cargas'!$B$4:$B$18,$B26)</f>
        <v>0</v>
      </c>
      <c r="G26" s="23">
        <f>SUMIFS('Lista de Cargas'!R$4:R$18,'Lista de Cargas'!$H$4:$H$18,$D26,'Lista de Cargas'!$B$4:$B$18,$B26)</f>
        <v>0</v>
      </c>
      <c r="H26" s="23">
        <f>SUMIFS('Lista de Cargas'!S$4:S$18,'Lista de Cargas'!$H$4:$H$18,$D26,'Lista de Cargas'!$B$4:$B$18,$B26)</f>
        <v>0</v>
      </c>
      <c r="M26" s="23">
        <f t="shared" si="3"/>
        <v>0</v>
      </c>
      <c r="N26" s="23">
        <f t="shared" si="3"/>
        <v>0</v>
      </c>
      <c r="O26" s="23">
        <f t="shared" si="3"/>
        <v>0</v>
      </c>
      <c r="P26" s="23">
        <f t="shared" si="3"/>
        <v>0</v>
      </c>
    </row>
    <row r="27" spans="1:16" x14ac:dyDescent="0.25">
      <c r="A27" s="27" t="s">
        <v>322</v>
      </c>
      <c r="B27" s="22" t="s">
        <v>328</v>
      </c>
      <c r="C27" s="22">
        <v>1</v>
      </c>
      <c r="D27" s="10" t="s">
        <v>42</v>
      </c>
      <c r="E27" s="23">
        <f>SUMIFS('Lista de Cargas'!P$4:P$18,'Lista de Cargas'!$H$4:$H$18,$D27,'Lista de Cargas'!$B$4:$B$18,$B27)</f>
        <v>0</v>
      </c>
      <c r="F27" s="23">
        <f>SUMIFS('Lista de Cargas'!Q$4:Q$18,'Lista de Cargas'!$H$4:$H$18,$D27,'Lista de Cargas'!$B$4:$B$18,$B27)</f>
        <v>0</v>
      </c>
      <c r="G27" s="23">
        <f>SUMIFS('Lista de Cargas'!R$4:R$18,'Lista de Cargas'!$H$4:$H$18,$D27,'Lista de Cargas'!$B$4:$B$18,$B27)</f>
        <v>0</v>
      </c>
      <c r="H27" s="23">
        <f>SUMIFS('Lista de Cargas'!S$4:S$18,'Lista de Cargas'!$H$4:$H$18,$D27,'Lista de Cargas'!$B$4:$B$18,$B27)</f>
        <v>0</v>
      </c>
      <c r="M27" s="23">
        <f t="shared" si="3"/>
        <v>0</v>
      </c>
      <c r="N27" s="23">
        <f t="shared" si="3"/>
        <v>0</v>
      </c>
      <c r="O27" s="23">
        <f t="shared" si="3"/>
        <v>0</v>
      </c>
      <c r="P27" s="23">
        <f t="shared" si="3"/>
        <v>0</v>
      </c>
    </row>
    <row r="28" spans="1:16" s="50" customFormat="1" x14ac:dyDescent="0.25">
      <c r="A28" s="38" t="s">
        <v>322</v>
      </c>
      <c r="B28" s="39" t="s">
        <v>328</v>
      </c>
      <c r="C28" s="45">
        <v>1</v>
      </c>
      <c r="D28" s="41" t="s">
        <v>47</v>
      </c>
      <c r="E28" s="40">
        <f>SUM(E21:E27)</f>
        <v>0</v>
      </c>
      <c r="F28" s="40">
        <f>SUM(F21:F27)</f>
        <v>0</v>
      </c>
      <c r="G28" s="40">
        <f>SUM(G21:G27)</f>
        <v>0</v>
      </c>
      <c r="H28" s="40">
        <f>SUM(H21:H27)</f>
        <v>0</v>
      </c>
      <c r="I28" s="49"/>
      <c r="J28" s="49"/>
      <c r="M28" s="44"/>
      <c r="N28" s="44"/>
      <c r="O28" s="44"/>
      <c r="P28" s="44"/>
    </row>
    <row r="29" spans="1:16" s="43" customFormat="1" x14ac:dyDescent="0.25">
      <c r="A29" s="45" t="s">
        <v>2</v>
      </c>
      <c r="B29" s="45" t="s">
        <v>2</v>
      </c>
      <c r="C29" s="46"/>
      <c r="D29" s="47" t="s">
        <v>2</v>
      </c>
      <c r="E29" s="48" t="e">
        <f>E28/E$247</f>
        <v>#DIV/0!</v>
      </c>
      <c r="F29" s="48" t="e">
        <f>F28/F$247</f>
        <v>#DIV/0!</v>
      </c>
      <c r="G29" s="48" t="e">
        <f>G28/G$247</f>
        <v>#DIV/0!</v>
      </c>
      <c r="H29" s="48" t="e">
        <f>H28/H$247</f>
        <v>#DIV/0!</v>
      </c>
      <c r="I29" s="42"/>
      <c r="J29" s="42"/>
      <c r="M29" s="44"/>
      <c r="N29" s="44"/>
      <c r="O29" s="44"/>
      <c r="P29" s="44"/>
    </row>
    <row r="30" spans="1:16" x14ac:dyDescent="0.25">
      <c r="A30" s="27" t="s">
        <v>69</v>
      </c>
      <c r="B30" s="22" t="s">
        <v>325</v>
      </c>
      <c r="C30" s="22">
        <v>1</v>
      </c>
      <c r="D30" s="2" t="s">
        <v>76</v>
      </c>
      <c r="E30" s="23">
        <f>SUMIFS('Lista de Cargas'!P$4:P$18,'Lista de Cargas'!$H$4:$H$18,$D30,'Lista de Cargas'!$B$4:$B$18,$B30)</f>
        <v>0</v>
      </c>
      <c r="F30" s="23">
        <f>SUMIFS('Lista de Cargas'!Q$4:Q$18,'Lista de Cargas'!$H$4:$H$18,$D30,'Lista de Cargas'!$B$4:$B$18,$B30)</f>
        <v>0</v>
      </c>
      <c r="G30" s="23">
        <f>SUMIFS('Lista de Cargas'!R$4:R$18,'Lista de Cargas'!$H$4:$H$18,$D30,'Lista de Cargas'!$B$4:$B$18,$B30)</f>
        <v>0</v>
      </c>
      <c r="H30" s="23">
        <f>SUMIFS('Lista de Cargas'!S$4:S$18,'Lista de Cargas'!$H$4:$H$18,$D30,'Lista de Cargas'!$B$4:$B$18,$B30)</f>
        <v>0</v>
      </c>
      <c r="M30" s="23">
        <f t="shared" ref="M30:M36" si="4">E30</f>
        <v>0</v>
      </c>
      <c r="N30" s="23">
        <f t="shared" ref="N30:N36" si="5">F30</f>
        <v>0</v>
      </c>
      <c r="O30" s="23">
        <f t="shared" ref="O30:O36" si="6">G30</f>
        <v>0</v>
      </c>
      <c r="P30" s="23">
        <f t="shared" ref="P30:P36" si="7">H30</f>
        <v>0</v>
      </c>
    </row>
    <row r="31" spans="1:16" x14ac:dyDescent="0.25">
      <c r="A31" s="27" t="s">
        <v>69</v>
      </c>
      <c r="B31" s="22" t="s">
        <v>325</v>
      </c>
      <c r="C31" s="22">
        <v>1</v>
      </c>
      <c r="D31" s="10" t="s">
        <v>37</v>
      </c>
      <c r="E31" s="23">
        <f>SUMIFS('Lista de Cargas'!P$4:P$18,'Lista de Cargas'!$H$4:$H$18,$D31,'Lista de Cargas'!$B$4:$B$18,$B31)</f>
        <v>0</v>
      </c>
      <c r="F31" s="23">
        <f>SUMIFS('Lista de Cargas'!Q$4:Q$18,'Lista de Cargas'!$H$4:$H$18,$D31,'Lista de Cargas'!$B$4:$B$18,$B31)</f>
        <v>0</v>
      </c>
      <c r="G31" s="23">
        <f>SUMIFS('Lista de Cargas'!R$4:R$18,'Lista de Cargas'!$H$4:$H$18,$D31,'Lista de Cargas'!$B$4:$B$18,$B31)</f>
        <v>0</v>
      </c>
      <c r="H31" s="23">
        <f>SUMIFS('Lista de Cargas'!S$4:S$18,'Lista de Cargas'!$H$4:$H$18,$D31,'Lista de Cargas'!$B$4:$B$18,$B31)</f>
        <v>0</v>
      </c>
      <c r="M31" s="23">
        <f t="shared" si="4"/>
        <v>0</v>
      </c>
      <c r="N31" s="23">
        <f t="shared" si="5"/>
        <v>0</v>
      </c>
      <c r="O31" s="23">
        <f t="shared" si="6"/>
        <v>0</v>
      </c>
      <c r="P31" s="23">
        <f t="shared" si="7"/>
        <v>0</v>
      </c>
    </row>
    <row r="32" spans="1:16" ht="12.75" customHeight="1" x14ac:dyDescent="0.25">
      <c r="A32" s="27" t="s">
        <v>69</v>
      </c>
      <c r="B32" s="22" t="s">
        <v>325</v>
      </c>
      <c r="C32" s="22">
        <v>1</v>
      </c>
      <c r="D32" s="10" t="s">
        <v>38</v>
      </c>
      <c r="E32" s="23">
        <f>SUMIFS('Lista de Cargas'!P$4:P$18,'Lista de Cargas'!$H$4:$H$18,$D32,'Lista de Cargas'!$B$4:$B$18,$B32)</f>
        <v>0</v>
      </c>
      <c r="F32" s="23">
        <f>SUMIFS('Lista de Cargas'!Q$4:Q$18,'Lista de Cargas'!$H$4:$H$18,$D32,'Lista de Cargas'!$B$4:$B$18,$B32)</f>
        <v>0</v>
      </c>
      <c r="G32" s="23">
        <f>SUMIFS('Lista de Cargas'!R$4:R$18,'Lista de Cargas'!$H$4:$H$18,$D32,'Lista de Cargas'!$B$4:$B$18,$B32)</f>
        <v>0</v>
      </c>
      <c r="H32" s="23">
        <f>SUMIFS('Lista de Cargas'!S$4:S$18,'Lista de Cargas'!$H$4:$H$18,$D32,'Lista de Cargas'!$B$4:$B$18,$B32)</f>
        <v>0</v>
      </c>
      <c r="M32" s="23">
        <f t="shared" si="4"/>
        <v>0</v>
      </c>
      <c r="N32" s="23">
        <f t="shared" si="5"/>
        <v>0</v>
      </c>
      <c r="O32" s="23">
        <f t="shared" si="6"/>
        <v>0</v>
      </c>
      <c r="P32" s="23">
        <f t="shared" si="7"/>
        <v>0</v>
      </c>
    </row>
    <row r="33" spans="1:16" x14ac:dyDescent="0.25">
      <c r="A33" s="27" t="s">
        <v>69</v>
      </c>
      <c r="B33" s="22" t="s">
        <v>325</v>
      </c>
      <c r="C33" s="22">
        <v>1</v>
      </c>
      <c r="D33" s="10" t="s">
        <v>36</v>
      </c>
      <c r="E33" s="23">
        <f>SUMIFS('Lista de Cargas'!P$4:P$18,'Lista de Cargas'!$H$4:$H$18,$D33,'Lista de Cargas'!$B$4:$B$18,$B33)</f>
        <v>0</v>
      </c>
      <c r="F33" s="23">
        <f>SUMIFS('Lista de Cargas'!Q$4:Q$18,'Lista de Cargas'!$H$4:$H$18,$D33,'Lista de Cargas'!$B$4:$B$18,$B33)</f>
        <v>0</v>
      </c>
      <c r="G33" s="23">
        <f>SUMIFS('Lista de Cargas'!R$4:R$18,'Lista de Cargas'!$H$4:$H$18,$D33,'Lista de Cargas'!$B$4:$B$18,$B33)</f>
        <v>0</v>
      </c>
      <c r="H33" s="23">
        <f>SUMIFS('Lista de Cargas'!S$4:S$18,'Lista de Cargas'!$H$4:$H$18,$D33,'Lista de Cargas'!$B$4:$B$18,$B33)</f>
        <v>0</v>
      </c>
      <c r="M33" s="23">
        <f t="shared" si="4"/>
        <v>0</v>
      </c>
      <c r="N33" s="23">
        <f t="shared" si="5"/>
        <v>0</v>
      </c>
      <c r="O33" s="23">
        <f t="shared" si="6"/>
        <v>0</v>
      </c>
      <c r="P33" s="23">
        <f t="shared" si="7"/>
        <v>0</v>
      </c>
    </row>
    <row r="34" spans="1:16" x14ac:dyDescent="0.25">
      <c r="A34" s="27" t="s">
        <v>69</v>
      </c>
      <c r="B34" s="22" t="s">
        <v>325</v>
      </c>
      <c r="C34" s="22">
        <v>1</v>
      </c>
      <c r="D34" s="2" t="s">
        <v>158</v>
      </c>
      <c r="E34" s="23">
        <f>SUMIFS('Lista de Cargas'!P$4:P$18,'Lista de Cargas'!$H$4:$H$18,$D34,'Lista de Cargas'!$B$4:$B$18,$B34)</f>
        <v>0</v>
      </c>
      <c r="F34" s="23">
        <f>SUMIFS('Lista de Cargas'!Q$4:Q$18,'Lista de Cargas'!$H$4:$H$18,$D34,'Lista de Cargas'!$B$4:$B$18,$B34)</f>
        <v>0</v>
      </c>
      <c r="G34" s="23">
        <f>SUMIFS('Lista de Cargas'!R$4:R$18,'Lista de Cargas'!$H$4:$H$18,$D34,'Lista de Cargas'!$B$4:$B$18,$B34)</f>
        <v>0</v>
      </c>
      <c r="H34" s="23">
        <f>SUMIFS('Lista de Cargas'!S$4:S$18,'Lista de Cargas'!$H$4:$H$18,$D34,'Lista de Cargas'!$B$4:$B$18,$B34)</f>
        <v>0</v>
      </c>
      <c r="M34" s="23">
        <f t="shared" si="4"/>
        <v>0</v>
      </c>
      <c r="N34" s="23">
        <f t="shared" si="5"/>
        <v>0</v>
      </c>
      <c r="O34" s="23">
        <f t="shared" si="6"/>
        <v>0</v>
      </c>
      <c r="P34" s="23">
        <f t="shared" si="7"/>
        <v>0</v>
      </c>
    </row>
    <row r="35" spans="1:16" x14ac:dyDescent="0.25">
      <c r="A35" s="27" t="s">
        <v>69</v>
      </c>
      <c r="B35" s="22" t="s">
        <v>325</v>
      </c>
      <c r="C35" s="22">
        <v>1</v>
      </c>
      <c r="D35" s="10" t="s">
        <v>41</v>
      </c>
      <c r="E35" s="23">
        <f>SUMIFS('Lista de Cargas'!P$4:P$18,'Lista de Cargas'!$H$4:$H$18,$D35,'Lista de Cargas'!$B$4:$B$18,$B35)</f>
        <v>0</v>
      </c>
      <c r="F35" s="23">
        <f>SUMIFS('Lista de Cargas'!Q$4:Q$18,'Lista de Cargas'!$H$4:$H$18,$D35,'Lista de Cargas'!$B$4:$B$18,$B35)</f>
        <v>0</v>
      </c>
      <c r="G35" s="23">
        <f>SUMIFS('Lista de Cargas'!R$4:R$18,'Lista de Cargas'!$H$4:$H$18,$D35,'Lista de Cargas'!$B$4:$B$18,$B35)</f>
        <v>0</v>
      </c>
      <c r="H35" s="23">
        <f>SUMIFS('Lista de Cargas'!S$4:S$18,'Lista de Cargas'!$H$4:$H$18,$D35,'Lista de Cargas'!$B$4:$B$18,$B35)</f>
        <v>0</v>
      </c>
      <c r="M35" s="23">
        <f t="shared" si="4"/>
        <v>0</v>
      </c>
      <c r="N35" s="23">
        <f t="shared" si="5"/>
        <v>0</v>
      </c>
      <c r="O35" s="23">
        <f t="shared" si="6"/>
        <v>0</v>
      </c>
      <c r="P35" s="23">
        <f t="shared" si="7"/>
        <v>0</v>
      </c>
    </row>
    <row r="36" spans="1:16" x14ac:dyDescent="0.25">
      <c r="A36" s="27" t="s">
        <v>69</v>
      </c>
      <c r="B36" s="22" t="s">
        <v>325</v>
      </c>
      <c r="C36" s="22">
        <v>1</v>
      </c>
      <c r="D36" s="10" t="s">
        <v>42</v>
      </c>
      <c r="E36" s="23">
        <f>SUMIFS('Lista de Cargas'!P$4:P$18,'Lista de Cargas'!$H$4:$H$18,$D36,'Lista de Cargas'!$B$4:$B$18,$B36)</f>
        <v>0</v>
      </c>
      <c r="F36" s="23">
        <f>SUMIFS('Lista de Cargas'!Q$4:Q$18,'Lista de Cargas'!$H$4:$H$18,$D36,'Lista de Cargas'!$B$4:$B$18,$B36)</f>
        <v>0</v>
      </c>
      <c r="G36" s="23">
        <f>SUMIFS('Lista de Cargas'!R$4:R$18,'Lista de Cargas'!$H$4:$H$18,$D36,'Lista de Cargas'!$B$4:$B$18,$B36)</f>
        <v>0</v>
      </c>
      <c r="H36" s="23">
        <f>SUMIFS('Lista de Cargas'!S$4:S$18,'Lista de Cargas'!$H$4:$H$18,$D36,'Lista de Cargas'!$B$4:$B$18,$B36)</f>
        <v>0</v>
      </c>
      <c r="M36" s="23">
        <f t="shared" si="4"/>
        <v>0</v>
      </c>
      <c r="N36" s="23">
        <f t="shared" si="5"/>
        <v>0</v>
      </c>
      <c r="O36" s="23">
        <f t="shared" si="6"/>
        <v>0</v>
      </c>
      <c r="P36" s="23">
        <f t="shared" si="7"/>
        <v>0</v>
      </c>
    </row>
    <row r="37" spans="1:16" s="43" customFormat="1" x14ac:dyDescent="0.25">
      <c r="A37" s="38" t="s">
        <v>69</v>
      </c>
      <c r="B37" s="39" t="s">
        <v>325</v>
      </c>
      <c r="C37" s="45">
        <v>1</v>
      </c>
      <c r="D37" s="41" t="s">
        <v>47</v>
      </c>
      <c r="E37" s="40">
        <f>SUM(E30:E36)</f>
        <v>0</v>
      </c>
      <c r="F37" s="40">
        <f>SUM(F30:F36)</f>
        <v>0</v>
      </c>
      <c r="G37" s="40">
        <f>SUM(G30:G36)</f>
        <v>0</v>
      </c>
      <c r="H37" s="40">
        <f>SUM(H30:H36)</f>
        <v>0</v>
      </c>
      <c r="I37" s="42"/>
      <c r="J37" s="42"/>
      <c r="M37" s="44"/>
      <c r="N37" s="44"/>
      <c r="O37" s="44"/>
      <c r="P37" s="44"/>
    </row>
    <row r="38" spans="1:16" s="43" customFormat="1" x14ac:dyDescent="0.25">
      <c r="A38" s="45" t="s">
        <v>2</v>
      </c>
      <c r="B38" s="45" t="s">
        <v>2</v>
      </c>
      <c r="C38" s="46"/>
      <c r="D38" s="47" t="s">
        <v>2</v>
      </c>
      <c r="E38" s="48" t="e">
        <f>E37/E$247</f>
        <v>#DIV/0!</v>
      </c>
      <c r="F38" s="48" t="e">
        <f>F37/F$247</f>
        <v>#DIV/0!</v>
      </c>
      <c r="G38" s="48" t="e">
        <f>G37/G$247</f>
        <v>#DIV/0!</v>
      </c>
      <c r="H38" s="48" t="e">
        <f>H37/H$247</f>
        <v>#DIV/0!</v>
      </c>
      <c r="I38" s="42"/>
      <c r="J38" s="42"/>
      <c r="M38" s="44"/>
      <c r="N38" s="44"/>
      <c r="O38" s="44"/>
      <c r="P38" s="44"/>
    </row>
    <row r="39" spans="1:16" x14ac:dyDescent="0.25">
      <c r="A39" s="27" t="s">
        <v>69</v>
      </c>
      <c r="B39" s="22" t="s">
        <v>324</v>
      </c>
      <c r="C39" s="22">
        <v>1</v>
      </c>
      <c r="D39" s="2" t="s">
        <v>76</v>
      </c>
      <c r="E39" s="23">
        <f>SUMIFS('Lista de Cargas'!P$4:P$18,'Lista de Cargas'!$H$4:$H$18,$D39,'Lista de Cargas'!$B$4:$B$18,$B39)</f>
        <v>0</v>
      </c>
      <c r="F39" s="23">
        <f>SUMIFS('Lista de Cargas'!Q$4:Q$18,'Lista de Cargas'!$H$4:$H$18,$D39,'Lista de Cargas'!$B$4:$B$18,$B39)</f>
        <v>0</v>
      </c>
      <c r="G39" s="23">
        <f>SUMIFS('Lista de Cargas'!R$4:R$18,'Lista de Cargas'!$H$4:$H$18,$D39,'Lista de Cargas'!$B$4:$B$18,$B39)</f>
        <v>0</v>
      </c>
      <c r="H39" s="23">
        <f>SUMIFS('Lista de Cargas'!S$4:S$18,'Lista de Cargas'!$H$4:$H$18,$D39,'Lista de Cargas'!$B$4:$B$18,$B39)</f>
        <v>0</v>
      </c>
      <c r="M39" s="23">
        <f t="shared" ref="M39:M45" si="8">E39</f>
        <v>0</v>
      </c>
      <c r="N39" s="23">
        <f t="shared" ref="N39:N45" si="9">F39</f>
        <v>0</v>
      </c>
      <c r="O39" s="23">
        <f t="shared" ref="O39:O45" si="10">G39</f>
        <v>0</v>
      </c>
      <c r="P39" s="23">
        <f t="shared" ref="P39:P45" si="11">H39</f>
        <v>0</v>
      </c>
    </row>
    <row r="40" spans="1:16" x14ac:dyDescent="0.25">
      <c r="A40" s="27" t="s">
        <v>69</v>
      </c>
      <c r="B40" s="22" t="s">
        <v>324</v>
      </c>
      <c r="C40" s="22">
        <v>1</v>
      </c>
      <c r="D40" s="10" t="s">
        <v>37</v>
      </c>
      <c r="E40" s="23">
        <f>SUMIFS('Lista de Cargas'!P$4:P$18,'Lista de Cargas'!$H$4:$H$18,$D40,'Lista de Cargas'!$B$4:$B$18,$B40)</f>
        <v>0</v>
      </c>
      <c r="F40" s="23">
        <f>SUMIFS('Lista de Cargas'!Q$4:Q$18,'Lista de Cargas'!$H$4:$H$18,$D40,'Lista de Cargas'!$B$4:$B$18,$B40)</f>
        <v>0</v>
      </c>
      <c r="G40" s="23">
        <f>SUMIFS('Lista de Cargas'!R$4:R$18,'Lista de Cargas'!$H$4:$H$18,$D40,'Lista de Cargas'!$B$4:$B$18,$B40)</f>
        <v>0</v>
      </c>
      <c r="H40" s="23">
        <f>SUMIFS('Lista de Cargas'!S$4:S$18,'Lista de Cargas'!$H$4:$H$18,$D40,'Lista de Cargas'!$B$4:$B$18,$B40)</f>
        <v>0</v>
      </c>
      <c r="M40" s="23">
        <f t="shared" si="8"/>
        <v>0</v>
      </c>
      <c r="N40" s="23">
        <f t="shared" si="9"/>
        <v>0</v>
      </c>
      <c r="O40" s="23">
        <f t="shared" si="10"/>
        <v>0</v>
      </c>
      <c r="P40" s="23">
        <f t="shared" si="11"/>
        <v>0</v>
      </c>
    </row>
    <row r="41" spans="1:16" ht="12.75" customHeight="1" x14ac:dyDescent="0.25">
      <c r="A41" s="27" t="s">
        <v>69</v>
      </c>
      <c r="B41" s="22" t="s">
        <v>324</v>
      </c>
      <c r="C41" s="22">
        <v>1</v>
      </c>
      <c r="D41" s="10" t="s">
        <v>38</v>
      </c>
      <c r="E41" s="23">
        <f>SUMIFS('Lista de Cargas'!P$4:P$18,'Lista de Cargas'!$H$4:$H$18,$D41,'Lista de Cargas'!$B$4:$B$18,$B41)</f>
        <v>0</v>
      </c>
      <c r="F41" s="23">
        <f>SUMIFS('Lista de Cargas'!Q$4:Q$18,'Lista de Cargas'!$H$4:$H$18,$D41,'Lista de Cargas'!$B$4:$B$18,$B41)</f>
        <v>0</v>
      </c>
      <c r="G41" s="23">
        <f>SUMIFS('Lista de Cargas'!R$4:R$18,'Lista de Cargas'!$H$4:$H$18,$D41,'Lista de Cargas'!$B$4:$B$18,$B41)</f>
        <v>0</v>
      </c>
      <c r="H41" s="23">
        <f>SUMIFS('Lista de Cargas'!S$4:S$18,'Lista de Cargas'!$H$4:$H$18,$D41,'Lista de Cargas'!$B$4:$B$18,$B41)</f>
        <v>0</v>
      </c>
      <c r="M41" s="23">
        <f t="shared" si="8"/>
        <v>0</v>
      </c>
      <c r="N41" s="23">
        <f t="shared" si="9"/>
        <v>0</v>
      </c>
      <c r="O41" s="23">
        <f t="shared" si="10"/>
        <v>0</v>
      </c>
      <c r="P41" s="23">
        <f t="shared" si="11"/>
        <v>0</v>
      </c>
    </row>
    <row r="42" spans="1:16" x14ac:dyDescent="0.25">
      <c r="A42" s="27" t="s">
        <v>69</v>
      </c>
      <c r="B42" s="22" t="s">
        <v>324</v>
      </c>
      <c r="C42" s="22">
        <v>1</v>
      </c>
      <c r="D42" s="10" t="s">
        <v>36</v>
      </c>
      <c r="E42" s="23">
        <f>SUMIFS('Lista de Cargas'!P$4:P$18,'Lista de Cargas'!$H$4:$H$18,$D42,'Lista de Cargas'!$B$4:$B$18,$B42)</f>
        <v>0</v>
      </c>
      <c r="F42" s="23">
        <f>SUMIFS('Lista de Cargas'!Q$4:Q$18,'Lista de Cargas'!$H$4:$H$18,$D42,'Lista de Cargas'!$B$4:$B$18,$B42)</f>
        <v>0</v>
      </c>
      <c r="G42" s="23">
        <f>SUMIFS('Lista de Cargas'!R$4:R$18,'Lista de Cargas'!$H$4:$H$18,$D42,'Lista de Cargas'!$B$4:$B$18,$B42)</f>
        <v>0</v>
      </c>
      <c r="H42" s="23">
        <f>SUMIFS('Lista de Cargas'!S$4:S$18,'Lista de Cargas'!$H$4:$H$18,$D42,'Lista de Cargas'!$B$4:$B$18,$B42)</f>
        <v>0</v>
      </c>
      <c r="M42" s="23">
        <f t="shared" si="8"/>
        <v>0</v>
      </c>
      <c r="N42" s="23">
        <f t="shared" si="9"/>
        <v>0</v>
      </c>
      <c r="O42" s="23">
        <f t="shared" si="10"/>
        <v>0</v>
      </c>
      <c r="P42" s="23">
        <f t="shared" si="11"/>
        <v>0</v>
      </c>
    </row>
    <row r="43" spans="1:16" x14ac:dyDescent="0.25">
      <c r="A43" s="27" t="s">
        <v>69</v>
      </c>
      <c r="B43" s="22" t="s">
        <v>324</v>
      </c>
      <c r="C43" s="22">
        <v>1</v>
      </c>
      <c r="D43" s="2" t="s">
        <v>158</v>
      </c>
      <c r="E43" s="23">
        <f>SUMIFS('Lista de Cargas'!P$4:P$18,'Lista de Cargas'!$H$4:$H$18,$D43,'Lista de Cargas'!$B$4:$B$18,$B43)</f>
        <v>0</v>
      </c>
      <c r="F43" s="23">
        <f>SUMIFS('Lista de Cargas'!Q$4:Q$18,'Lista de Cargas'!$H$4:$H$18,$D43,'Lista de Cargas'!$B$4:$B$18,$B43)</f>
        <v>0</v>
      </c>
      <c r="G43" s="23">
        <f>SUMIFS('Lista de Cargas'!R$4:R$18,'Lista de Cargas'!$H$4:$H$18,$D43,'Lista de Cargas'!$B$4:$B$18,$B43)</f>
        <v>0</v>
      </c>
      <c r="H43" s="23">
        <f>SUMIFS('Lista de Cargas'!S$4:S$18,'Lista de Cargas'!$H$4:$H$18,$D43,'Lista de Cargas'!$B$4:$B$18,$B43)</f>
        <v>0</v>
      </c>
      <c r="M43" s="23">
        <f t="shared" si="8"/>
        <v>0</v>
      </c>
      <c r="N43" s="23">
        <f t="shared" si="9"/>
        <v>0</v>
      </c>
      <c r="O43" s="23">
        <f t="shared" si="10"/>
        <v>0</v>
      </c>
      <c r="P43" s="23">
        <f t="shared" si="11"/>
        <v>0</v>
      </c>
    </row>
    <row r="44" spans="1:16" x14ac:dyDescent="0.25">
      <c r="A44" s="27" t="s">
        <v>69</v>
      </c>
      <c r="B44" s="22" t="s">
        <v>324</v>
      </c>
      <c r="C44" s="22">
        <v>1</v>
      </c>
      <c r="D44" s="10" t="s">
        <v>41</v>
      </c>
      <c r="E44" s="23">
        <f>SUMIFS('Lista de Cargas'!P$4:P$18,'Lista de Cargas'!$H$4:$H$18,$D44,'Lista de Cargas'!$B$4:$B$18,$B44)</f>
        <v>0</v>
      </c>
      <c r="F44" s="23">
        <f>SUMIFS('Lista de Cargas'!Q$4:Q$18,'Lista de Cargas'!$H$4:$H$18,$D44,'Lista de Cargas'!$B$4:$B$18,$B44)</f>
        <v>0</v>
      </c>
      <c r="G44" s="23">
        <f>SUMIFS('Lista de Cargas'!R$4:R$18,'Lista de Cargas'!$H$4:$H$18,$D44,'Lista de Cargas'!$B$4:$B$18,$B44)</f>
        <v>0</v>
      </c>
      <c r="H44" s="23">
        <f>SUMIFS('Lista de Cargas'!S$4:S$18,'Lista de Cargas'!$H$4:$H$18,$D44,'Lista de Cargas'!$B$4:$B$18,$B44)</f>
        <v>0</v>
      </c>
      <c r="M44" s="23">
        <f t="shared" si="8"/>
        <v>0</v>
      </c>
      <c r="N44" s="23">
        <f t="shared" si="9"/>
        <v>0</v>
      </c>
      <c r="O44" s="23">
        <f t="shared" si="10"/>
        <v>0</v>
      </c>
      <c r="P44" s="23">
        <f t="shared" si="11"/>
        <v>0</v>
      </c>
    </row>
    <row r="45" spans="1:16" x14ac:dyDescent="0.25">
      <c r="A45" s="27" t="s">
        <v>69</v>
      </c>
      <c r="B45" s="22" t="s">
        <v>324</v>
      </c>
      <c r="C45" s="22">
        <v>1</v>
      </c>
      <c r="D45" s="10" t="s">
        <v>42</v>
      </c>
      <c r="E45" s="23">
        <f>SUMIFS('Lista de Cargas'!P$4:P$18,'Lista de Cargas'!$H$4:$H$18,$D45,'Lista de Cargas'!$B$4:$B$18,$B45)</f>
        <v>0</v>
      </c>
      <c r="F45" s="23">
        <f>SUMIFS('Lista de Cargas'!Q$4:Q$18,'Lista de Cargas'!$H$4:$H$18,$D45,'Lista de Cargas'!$B$4:$B$18,$B45)</f>
        <v>0</v>
      </c>
      <c r="G45" s="23">
        <f>SUMIFS('Lista de Cargas'!R$4:R$18,'Lista de Cargas'!$H$4:$H$18,$D45,'Lista de Cargas'!$B$4:$B$18,$B45)</f>
        <v>0</v>
      </c>
      <c r="H45" s="23">
        <f>SUMIFS('Lista de Cargas'!S$4:S$18,'Lista de Cargas'!$H$4:$H$18,$D45,'Lista de Cargas'!$B$4:$B$18,$B45)</f>
        <v>0</v>
      </c>
      <c r="M45" s="23">
        <f t="shared" si="8"/>
        <v>0</v>
      </c>
      <c r="N45" s="23">
        <f t="shared" si="9"/>
        <v>0</v>
      </c>
      <c r="O45" s="23">
        <f t="shared" si="10"/>
        <v>0</v>
      </c>
      <c r="P45" s="23">
        <f t="shared" si="11"/>
        <v>0</v>
      </c>
    </row>
    <row r="46" spans="1:16" s="43" customFormat="1" x14ac:dyDescent="0.25">
      <c r="A46" s="38" t="s">
        <v>69</v>
      </c>
      <c r="B46" s="39" t="s">
        <v>324</v>
      </c>
      <c r="C46" s="45">
        <v>1</v>
      </c>
      <c r="D46" s="41" t="s">
        <v>47</v>
      </c>
      <c r="E46" s="40">
        <f>SUM(E39:E45)</f>
        <v>0</v>
      </c>
      <c r="F46" s="40">
        <f>SUM(F39:F45)</f>
        <v>0</v>
      </c>
      <c r="G46" s="40">
        <f>SUM(G39:G45)</f>
        <v>0</v>
      </c>
      <c r="H46" s="40">
        <f>SUM(H39:H45)</f>
        <v>0</v>
      </c>
      <c r="I46" s="42"/>
      <c r="J46" s="42"/>
      <c r="M46" s="44"/>
      <c r="N46" s="44"/>
      <c r="O46" s="44"/>
      <c r="P46" s="44"/>
    </row>
    <row r="47" spans="1:16" s="43" customFormat="1" x14ac:dyDescent="0.25">
      <c r="A47" s="45" t="s">
        <v>2</v>
      </c>
      <c r="B47" s="45" t="s">
        <v>2</v>
      </c>
      <c r="C47" s="46"/>
      <c r="D47" s="47" t="s">
        <v>2</v>
      </c>
      <c r="E47" s="48" t="e">
        <f>E46/E$247</f>
        <v>#DIV/0!</v>
      </c>
      <c r="F47" s="48" t="e">
        <f>F46/F$247</f>
        <v>#DIV/0!</v>
      </c>
      <c r="G47" s="48" t="e">
        <f>G46/G$247</f>
        <v>#DIV/0!</v>
      </c>
      <c r="H47" s="48" t="e">
        <f>H46/H$247</f>
        <v>#DIV/0!</v>
      </c>
      <c r="I47" s="42"/>
      <c r="J47" s="42"/>
      <c r="M47" s="44"/>
      <c r="N47" s="44"/>
      <c r="O47" s="44"/>
      <c r="P47" s="44"/>
    </row>
    <row r="48" spans="1:16" x14ac:dyDescent="0.25">
      <c r="A48" s="27" t="s">
        <v>75</v>
      </c>
      <c r="B48" s="22" t="s">
        <v>326</v>
      </c>
      <c r="C48" s="22">
        <v>1</v>
      </c>
      <c r="D48" s="2" t="s">
        <v>76</v>
      </c>
      <c r="E48" s="23">
        <f>SUMIFS('Lista de Cargas'!P$4:P$18,'Lista de Cargas'!$H$4:$H$18,$D48,'Lista de Cargas'!$B$4:$B$18,$B48)</f>
        <v>0</v>
      </c>
      <c r="F48" s="23">
        <f>SUMIFS('Lista de Cargas'!Q$4:Q$18,'Lista de Cargas'!$H$4:$H$18,$D48,'Lista de Cargas'!$B$4:$B$18,$B48)</f>
        <v>0</v>
      </c>
      <c r="G48" s="23">
        <f>SUMIFS('Lista de Cargas'!R$4:R$18,'Lista de Cargas'!$H$4:$H$18,$D48,'Lista de Cargas'!$B$4:$B$18,$B48)</f>
        <v>0</v>
      </c>
      <c r="H48" s="23">
        <f>SUMIFS('Lista de Cargas'!S$4:S$18,'Lista de Cargas'!$H$4:$H$18,$D48,'Lista de Cargas'!$B$4:$B$18,$B48)</f>
        <v>0</v>
      </c>
      <c r="M48" s="23">
        <f t="shared" ref="M48:P54" si="12">E48</f>
        <v>0</v>
      </c>
      <c r="N48" s="23">
        <f t="shared" si="12"/>
        <v>0</v>
      </c>
      <c r="O48" s="23">
        <f t="shared" si="12"/>
        <v>0</v>
      </c>
      <c r="P48" s="23">
        <f t="shared" si="12"/>
        <v>0</v>
      </c>
    </row>
    <row r="49" spans="1:16" x14ac:dyDescent="0.25">
      <c r="A49" s="27" t="s">
        <v>75</v>
      </c>
      <c r="B49" s="22" t="s">
        <v>326</v>
      </c>
      <c r="C49" s="22">
        <v>1</v>
      </c>
      <c r="D49" s="10" t="s">
        <v>37</v>
      </c>
      <c r="E49" s="23">
        <f>SUMIFS('Lista de Cargas'!P$4:P$18,'Lista de Cargas'!$H$4:$H$18,$D49,'Lista de Cargas'!$B$4:$B$18,$B49)</f>
        <v>0</v>
      </c>
      <c r="F49" s="23">
        <f>SUMIFS('Lista de Cargas'!Q$4:Q$18,'Lista de Cargas'!$H$4:$H$18,$D49,'Lista de Cargas'!$B$4:$B$18,$B49)</f>
        <v>0</v>
      </c>
      <c r="G49" s="23">
        <f>SUMIFS('Lista de Cargas'!R$4:R$18,'Lista de Cargas'!$H$4:$H$18,$D49,'Lista de Cargas'!$B$4:$B$18,$B49)</f>
        <v>0</v>
      </c>
      <c r="H49" s="23">
        <f>SUMIFS('Lista de Cargas'!S$4:S$18,'Lista de Cargas'!$H$4:$H$18,$D49,'Lista de Cargas'!$B$4:$B$18,$B49)</f>
        <v>0</v>
      </c>
      <c r="M49" s="23">
        <f t="shared" si="12"/>
        <v>0</v>
      </c>
      <c r="N49" s="23">
        <f t="shared" si="12"/>
        <v>0</v>
      </c>
      <c r="O49" s="23">
        <f t="shared" si="12"/>
        <v>0</v>
      </c>
      <c r="P49" s="23">
        <f t="shared" si="12"/>
        <v>0</v>
      </c>
    </row>
    <row r="50" spans="1:16" ht="12.75" customHeight="1" x14ac:dyDescent="0.25">
      <c r="A50" s="27" t="s">
        <v>75</v>
      </c>
      <c r="B50" s="22" t="s">
        <v>326</v>
      </c>
      <c r="C50" s="22">
        <v>1</v>
      </c>
      <c r="D50" s="10" t="s">
        <v>38</v>
      </c>
      <c r="E50" s="23">
        <f>SUMIFS('Lista de Cargas'!P$4:P$18,'Lista de Cargas'!$H$4:$H$18,$D50,'Lista de Cargas'!$B$4:$B$18,$B50)</f>
        <v>0</v>
      </c>
      <c r="F50" s="23">
        <f>SUMIFS('Lista de Cargas'!Q$4:Q$18,'Lista de Cargas'!$H$4:$H$18,$D50,'Lista de Cargas'!$B$4:$B$18,$B50)</f>
        <v>0</v>
      </c>
      <c r="G50" s="23">
        <f>SUMIFS('Lista de Cargas'!R$4:R$18,'Lista de Cargas'!$H$4:$H$18,$D50,'Lista de Cargas'!$B$4:$B$18,$B50)</f>
        <v>0</v>
      </c>
      <c r="H50" s="23">
        <f>SUMIFS('Lista de Cargas'!S$4:S$18,'Lista de Cargas'!$H$4:$H$18,$D50,'Lista de Cargas'!$B$4:$B$18,$B50)</f>
        <v>0</v>
      </c>
      <c r="M50" s="23">
        <f t="shared" si="12"/>
        <v>0</v>
      </c>
      <c r="N50" s="23">
        <f t="shared" si="12"/>
        <v>0</v>
      </c>
      <c r="O50" s="23">
        <f t="shared" si="12"/>
        <v>0</v>
      </c>
      <c r="P50" s="23">
        <f t="shared" si="12"/>
        <v>0</v>
      </c>
    </row>
    <row r="51" spans="1:16" x14ac:dyDescent="0.25">
      <c r="A51" s="27" t="s">
        <v>75</v>
      </c>
      <c r="B51" s="22" t="s">
        <v>326</v>
      </c>
      <c r="C51" s="22">
        <v>1</v>
      </c>
      <c r="D51" s="10" t="s">
        <v>36</v>
      </c>
      <c r="E51" s="23">
        <f>SUMIFS('Lista de Cargas'!P$4:P$18,'Lista de Cargas'!$H$4:$H$18,$D51,'Lista de Cargas'!$B$4:$B$18,$B51)</f>
        <v>0</v>
      </c>
      <c r="F51" s="23">
        <f>SUMIFS('Lista de Cargas'!Q$4:Q$18,'Lista de Cargas'!$H$4:$H$18,$D51,'Lista de Cargas'!$B$4:$B$18,$B51)</f>
        <v>0</v>
      </c>
      <c r="G51" s="23">
        <f>SUMIFS('Lista de Cargas'!R$4:R$18,'Lista de Cargas'!$H$4:$H$18,$D51,'Lista de Cargas'!$B$4:$B$18,$B51)</f>
        <v>0</v>
      </c>
      <c r="H51" s="23">
        <f>SUMIFS('Lista de Cargas'!S$4:S$18,'Lista de Cargas'!$H$4:$H$18,$D51,'Lista de Cargas'!$B$4:$B$18,$B51)</f>
        <v>0</v>
      </c>
      <c r="M51" s="23">
        <f t="shared" si="12"/>
        <v>0</v>
      </c>
      <c r="N51" s="23">
        <f t="shared" si="12"/>
        <v>0</v>
      </c>
      <c r="O51" s="23">
        <f t="shared" si="12"/>
        <v>0</v>
      </c>
      <c r="P51" s="23">
        <f t="shared" si="12"/>
        <v>0</v>
      </c>
    </row>
    <row r="52" spans="1:16" x14ac:dyDescent="0.25">
      <c r="A52" s="27" t="s">
        <v>75</v>
      </c>
      <c r="B52" s="22" t="s">
        <v>326</v>
      </c>
      <c r="C52" s="22">
        <v>1</v>
      </c>
      <c r="D52" s="2" t="s">
        <v>158</v>
      </c>
      <c r="E52" s="23">
        <f>SUMIFS('Lista de Cargas'!P$4:P$18,'Lista de Cargas'!$H$4:$H$18,$D52,'Lista de Cargas'!$B$4:$B$18,$B52)</f>
        <v>0</v>
      </c>
      <c r="F52" s="23">
        <f>SUMIFS('Lista de Cargas'!Q$4:Q$18,'Lista de Cargas'!$H$4:$H$18,$D52,'Lista de Cargas'!$B$4:$B$18,$B52)</f>
        <v>0</v>
      </c>
      <c r="G52" s="23">
        <f>SUMIFS('Lista de Cargas'!R$4:R$18,'Lista de Cargas'!$H$4:$H$18,$D52,'Lista de Cargas'!$B$4:$B$18,$B52)</f>
        <v>0</v>
      </c>
      <c r="H52" s="23">
        <f>SUMIFS('Lista de Cargas'!S$4:S$18,'Lista de Cargas'!$H$4:$H$18,$D52,'Lista de Cargas'!$B$4:$B$18,$B52)</f>
        <v>0</v>
      </c>
      <c r="M52" s="23">
        <f t="shared" si="12"/>
        <v>0</v>
      </c>
      <c r="N52" s="23">
        <f t="shared" si="12"/>
        <v>0</v>
      </c>
      <c r="O52" s="23">
        <f t="shared" si="12"/>
        <v>0</v>
      </c>
      <c r="P52" s="23">
        <f t="shared" si="12"/>
        <v>0</v>
      </c>
    </row>
    <row r="53" spans="1:16" x14ac:dyDescent="0.25">
      <c r="A53" s="27" t="s">
        <v>75</v>
      </c>
      <c r="B53" s="22" t="s">
        <v>326</v>
      </c>
      <c r="C53" s="22">
        <v>1</v>
      </c>
      <c r="D53" s="10" t="s">
        <v>41</v>
      </c>
      <c r="E53" s="23">
        <f>SUMIFS('Lista de Cargas'!P$4:P$18,'Lista de Cargas'!$H$4:$H$18,$D53,'Lista de Cargas'!$B$4:$B$18,$B53)</f>
        <v>0</v>
      </c>
      <c r="F53" s="23">
        <f>SUMIFS('Lista de Cargas'!Q$4:Q$18,'Lista de Cargas'!$H$4:$H$18,$D53,'Lista de Cargas'!$B$4:$B$18,$B53)</f>
        <v>0</v>
      </c>
      <c r="G53" s="23">
        <f>SUMIFS('Lista de Cargas'!R$4:R$18,'Lista de Cargas'!$H$4:$H$18,$D53,'Lista de Cargas'!$B$4:$B$18,$B53)</f>
        <v>0</v>
      </c>
      <c r="H53" s="23">
        <f>SUMIFS('Lista de Cargas'!S$4:S$18,'Lista de Cargas'!$H$4:$H$18,$D53,'Lista de Cargas'!$B$4:$B$18,$B53)</f>
        <v>0</v>
      </c>
      <c r="M53" s="23">
        <f t="shared" si="12"/>
        <v>0</v>
      </c>
      <c r="N53" s="23">
        <f t="shared" si="12"/>
        <v>0</v>
      </c>
      <c r="O53" s="23">
        <f t="shared" si="12"/>
        <v>0</v>
      </c>
      <c r="P53" s="23">
        <f t="shared" si="12"/>
        <v>0</v>
      </c>
    </row>
    <row r="54" spans="1:16" x14ac:dyDescent="0.25">
      <c r="A54" s="27" t="s">
        <v>75</v>
      </c>
      <c r="B54" s="22" t="s">
        <v>326</v>
      </c>
      <c r="C54" s="22">
        <v>1</v>
      </c>
      <c r="D54" s="10" t="s">
        <v>42</v>
      </c>
      <c r="E54" s="23">
        <f>SUMIFS('Lista de Cargas'!P$4:P$18,'Lista de Cargas'!$H$4:$H$18,$D54,'Lista de Cargas'!$B$4:$B$18,$B54)</f>
        <v>0</v>
      </c>
      <c r="F54" s="23">
        <f>SUMIFS('Lista de Cargas'!Q$4:Q$18,'Lista de Cargas'!$H$4:$H$18,$D54,'Lista de Cargas'!$B$4:$B$18,$B54)</f>
        <v>0</v>
      </c>
      <c r="G54" s="23">
        <f>SUMIFS('Lista de Cargas'!R$4:R$18,'Lista de Cargas'!$H$4:$H$18,$D54,'Lista de Cargas'!$B$4:$B$18,$B54)</f>
        <v>0</v>
      </c>
      <c r="H54" s="23">
        <f>SUMIFS('Lista de Cargas'!S$4:S$18,'Lista de Cargas'!$H$4:$H$18,$D54,'Lista de Cargas'!$B$4:$B$18,$B54)</f>
        <v>0</v>
      </c>
      <c r="M54" s="23">
        <f t="shared" si="12"/>
        <v>0</v>
      </c>
      <c r="N54" s="23">
        <f t="shared" si="12"/>
        <v>0</v>
      </c>
      <c r="O54" s="23">
        <f t="shared" si="12"/>
        <v>0</v>
      </c>
      <c r="P54" s="23">
        <f t="shared" si="12"/>
        <v>0</v>
      </c>
    </row>
    <row r="55" spans="1:16" s="43" customFormat="1" x14ac:dyDescent="0.25">
      <c r="A55" s="38" t="s">
        <v>75</v>
      </c>
      <c r="B55" s="39" t="s">
        <v>326</v>
      </c>
      <c r="C55" s="45">
        <v>1</v>
      </c>
      <c r="D55" s="41" t="s">
        <v>47</v>
      </c>
      <c r="E55" s="40">
        <f>SUM(E48:E54)</f>
        <v>0</v>
      </c>
      <c r="F55" s="40">
        <f>SUM(F48:F54)</f>
        <v>0</v>
      </c>
      <c r="G55" s="40">
        <f>SUM(G48:G54)</f>
        <v>0</v>
      </c>
      <c r="H55" s="40">
        <f>SUM(H48:H54)</f>
        <v>0</v>
      </c>
      <c r="I55" s="42"/>
      <c r="J55" s="42"/>
      <c r="M55" s="44"/>
      <c r="N55" s="44"/>
      <c r="O55" s="44"/>
      <c r="P55" s="44"/>
    </row>
    <row r="56" spans="1:16" s="43" customFormat="1" x14ac:dyDescent="0.25">
      <c r="A56" s="45" t="s">
        <v>2</v>
      </c>
      <c r="B56" s="45" t="s">
        <v>2</v>
      </c>
      <c r="C56" s="46"/>
      <c r="D56" s="47" t="s">
        <v>2</v>
      </c>
      <c r="E56" s="48" t="e">
        <f>E55/E$247</f>
        <v>#DIV/0!</v>
      </c>
      <c r="F56" s="48" t="e">
        <f>F55/F$247</f>
        <v>#DIV/0!</v>
      </c>
      <c r="G56" s="48" t="e">
        <f>G55/G$247</f>
        <v>#DIV/0!</v>
      </c>
      <c r="H56" s="48" t="e">
        <f>H55/H$247</f>
        <v>#DIV/0!</v>
      </c>
      <c r="I56" s="42"/>
      <c r="J56" s="42"/>
      <c r="M56" s="44"/>
      <c r="N56" s="44"/>
      <c r="O56" s="44"/>
      <c r="P56" s="44"/>
    </row>
    <row r="57" spans="1:16" hidden="1" x14ac:dyDescent="0.25">
      <c r="A57" s="28" t="s">
        <v>131</v>
      </c>
      <c r="B57" s="22">
        <v>5</v>
      </c>
      <c r="C57" s="22" t="s">
        <v>84</v>
      </c>
      <c r="D57" s="2" t="s">
        <v>76</v>
      </c>
      <c r="E57" s="23">
        <f>SUMIFS('Lista de Cargas'!P$4:P$18,'Lista de Cargas'!$H$4:$H$18,$D57,'Lista de Cargas'!$B$4:$B$18,$B57)</f>
        <v>0</v>
      </c>
      <c r="F57" s="23">
        <f>SUMIFS('Lista de Cargas'!Q$4:Q$18,'Lista de Cargas'!$H$4:$H$18,$D57,'Lista de Cargas'!$B$4:$B$18,$B57)</f>
        <v>0</v>
      </c>
      <c r="G57" s="23">
        <f>SUMIFS('Lista de Cargas'!R$4:R$18,'Lista de Cargas'!$H$4:$H$18,$D57,'Lista de Cargas'!$B$4:$B$18,$B57)</f>
        <v>0</v>
      </c>
      <c r="H57" s="23">
        <f>SUMIFS('Lista de Cargas'!S$4:S$18,'Lista de Cargas'!$H$4:$H$18,$D57,'Lista de Cargas'!$B$4:$B$18,$B57)</f>
        <v>0</v>
      </c>
      <c r="M57" s="23">
        <f t="shared" ref="M57:P63" si="13">E57</f>
        <v>0</v>
      </c>
      <c r="N57" s="23">
        <f t="shared" si="13"/>
        <v>0</v>
      </c>
      <c r="O57" s="23">
        <f t="shared" si="13"/>
        <v>0</v>
      </c>
      <c r="P57" s="23">
        <f t="shared" si="13"/>
        <v>0</v>
      </c>
    </row>
    <row r="58" spans="1:16" hidden="1" x14ac:dyDescent="0.25">
      <c r="A58" s="28" t="s">
        <v>131</v>
      </c>
      <c r="B58" s="22">
        <v>5</v>
      </c>
      <c r="C58" s="22" t="s">
        <v>84</v>
      </c>
      <c r="D58" s="10" t="s">
        <v>37</v>
      </c>
      <c r="E58" s="23">
        <f>SUMIFS('Lista de Cargas'!P$4:P$18,'Lista de Cargas'!$H$4:$H$18,$D58,'Lista de Cargas'!$B$4:$B$18,$B58)</f>
        <v>0</v>
      </c>
      <c r="F58" s="23">
        <f>SUMIFS('Lista de Cargas'!Q$4:Q$18,'Lista de Cargas'!$H$4:$H$18,$D58,'Lista de Cargas'!$B$4:$B$18,$B58)</f>
        <v>0</v>
      </c>
      <c r="G58" s="23">
        <f>SUMIFS('Lista de Cargas'!R$4:R$18,'Lista de Cargas'!$H$4:$H$18,$D58,'Lista de Cargas'!$B$4:$B$18,$B58)</f>
        <v>0</v>
      </c>
      <c r="H58" s="23">
        <f>SUMIFS('Lista de Cargas'!S$4:S$18,'Lista de Cargas'!$H$4:$H$18,$D58,'Lista de Cargas'!$B$4:$B$18,$B58)</f>
        <v>0</v>
      </c>
      <c r="M58" s="23">
        <f t="shared" si="13"/>
        <v>0</v>
      </c>
      <c r="N58" s="23">
        <f t="shared" si="13"/>
        <v>0</v>
      </c>
      <c r="O58" s="23">
        <f t="shared" si="13"/>
        <v>0</v>
      </c>
      <c r="P58" s="23">
        <f t="shared" si="13"/>
        <v>0</v>
      </c>
    </row>
    <row r="59" spans="1:16" hidden="1" x14ac:dyDescent="0.25">
      <c r="A59" s="28" t="s">
        <v>131</v>
      </c>
      <c r="B59" s="22">
        <v>5</v>
      </c>
      <c r="C59" s="22" t="s">
        <v>84</v>
      </c>
      <c r="D59" s="10" t="s">
        <v>38</v>
      </c>
      <c r="E59" s="23">
        <f>SUMIFS('Lista de Cargas'!P$4:P$18,'Lista de Cargas'!$H$4:$H$18,$D59,'Lista de Cargas'!$B$4:$B$18,$B59)</f>
        <v>0</v>
      </c>
      <c r="F59" s="23">
        <f>SUMIFS('Lista de Cargas'!Q$4:Q$18,'Lista de Cargas'!$H$4:$H$18,$D59,'Lista de Cargas'!$B$4:$B$18,$B59)</f>
        <v>0</v>
      </c>
      <c r="G59" s="23">
        <f>SUMIFS('Lista de Cargas'!R$4:R$18,'Lista de Cargas'!$H$4:$H$18,$D59,'Lista de Cargas'!$B$4:$B$18,$B59)</f>
        <v>0</v>
      </c>
      <c r="H59" s="23">
        <f>SUMIFS('Lista de Cargas'!S$4:S$18,'Lista de Cargas'!$H$4:$H$18,$D59,'Lista de Cargas'!$B$4:$B$18,$B59)</f>
        <v>0</v>
      </c>
      <c r="M59" s="23">
        <f t="shared" si="13"/>
        <v>0</v>
      </c>
      <c r="N59" s="23">
        <f t="shared" si="13"/>
        <v>0</v>
      </c>
      <c r="O59" s="23">
        <f t="shared" si="13"/>
        <v>0</v>
      </c>
      <c r="P59" s="23">
        <f t="shared" si="13"/>
        <v>0</v>
      </c>
    </row>
    <row r="60" spans="1:16" hidden="1" x14ac:dyDescent="0.25">
      <c r="A60" s="28" t="s">
        <v>131</v>
      </c>
      <c r="B60" s="22">
        <v>5</v>
      </c>
      <c r="C60" s="22" t="s">
        <v>84</v>
      </c>
      <c r="D60" s="10" t="s">
        <v>36</v>
      </c>
      <c r="E60" s="23">
        <f>SUMIFS('Lista de Cargas'!P$4:P$18,'Lista de Cargas'!$H$4:$H$18,$D60,'Lista de Cargas'!$B$4:$B$18,$B60)</f>
        <v>0</v>
      </c>
      <c r="F60" s="23">
        <f>SUMIFS('Lista de Cargas'!Q$4:Q$18,'Lista de Cargas'!$H$4:$H$18,$D60,'Lista de Cargas'!$B$4:$B$18,$B60)</f>
        <v>0</v>
      </c>
      <c r="G60" s="23">
        <f>SUMIFS('Lista de Cargas'!R$4:R$18,'Lista de Cargas'!$H$4:$H$18,$D60,'Lista de Cargas'!$B$4:$B$18,$B60)</f>
        <v>0</v>
      </c>
      <c r="H60" s="23">
        <f>SUMIFS('Lista de Cargas'!S$4:S$18,'Lista de Cargas'!$H$4:$H$18,$D60,'Lista de Cargas'!$B$4:$B$18,$B60)</f>
        <v>0</v>
      </c>
      <c r="M60" s="23">
        <f t="shared" si="13"/>
        <v>0</v>
      </c>
      <c r="N60" s="23">
        <f t="shared" si="13"/>
        <v>0</v>
      </c>
      <c r="O60" s="23">
        <f t="shared" si="13"/>
        <v>0</v>
      </c>
      <c r="P60" s="23">
        <f t="shared" si="13"/>
        <v>0</v>
      </c>
    </row>
    <row r="61" spans="1:16" hidden="1" x14ac:dyDescent="0.25">
      <c r="A61" s="28" t="s">
        <v>131</v>
      </c>
      <c r="B61" s="22">
        <v>5</v>
      </c>
      <c r="C61" s="22" t="s">
        <v>84</v>
      </c>
      <c r="D61" s="2" t="s">
        <v>118</v>
      </c>
      <c r="E61" s="23">
        <f>SUMIFS('Lista de Cargas'!P$4:P$18,'Lista de Cargas'!$H$4:$H$18,$D61,'Lista de Cargas'!$B$4:$B$18,$B61)</f>
        <v>0</v>
      </c>
      <c r="F61" s="23">
        <f>SUMIFS('Lista de Cargas'!Q$4:Q$18,'Lista de Cargas'!$H$4:$H$18,$D61,'Lista de Cargas'!$B$4:$B$18,$B61)</f>
        <v>0</v>
      </c>
      <c r="G61" s="23">
        <f>SUMIFS('Lista de Cargas'!R$4:R$18,'Lista de Cargas'!$H$4:$H$18,$D61,'Lista de Cargas'!$B$4:$B$18,$B61)</f>
        <v>0</v>
      </c>
      <c r="H61" s="23">
        <f>SUMIFS('Lista de Cargas'!S$4:S$18,'Lista de Cargas'!$H$4:$H$18,$D61,'Lista de Cargas'!$B$4:$B$18,$B61)</f>
        <v>0</v>
      </c>
      <c r="M61" s="23">
        <f t="shared" si="13"/>
        <v>0</v>
      </c>
      <c r="N61" s="23">
        <f t="shared" si="13"/>
        <v>0</v>
      </c>
      <c r="O61" s="23">
        <f t="shared" si="13"/>
        <v>0</v>
      </c>
      <c r="P61" s="23">
        <f t="shared" si="13"/>
        <v>0</v>
      </c>
    </row>
    <row r="62" spans="1:16" hidden="1" x14ac:dyDescent="0.25">
      <c r="A62" s="28" t="s">
        <v>131</v>
      </c>
      <c r="B62" s="22">
        <v>5</v>
      </c>
      <c r="C62" s="22" t="s">
        <v>84</v>
      </c>
      <c r="D62" s="10" t="s">
        <v>41</v>
      </c>
      <c r="E62" s="23">
        <f>SUMIFS('Lista de Cargas'!P$4:P$18,'Lista de Cargas'!$H$4:$H$18,$D62,'Lista de Cargas'!$B$4:$B$18,$B62)</f>
        <v>0</v>
      </c>
      <c r="F62" s="23">
        <f>SUMIFS('Lista de Cargas'!Q$4:Q$18,'Lista de Cargas'!$H$4:$H$18,$D62,'Lista de Cargas'!$B$4:$B$18,$B62)</f>
        <v>0</v>
      </c>
      <c r="G62" s="23">
        <f>SUMIFS('Lista de Cargas'!R$4:R$18,'Lista de Cargas'!$H$4:$H$18,$D62,'Lista de Cargas'!$B$4:$B$18,$B62)</f>
        <v>0</v>
      </c>
      <c r="H62" s="23">
        <f>SUMIFS('Lista de Cargas'!S$4:S$18,'Lista de Cargas'!$H$4:$H$18,$D62,'Lista de Cargas'!$B$4:$B$18,$B62)</f>
        <v>0</v>
      </c>
      <c r="M62" s="23">
        <f t="shared" si="13"/>
        <v>0</v>
      </c>
      <c r="N62" s="23">
        <f t="shared" si="13"/>
        <v>0</v>
      </c>
      <c r="O62" s="23">
        <f t="shared" si="13"/>
        <v>0</v>
      </c>
      <c r="P62" s="23">
        <f t="shared" si="13"/>
        <v>0</v>
      </c>
    </row>
    <row r="63" spans="1:16" hidden="1" x14ac:dyDescent="0.25">
      <c r="A63" s="28" t="s">
        <v>131</v>
      </c>
      <c r="B63" s="22">
        <v>5</v>
      </c>
      <c r="C63" s="22" t="s">
        <v>84</v>
      </c>
      <c r="D63" s="10" t="s">
        <v>42</v>
      </c>
      <c r="E63" s="23">
        <f>SUMIFS('Lista de Cargas'!P$4:P$18,'Lista de Cargas'!$H$4:$H$18,$D63,'Lista de Cargas'!$B$4:$B$18,$B63)</f>
        <v>0</v>
      </c>
      <c r="F63" s="23">
        <f>SUMIFS('Lista de Cargas'!Q$4:Q$18,'Lista de Cargas'!$H$4:$H$18,$D63,'Lista de Cargas'!$B$4:$B$18,$B63)</f>
        <v>0</v>
      </c>
      <c r="G63" s="23">
        <f>SUMIFS('Lista de Cargas'!R$4:R$18,'Lista de Cargas'!$H$4:$H$18,$D63,'Lista de Cargas'!$B$4:$B$18,$B63)</f>
        <v>0</v>
      </c>
      <c r="H63" s="23">
        <f>SUMIFS('Lista de Cargas'!S$4:S$18,'Lista de Cargas'!$H$4:$H$18,$D63,'Lista de Cargas'!$B$4:$B$18,$B63)</f>
        <v>0</v>
      </c>
      <c r="M63" s="23">
        <f t="shared" si="13"/>
        <v>0</v>
      </c>
      <c r="N63" s="23">
        <f t="shared" si="13"/>
        <v>0</v>
      </c>
      <c r="O63" s="23">
        <f t="shared" si="13"/>
        <v>0</v>
      </c>
      <c r="P63" s="23">
        <f t="shared" si="13"/>
        <v>0</v>
      </c>
    </row>
    <row r="64" spans="1:16" s="43" customFormat="1" hidden="1" x14ac:dyDescent="0.25">
      <c r="A64" s="51" t="s">
        <v>131</v>
      </c>
      <c r="B64" s="39">
        <v>5</v>
      </c>
      <c r="C64" s="45" t="s">
        <v>84</v>
      </c>
      <c r="D64" s="41" t="s">
        <v>47</v>
      </c>
      <c r="E64" s="40">
        <f>SUM(E57:E63)</f>
        <v>0</v>
      </c>
      <c r="F64" s="40">
        <f>SUM(F57:F63)</f>
        <v>0</v>
      </c>
      <c r="G64" s="40">
        <f>SUM(G57:G63)</f>
        <v>0</v>
      </c>
      <c r="H64" s="40">
        <f>SUM(H57:H63)</f>
        <v>0</v>
      </c>
      <c r="I64" s="42"/>
      <c r="J64" s="42"/>
      <c r="M64" s="44"/>
      <c r="N64" s="44"/>
      <c r="O64" s="44"/>
      <c r="P64" s="44"/>
    </row>
    <row r="65" spans="1:16" s="43" customFormat="1" hidden="1" x14ac:dyDescent="0.25">
      <c r="A65" s="45" t="s">
        <v>2</v>
      </c>
      <c r="B65" s="45" t="s">
        <v>2</v>
      </c>
      <c r="C65" s="46"/>
      <c r="D65" s="47" t="s">
        <v>2</v>
      </c>
      <c r="E65" s="48" t="e">
        <f>E64/E$247</f>
        <v>#DIV/0!</v>
      </c>
      <c r="F65" s="48" t="e">
        <f>F64/F$247</f>
        <v>#DIV/0!</v>
      </c>
      <c r="G65" s="48" t="e">
        <f>G64/G$247</f>
        <v>#DIV/0!</v>
      </c>
      <c r="H65" s="48" t="e">
        <f>H64/H$247</f>
        <v>#DIV/0!</v>
      </c>
      <c r="I65" s="42"/>
      <c r="J65" s="42"/>
      <c r="M65" s="44"/>
      <c r="N65" s="44"/>
      <c r="O65" s="44"/>
      <c r="P65" s="44"/>
    </row>
    <row r="66" spans="1:16" hidden="1" x14ac:dyDescent="0.25">
      <c r="A66" s="28" t="s">
        <v>123</v>
      </c>
      <c r="B66" s="22">
        <v>6</v>
      </c>
      <c r="C66" s="22" t="s">
        <v>86</v>
      </c>
      <c r="D66" s="2" t="s">
        <v>76</v>
      </c>
      <c r="E66" s="23">
        <f>SUMIFS('Lista de Cargas'!P$4:P$18,'Lista de Cargas'!$H$4:$H$18,$D66,'Lista de Cargas'!$B$4:$B$18,$B66)</f>
        <v>0</v>
      </c>
      <c r="F66" s="23">
        <f>SUMIFS('Lista de Cargas'!Q$4:Q$18,'Lista de Cargas'!$H$4:$H$18,$D66,'Lista de Cargas'!$B$4:$B$18,$B66)</f>
        <v>0</v>
      </c>
      <c r="G66" s="23">
        <f>SUMIFS('Lista de Cargas'!R$4:R$18,'Lista de Cargas'!$H$4:$H$18,$D66,'Lista de Cargas'!$B$4:$B$18,$B66)</f>
        <v>0</v>
      </c>
      <c r="H66" s="23">
        <f>SUMIFS('Lista de Cargas'!S$4:S$18,'Lista de Cargas'!$H$4:$H$18,$D66,'Lista de Cargas'!$B$4:$B$18,$B66)</f>
        <v>0</v>
      </c>
      <c r="M66" s="23">
        <f t="shared" ref="M66:P72" si="14">E66</f>
        <v>0</v>
      </c>
      <c r="N66" s="23">
        <f t="shared" si="14"/>
        <v>0</v>
      </c>
      <c r="O66" s="23">
        <f t="shared" si="14"/>
        <v>0</v>
      </c>
      <c r="P66" s="23">
        <f t="shared" si="14"/>
        <v>0</v>
      </c>
    </row>
    <row r="67" spans="1:16" hidden="1" x14ac:dyDescent="0.25">
      <c r="A67" s="28" t="s">
        <v>123</v>
      </c>
      <c r="B67" s="22">
        <v>6</v>
      </c>
      <c r="C67" s="22" t="s">
        <v>86</v>
      </c>
      <c r="D67" s="10" t="s">
        <v>37</v>
      </c>
      <c r="E67" s="23">
        <f>SUMIFS('Lista de Cargas'!P$4:P$18,'Lista de Cargas'!$H$4:$H$18,$D67,'Lista de Cargas'!$B$4:$B$18,$B67)</f>
        <v>0</v>
      </c>
      <c r="F67" s="23">
        <f>SUMIFS('Lista de Cargas'!Q$4:Q$18,'Lista de Cargas'!$H$4:$H$18,$D67,'Lista de Cargas'!$B$4:$B$18,$B67)</f>
        <v>0</v>
      </c>
      <c r="G67" s="23">
        <f>SUMIFS('Lista de Cargas'!R$4:R$18,'Lista de Cargas'!$H$4:$H$18,$D67,'Lista de Cargas'!$B$4:$B$18,$B67)</f>
        <v>0</v>
      </c>
      <c r="H67" s="23">
        <f>SUMIFS('Lista de Cargas'!S$4:S$18,'Lista de Cargas'!$H$4:$H$18,$D67,'Lista de Cargas'!$B$4:$B$18,$B67)</f>
        <v>0</v>
      </c>
      <c r="M67" s="23">
        <f t="shared" si="14"/>
        <v>0</v>
      </c>
      <c r="N67" s="23">
        <f t="shared" si="14"/>
        <v>0</v>
      </c>
      <c r="O67" s="23">
        <f t="shared" si="14"/>
        <v>0</v>
      </c>
      <c r="P67" s="23">
        <f t="shared" si="14"/>
        <v>0</v>
      </c>
    </row>
    <row r="68" spans="1:16" hidden="1" x14ac:dyDescent="0.25">
      <c r="A68" s="28" t="s">
        <v>123</v>
      </c>
      <c r="B68" s="22">
        <v>6</v>
      </c>
      <c r="C68" s="22" t="s">
        <v>86</v>
      </c>
      <c r="D68" s="10" t="s">
        <v>38</v>
      </c>
      <c r="E68" s="23">
        <f>SUMIFS('Lista de Cargas'!P$4:P$18,'Lista de Cargas'!$H$4:$H$18,$D68,'Lista de Cargas'!$B$4:$B$18,$B68)</f>
        <v>0</v>
      </c>
      <c r="F68" s="23">
        <f>SUMIFS('Lista de Cargas'!Q$4:Q$18,'Lista de Cargas'!$H$4:$H$18,$D68,'Lista de Cargas'!$B$4:$B$18,$B68)</f>
        <v>0</v>
      </c>
      <c r="G68" s="23">
        <f>SUMIFS('Lista de Cargas'!R$4:R$18,'Lista de Cargas'!$H$4:$H$18,$D68,'Lista de Cargas'!$B$4:$B$18,$B68)</f>
        <v>0</v>
      </c>
      <c r="H68" s="23">
        <f>SUMIFS('Lista de Cargas'!S$4:S$18,'Lista de Cargas'!$H$4:$H$18,$D68,'Lista de Cargas'!$B$4:$B$18,$B68)</f>
        <v>0</v>
      </c>
      <c r="M68" s="23">
        <f t="shared" si="14"/>
        <v>0</v>
      </c>
      <c r="N68" s="23">
        <f t="shared" si="14"/>
        <v>0</v>
      </c>
      <c r="O68" s="23">
        <f t="shared" si="14"/>
        <v>0</v>
      </c>
      <c r="P68" s="23">
        <f t="shared" si="14"/>
        <v>0</v>
      </c>
    </row>
    <row r="69" spans="1:16" hidden="1" x14ac:dyDescent="0.25">
      <c r="A69" s="28" t="s">
        <v>123</v>
      </c>
      <c r="B69" s="22">
        <v>6</v>
      </c>
      <c r="C69" s="22" t="s">
        <v>86</v>
      </c>
      <c r="D69" s="10" t="s">
        <v>36</v>
      </c>
      <c r="E69" s="23">
        <f>SUMIFS('Lista de Cargas'!P$4:P$18,'Lista de Cargas'!$H$4:$H$18,$D69,'Lista de Cargas'!$B$4:$B$18,$B69)</f>
        <v>0</v>
      </c>
      <c r="F69" s="23">
        <f>SUMIFS('Lista de Cargas'!Q$4:Q$18,'Lista de Cargas'!$H$4:$H$18,$D69,'Lista de Cargas'!$B$4:$B$18,$B69)</f>
        <v>0</v>
      </c>
      <c r="G69" s="23">
        <f>SUMIFS('Lista de Cargas'!R$4:R$18,'Lista de Cargas'!$H$4:$H$18,$D69,'Lista de Cargas'!$B$4:$B$18,$B69)</f>
        <v>0</v>
      </c>
      <c r="H69" s="23">
        <f>SUMIFS('Lista de Cargas'!S$4:S$18,'Lista de Cargas'!$H$4:$H$18,$D69,'Lista de Cargas'!$B$4:$B$18,$B69)</f>
        <v>0</v>
      </c>
      <c r="M69" s="23">
        <f t="shared" si="14"/>
        <v>0</v>
      </c>
      <c r="N69" s="23">
        <f t="shared" si="14"/>
        <v>0</v>
      </c>
      <c r="O69" s="23">
        <f t="shared" si="14"/>
        <v>0</v>
      </c>
      <c r="P69" s="23">
        <f t="shared" si="14"/>
        <v>0</v>
      </c>
    </row>
    <row r="70" spans="1:16" hidden="1" x14ac:dyDescent="0.25">
      <c r="A70" s="28" t="s">
        <v>123</v>
      </c>
      <c r="B70" s="22">
        <v>6</v>
      </c>
      <c r="C70" s="22" t="s">
        <v>86</v>
      </c>
      <c r="D70" s="2" t="s">
        <v>118</v>
      </c>
      <c r="E70" s="23">
        <f>SUMIFS('Lista de Cargas'!P$4:P$18,'Lista de Cargas'!$H$4:$H$18,$D70,'Lista de Cargas'!$B$4:$B$18,$B70)</f>
        <v>0</v>
      </c>
      <c r="F70" s="23">
        <f>SUMIFS('Lista de Cargas'!Q$4:Q$18,'Lista de Cargas'!$H$4:$H$18,$D70,'Lista de Cargas'!$B$4:$B$18,$B70)</f>
        <v>0</v>
      </c>
      <c r="G70" s="23">
        <f>SUMIFS('Lista de Cargas'!R$4:R$18,'Lista de Cargas'!$H$4:$H$18,$D70,'Lista de Cargas'!$B$4:$B$18,$B70)</f>
        <v>0</v>
      </c>
      <c r="H70" s="23">
        <f>SUMIFS('Lista de Cargas'!S$4:S$18,'Lista de Cargas'!$H$4:$H$18,$D70,'Lista de Cargas'!$B$4:$B$18,$B70)</f>
        <v>0</v>
      </c>
      <c r="M70" s="23">
        <f t="shared" si="14"/>
        <v>0</v>
      </c>
      <c r="N70" s="23">
        <f t="shared" si="14"/>
        <v>0</v>
      </c>
      <c r="O70" s="23">
        <f t="shared" si="14"/>
        <v>0</v>
      </c>
      <c r="P70" s="23">
        <f t="shared" si="14"/>
        <v>0</v>
      </c>
    </row>
    <row r="71" spans="1:16" hidden="1" x14ac:dyDescent="0.25">
      <c r="A71" s="28" t="s">
        <v>123</v>
      </c>
      <c r="B71" s="22">
        <v>6</v>
      </c>
      <c r="C71" s="22" t="s">
        <v>86</v>
      </c>
      <c r="D71" s="10" t="s">
        <v>41</v>
      </c>
      <c r="E71" s="23">
        <f>SUMIFS('Lista de Cargas'!P$4:P$18,'Lista de Cargas'!$H$4:$H$18,$D71,'Lista de Cargas'!$B$4:$B$18,$B71)</f>
        <v>0</v>
      </c>
      <c r="F71" s="23">
        <f>SUMIFS('Lista de Cargas'!Q$4:Q$18,'Lista de Cargas'!$H$4:$H$18,$D71,'Lista de Cargas'!$B$4:$B$18,$B71)</f>
        <v>0</v>
      </c>
      <c r="G71" s="23">
        <f>SUMIFS('Lista de Cargas'!R$4:R$18,'Lista de Cargas'!$H$4:$H$18,$D71,'Lista de Cargas'!$B$4:$B$18,$B71)</f>
        <v>0</v>
      </c>
      <c r="H71" s="23">
        <f>SUMIFS('Lista de Cargas'!S$4:S$18,'Lista de Cargas'!$H$4:$H$18,$D71,'Lista de Cargas'!$B$4:$B$18,$B71)</f>
        <v>0</v>
      </c>
      <c r="M71" s="23">
        <f t="shared" si="14"/>
        <v>0</v>
      </c>
      <c r="N71" s="23">
        <f t="shared" si="14"/>
        <v>0</v>
      </c>
      <c r="O71" s="23">
        <f t="shared" si="14"/>
        <v>0</v>
      </c>
      <c r="P71" s="23">
        <f t="shared" si="14"/>
        <v>0</v>
      </c>
    </row>
    <row r="72" spans="1:16" hidden="1" x14ac:dyDescent="0.25">
      <c r="A72" s="28" t="s">
        <v>123</v>
      </c>
      <c r="B72" s="22">
        <v>6</v>
      </c>
      <c r="C72" s="22" t="s">
        <v>86</v>
      </c>
      <c r="D72" s="10" t="s">
        <v>42</v>
      </c>
      <c r="E72" s="23">
        <f>SUMIFS('Lista de Cargas'!P$4:P$18,'Lista de Cargas'!$H$4:$H$18,$D72,'Lista de Cargas'!$B$4:$B$18,$B72)</f>
        <v>0</v>
      </c>
      <c r="F72" s="23">
        <f>SUMIFS('Lista de Cargas'!Q$4:Q$18,'Lista de Cargas'!$H$4:$H$18,$D72,'Lista de Cargas'!$B$4:$B$18,$B72)</f>
        <v>0</v>
      </c>
      <c r="G72" s="23">
        <f>SUMIFS('Lista de Cargas'!R$4:R$18,'Lista de Cargas'!$H$4:$H$18,$D72,'Lista de Cargas'!$B$4:$B$18,$B72)</f>
        <v>0</v>
      </c>
      <c r="H72" s="23">
        <f>SUMIFS('Lista de Cargas'!S$4:S$18,'Lista de Cargas'!$H$4:$H$18,$D72,'Lista de Cargas'!$B$4:$B$18,$B72)</f>
        <v>0</v>
      </c>
      <c r="M72" s="23">
        <f t="shared" si="14"/>
        <v>0</v>
      </c>
      <c r="N72" s="23">
        <f t="shared" si="14"/>
        <v>0</v>
      </c>
      <c r="O72" s="23">
        <f t="shared" si="14"/>
        <v>0</v>
      </c>
      <c r="P72" s="23">
        <f t="shared" si="14"/>
        <v>0</v>
      </c>
    </row>
    <row r="73" spans="1:16" s="43" customFormat="1" hidden="1" x14ac:dyDescent="0.25">
      <c r="A73" s="51" t="s">
        <v>123</v>
      </c>
      <c r="B73" s="39">
        <v>6</v>
      </c>
      <c r="C73" s="45" t="s">
        <v>86</v>
      </c>
      <c r="D73" s="41" t="s">
        <v>47</v>
      </c>
      <c r="E73" s="40">
        <f>SUM(E66:E72)</f>
        <v>0</v>
      </c>
      <c r="F73" s="40">
        <f>SUM(F66:F72)</f>
        <v>0</v>
      </c>
      <c r="G73" s="40">
        <f>SUM(G66:G72)</f>
        <v>0</v>
      </c>
      <c r="H73" s="40">
        <f>SUM(H66:H72)</f>
        <v>0</v>
      </c>
      <c r="I73" s="42"/>
      <c r="J73" s="42"/>
      <c r="M73" s="44"/>
      <c r="N73" s="44"/>
      <c r="O73" s="44"/>
      <c r="P73" s="44"/>
    </row>
    <row r="74" spans="1:16" s="43" customFormat="1" hidden="1" x14ac:dyDescent="0.25">
      <c r="A74" s="45" t="s">
        <v>2</v>
      </c>
      <c r="B74" s="45" t="s">
        <v>2</v>
      </c>
      <c r="C74" s="46"/>
      <c r="D74" s="47" t="s">
        <v>2</v>
      </c>
      <c r="E74" s="48" t="e">
        <f>E73/E$247</f>
        <v>#DIV/0!</v>
      </c>
      <c r="F74" s="48" t="e">
        <f>F73/F$247</f>
        <v>#DIV/0!</v>
      </c>
      <c r="G74" s="48" t="e">
        <f>G73/G$247</f>
        <v>#DIV/0!</v>
      </c>
      <c r="H74" s="48" t="e">
        <f>H73/H$247</f>
        <v>#DIV/0!</v>
      </c>
      <c r="I74" s="42"/>
      <c r="J74" s="42"/>
      <c r="M74" s="44"/>
      <c r="N74" s="44"/>
      <c r="O74" s="44"/>
      <c r="P74" s="44"/>
    </row>
    <row r="75" spans="1:16" hidden="1" x14ac:dyDescent="0.25">
      <c r="A75" s="28" t="s">
        <v>79</v>
      </c>
      <c r="B75" s="22">
        <v>7</v>
      </c>
      <c r="C75" s="22" t="s">
        <v>124</v>
      </c>
      <c r="D75" s="2" t="s">
        <v>76</v>
      </c>
      <c r="E75" s="23">
        <f>SUMIFS('Lista de Cargas'!P$4:P$18,'Lista de Cargas'!$H$4:$H$18,$D75,'Lista de Cargas'!$B$4:$B$18,$B75)</f>
        <v>0</v>
      </c>
      <c r="F75" s="23">
        <f>SUMIFS('Lista de Cargas'!Q$4:Q$18,'Lista de Cargas'!$H$4:$H$18,$D75,'Lista de Cargas'!$B$4:$B$18,$B75)</f>
        <v>0</v>
      </c>
      <c r="G75" s="23">
        <f>SUMIFS('Lista de Cargas'!R$4:R$18,'Lista de Cargas'!$H$4:$H$18,$D75,'Lista de Cargas'!$B$4:$B$18,$B75)</f>
        <v>0</v>
      </c>
      <c r="H75" s="23">
        <f>SUMIFS('Lista de Cargas'!S$4:S$18,'Lista de Cargas'!$H$4:$H$18,$D75,'Lista de Cargas'!$B$4:$B$18,$B75)</f>
        <v>0</v>
      </c>
      <c r="M75" s="23">
        <f t="shared" ref="M75:P81" si="15">E75</f>
        <v>0</v>
      </c>
      <c r="N75" s="23">
        <f t="shared" si="15"/>
        <v>0</v>
      </c>
      <c r="O75" s="23">
        <f t="shared" si="15"/>
        <v>0</v>
      </c>
      <c r="P75" s="23">
        <f t="shared" si="15"/>
        <v>0</v>
      </c>
    </row>
    <row r="76" spans="1:16" hidden="1" x14ac:dyDescent="0.25">
      <c r="A76" s="28" t="s">
        <v>79</v>
      </c>
      <c r="B76" s="22">
        <v>7</v>
      </c>
      <c r="C76" s="22" t="s">
        <v>124</v>
      </c>
      <c r="D76" s="10" t="s">
        <v>37</v>
      </c>
      <c r="E76" s="23">
        <f>SUMIFS('Lista de Cargas'!P$4:P$18,'Lista de Cargas'!$H$4:$H$18,$D76,'Lista de Cargas'!$B$4:$B$18,$B76)</f>
        <v>0</v>
      </c>
      <c r="F76" s="23">
        <f>SUMIFS('Lista de Cargas'!Q$4:Q$18,'Lista de Cargas'!$H$4:$H$18,$D76,'Lista de Cargas'!$B$4:$B$18,$B76)</f>
        <v>0</v>
      </c>
      <c r="G76" s="23">
        <f>SUMIFS('Lista de Cargas'!R$4:R$18,'Lista de Cargas'!$H$4:$H$18,$D76,'Lista de Cargas'!$B$4:$B$18,$B76)</f>
        <v>0</v>
      </c>
      <c r="H76" s="23">
        <f>SUMIFS('Lista de Cargas'!S$4:S$18,'Lista de Cargas'!$H$4:$H$18,$D76,'Lista de Cargas'!$B$4:$B$18,$B76)</f>
        <v>0</v>
      </c>
      <c r="M76" s="23">
        <f t="shared" si="15"/>
        <v>0</v>
      </c>
      <c r="N76" s="23">
        <f t="shared" si="15"/>
        <v>0</v>
      </c>
      <c r="O76" s="23">
        <f t="shared" si="15"/>
        <v>0</v>
      </c>
      <c r="P76" s="23">
        <f t="shared" si="15"/>
        <v>0</v>
      </c>
    </row>
    <row r="77" spans="1:16" hidden="1" x14ac:dyDescent="0.25">
      <c r="A77" s="28" t="s">
        <v>79</v>
      </c>
      <c r="B77" s="22">
        <v>7</v>
      </c>
      <c r="C77" s="22" t="s">
        <v>124</v>
      </c>
      <c r="D77" s="10" t="s">
        <v>38</v>
      </c>
      <c r="E77" s="23">
        <f>SUMIFS('Lista de Cargas'!P$4:P$18,'Lista de Cargas'!$H$4:$H$18,$D77,'Lista de Cargas'!$B$4:$B$18,$B77)</f>
        <v>0</v>
      </c>
      <c r="F77" s="23">
        <f>SUMIFS('Lista de Cargas'!Q$4:Q$18,'Lista de Cargas'!$H$4:$H$18,$D77,'Lista de Cargas'!$B$4:$B$18,$B77)</f>
        <v>0</v>
      </c>
      <c r="G77" s="23">
        <f>SUMIFS('Lista de Cargas'!R$4:R$18,'Lista de Cargas'!$H$4:$H$18,$D77,'Lista de Cargas'!$B$4:$B$18,$B77)</f>
        <v>0</v>
      </c>
      <c r="H77" s="23">
        <f>SUMIFS('Lista de Cargas'!S$4:S$18,'Lista de Cargas'!$H$4:$H$18,$D77,'Lista de Cargas'!$B$4:$B$18,$B77)</f>
        <v>0</v>
      </c>
      <c r="M77" s="23">
        <f t="shared" si="15"/>
        <v>0</v>
      </c>
      <c r="N77" s="23">
        <f t="shared" si="15"/>
        <v>0</v>
      </c>
      <c r="O77" s="23">
        <f t="shared" si="15"/>
        <v>0</v>
      </c>
      <c r="P77" s="23">
        <f t="shared" si="15"/>
        <v>0</v>
      </c>
    </row>
    <row r="78" spans="1:16" hidden="1" x14ac:dyDescent="0.25">
      <c r="A78" s="28" t="s">
        <v>79</v>
      </c>
      <c r="B78" s="22">
        <v>7</v>
      </c>
      <c r="C78" s="22" t="s">
        <v>124</v>
      </c>
      <c r="D78" s="10" t="s">
        <v>36</v>
      </c>
      <c r="E78" s="23">
        <f>SUMIFS('Lista de Cargas'!P$4:P$18,'Lista de Cargas'!$H$4:$H$18,$D78,'Lista de Cargas'!$B$4:$B$18,$B78)</f>
        <v>0</v>
      </c>
      <c r="F78" s="23">
        <f>SUMIFS('Lista de Cargas'!Q$4:Q$18,'Lista de Cargas'!$H$4:$H$18,$D78,'Lista de Cargas'!$B$4:$B$18,$B78)</f>
        <v>0</v>
      </c>
      <c r="G78" s="23">
        <f>SUMIFS('Lista de Cargas'!R$4:R$18,'Lista de Cargas'!$H$4:$H$18,$D78,'Lista de Cargas'!$B$4:$B$18,$B78)</f>
        <v>0</v>
      </c>
      <c r="H78" s="23">
        <f>SUMIFS('Lista de Cargas'!S$4:S$18,'Lista de Cargas'!$H$4:$H$18,$D78,'Lista de Cargas'!$B$4:$B$18,$B78)</f>
        <v>0</v>
      </c>
      <c r="M78" s="23">
        <f t="shared" si="15"/>
        <v>0</v>
      </c>
      <c r="N78" s="23">
        <f t="shared" si="15"/>
        <v>0</v>
      </c>
      <c r="O78" s="23">
        <f t="shared" si="15"/>
        <v>0</v>
      </c>
      <c r="P78" s="23">
        <f t="shared" si="15"/>
        <v>0</v>
      </c>
    </row>
    <row r="79" spans="1:16" hidden="1" x14ac:dyDescent="0.25">
      <c r="A79" s="28" t="s">
        <v>79</v>
      </c>
      <c r="B79" s="22">
        <v>7</v>
      </c>
      <c r="C79" s="22" t="s">
        <v>124</v>
      </c>
      <c r="D79" s="2" t="s">
        <v>118</v>
      </c>
      <c r="E79" s="23">
        <f>SUMIFS('Lista de Cargas'!P$4:P$18,'Lista de Cargas'!$H$4:$H$18,$D79,'Lista de Cargas'!$B$4:$B$18,$B79)</f>
        <v>0</v>
      </c>
      <c r="F79" s="23">
        <f>SUMIFS('Lista de Cargas'!Q$4:Q$18,'Lista de Cargas'!$H$4:$H$18,$D79,'Lista de Cargas'!$B$4:$B$18,$B79)</f>
        <v>0</v>
      </c>
      <c r="G79" s="23">
        <f>SUMIFS('Lista de Cargas'!R$4:R$18,'Lista de Cargas'!$H$4:$H$18,$D79,'Lista de Cargas'!$B$4:$B$18,$B79)</f>
        <v>0</v>
      </c>
      <c r="H79" s="23">
        <f>SUMIFS('Lista de Cargas'!S$4:S$18,'Lista de Cargas'!$H$4:$H$18,$D79,'Lista de Cargas'!$B$4:$B$18,$B79)</f>
        <v>0</v>
      </c>
      <c r="M79" s="23">
        <f t="shared" si="15"/>
        <v>0</v>
      </c>
      <c r="N79" s="23">
        <f t="shared" si="15"/>
        <v>0</v>
      </c>
      <c r="O79" s="23">
        <f t="shared" si="15"/>
        <v>0</v>
      </c>
      <c r="P79" s="23">
        <f t="shared" si="15"/>
        <v>0</v>
      </c>
    </row>
    <row r="80" spans="1:16" hidden="1" x14ac:dyDescent="0.25">
      <c r="A80" s="28" t="s">
        <v>79</v>
      </c>
      <c r="B80" s="22">
        <v>7</v>
      </c>
      <c r="C80" s="22" t="s">
        <v>124</v>
      </c>
      <c r="D80" s="10" t="s">
        <v>41</v>
      </c>
      <c r="E80" s="23">
        <f>SUMIFS('Lista de Cargas'!P$4:P$18,'Lista de Cargas'!$H$4:$H$18,$D80,'Lista de Cargas'!$B$4:$B$18,$B80)</f>
        <v>0</v>
      </c>
      <c r="F80" s="23">
        <f>SUMIFS('Lista de Cargas'!Q$4:Q$18,'Lista de Cargas'!$H$4:$H$18,$D80,'Lista de Cargas'!$B$4:$B$18,$B80)</f>
        <v>0</v>
      </c>
      <c r="G80" s="23">
        <f>SUMIFS('Lista de Cargas'!R$4:R$18,'Lista de Cargas'!$H$4:$H$18,$D80,'Lista de Cargas'!$B$4:$B$18,$B80)</f>
        <v>0</v>
      </c>
      <c r="H80" s="23">
        <f>SUMIFS('Lista de Cargas'!S$4:S$18,'Lista de Cargas'!$H$4:$H$18,$D80,'Lista de Cargas'!$B$4:$B$18,$B80)</f>
        <v>0</v>
      </c>
      <c r="M80" s="23">
        <f t="shared" si="15"/>
        <v>0</v>
      </c>
      <c r="N80" s="23">
        <f t="shared" si="15"/>
        <v>0</v>
      </c>
      <c r="O80" s="23">
        <f t="shared" si="15"/>
        <v>0</v>
      </c>
      <c r="P80" s="23">
        <f t="shared" si="15"/>
        <v>0</v>
      </c>
    </row>
    <row r="81" spans="1:16" hidden="1" x14ac:dyDescent="0.25">
      <c r="A81" s="28" t="s">
        <v>79</v>
      </c>
      <c r="B81" s="22">
        <v>7</v>
      </c>
      <c r="C81" s="22" t="s">
        <v>124</v>
      </c>
      <c r="D81" s="10" t="s">
        <v>42</v>
      </c>
      <c r="E81" s="23">
        <f>SUMIFS('Lista de Cargas'!P$4:P$18,'Lista de Cargas'!$H$4:$H$18,$D81,'Lista de Cargas'!$B$4:$B$18,$B81)</f>
        <v>0</v>
      </c>
      <c r="F81" s="23">
        <f>SUMIFS('Lista de Cargas'!Q$4:Q$18,'Lista de Cargas'!$H$4:$H$18,$D81,'Lista de Cargas'!$B$4:$B$18,$B81)</f>
        <v>0</v>
      </c>
      <c r="G81" s="23">
        <f>SUMIFS('Lista de Cargas'!R$4:R$18,'Lista de Cargas'!$H$4:$H$18,$D81,'Lista de Cargas'!$B$4:$B$18,$B81)</f>
        <v>0</v>
      </c>
      <c r="H81" s="23">
        <f>SUMIFS('Lista de Cargas'!S$4:S$18,'Lista de Cargas'!$H$4:$H$18,$D81,'Lista de Cargas'!$B$4:$B$18,$B81)</f>
        <v>0</v>
      </c>
      <c r="M81" s="23">
        <f t="shared" si="15"/>
        <v>0</v>
      </c>
      <c r="N81" s="23">
        <f t="shared" si="15"/>
        <v>0</v>
      </c>
      <c r="O81" s="23">
        <f t="shared" si="15"/>
        <v>0</v>
      </c>
      <c r="P81" s="23">
        <f t="shared" si="15"/>
        <v>0</v>
      </c>
    </row>
    <row r="82" spans="1:16" s="43" customFormat="1" hidden="1" x14ac:dyDescent="0.25">
      <c r="A82" s="38" t="s">
        <v>79</v>
      </c>
      <c r="B82" s="39">
        <v>7</v>
      </c>
      <c r="C82" s="45" t="s">
        <v>124</v>
      </c>
      <c r="D82" s="41" t="s">
        <v>47</v>
      </c>
      <c r="E82" s="40">
        <f>SUM(E75:E81)</f>
        <v>0</v>
      </c>
      <c r="F82" s="40">
        <f>SUM(F75:F81)</f>
        <v>0</v>
      </c>
      <c r="G82" s="40">
        <f>SUM(G75:G81)</f>
        <v>0</v>
      </c>
      <c r="H82" s="40">
        <f>SUM(H75:H81)</f>
        <v>0</v>
      </c>
      <c r="I82" s="42"/>
      <c r="J82" s="42"/>
      <c r="M82" s="44"/>
      <c r="N82" s="44"/>
      <c r="O82" s="44"/>
      <c r="P82" s="44"/>
    </row>
    <row r="83" spans="1:16" s="43" customFormat="1" hidden="1" x14ac:dyDescent="0.25">
      <c r="A83" s="45" t="s">
        <v>2</v>
      </c>
      <c r="B83" s="45" t="s">
        <v>2</v>
      </c>
      <c r="C83" s="46"/>
      <c r="D83" s="47" t="s">
        <v>2</v>
      </c>
      <c r="E83" s="48" t="e">
        <f>E82/E$247</f>
        <v>#DIV/0!</v>
      </c>
      <c r="F83" s="48" t="e">
        <f>F82/F$247</f>
        <v>#DIV/0!</v>
      </c>
      <c r="G83" s="48" t="e">
        <f>G82/G$247</f>
        <v>#DIV/0!</v>
      </c>
      <c r="H83" s="48" t="e">
        <f>H82/H$247</f>
        <v>#DIV/0!</v>
      </c>
      <c r="I83" s="42"/>
      <c r="J83" s="42"/>
      <c r="M83" s="44"/>
      <c r="N83" s="44"/>
      <c r="O83" s="44"/>
      <c r="P83" s="44"/>
    </row>
    <row r="84" spans="1:16" hidden="1" x14ac:dyDescent="0.25">
      <c r="A84" s="28" t="s">
        <v>128</v>
      </c>
      <c r="B84" s="22">
        <v>8</v>
      </c>
      <c r="C84" s="22" t="s">
        <v>84</v>
      </c>
      <c r="D84" s="2" t="s">
        <v>76</v>
      </c>
      <c r="E84" s="23">
        <f>SUMIFS('Lista de Cargas'!P$4:P$18,'Lista de Cargas'!$H$4:$H$18,$D84,'Lista de Cargas'!$B$4:$B$18,$B84)</f>
        <v>0</v>
      </c>
      <c r="F84" s="23">
        <f>SUMIFS('Lista de Cargas'!Q$4:Q$18,'Lista de Cargas'!$H$4:$H$18,$D84,'Lista de Cargas'!$B$4:$B$18,$B84)</f>
        <v>0</v>
      </c>
      <c r="G84" s="23">
        <f>SUMIFS('Lista de Cargas'!R$4:R$18,'Lista de Cargas'!$H$4:$H$18,$D84,'Lista de Cargas'!$B$4:$B$18,$B84)</f>
        <v>0</v>
      </c>
      <c r="H84" s="23">
        <f>SUMIFS('Lista de Cargas'!S$4:S$18,'Lista de Cargas'!$H$4:$H$18,$D84,'Lista de Cargas'!$B$4:$B$18,$B84)</f>
        <v>0</v>
      </c>
      <c r="M84" s="23">
        <f t="shared" ref="M84:P90" si="16">E84</f>
        <v>0</v>
      </c>
      <c r="N84" s="23">
        <f t="shared" si="16"/>
        <v>0</v>
      </c>
      <c r="O84" s="23">
        <f t="shared" si="16"/>
        <v>0</v>
      </c>
      <c r="P84" s="23">
        <f t="shared" si="16"/>
        <v>0</v>
      </c>
    </row>
    <row r="85" spans="1:16" hidden="1" x14ac:dyDescent="0.25">
      <c r="A85" s="28" t="s">
        <v>128</v>
      </c>
      <c r="B85" s="22">
        <v>8</v>
      </c>
      <c r="C85" s="22" t="s">
        <v>84</v>
      </c>
      <c r="D85" s="10" t="s">
        <v>37</v>
      </c>
      <c r="E85" s="23">
        <f>SUMIFS('Lista de Cargas'!P$4:P$18,'Lista de Cargas'!$H$4:$H$18,$D85,'Lista de Cargas'!$B$4:$B$18,$B85)</f>
        <v>0</v>
      </c>
      <c r="F85" s="23">
        <f>SUMIFS('Lista de Cargas'!Q$4:Q$18,'Lista de Cargas'!$H$4:$H$18,$D85,'Lista de Cargas'!$B$4:$B$18,$B85)</f>
        <v>0</v>
      </c>
      <c r="G85" s="23">
        <f>SUMIFS('Lista de Cargas'!R$4:R$18,'Lista de Cargas'!$H$4:$H$18,$D85,'Lista de Cargas'!$B$4:$B$18,$B85)</f>
        <v>0</v>
      </c>
      <c r="H85" s="23">
        <f>SUMIFS('Lista de Cargas'!S$4:S$18,'Lista de Cargas'!$H$4:$H$18,$D85,'Lista de Cargas'!$B$4:$B$18,$B85)</f>
        <v>0</v>
      </c>
      <c r="M85" s="23">
        <f t="shared" si="16"/>
        <v>0</v>
      </c>
      <c r="N85" s="23">
        <f t="shared" si="16"/>
        <v>0</v>
      </c>
      <c r="O85" s="23">
        <f t="shared" si="16"/>
        <v>0</v>
      </c>
      <c r="P85" s="23">
        <f t="shared" si="16"/>
        <v>0</v>
      </c>
    </row>
    <row r="86" spans="1:16" hidden="1" x14ac:dyDescent="0.25">
      <c r="A86" s="28" t="s">
        <v>128</v>
      </c>
      <c r="B86" s="22">
        <v>8</v>
      </c>
      <c r="C86" s="22" t="s">
        <v>84</v>
      </c>
      <c r="D86" s="10" t="s">
        <v>38</v>
      </c>
      <c r="E86" s="23">
        <f>SUMIFS('Lista de Cargas'!P$4:P$18,'Lista de Cargas'!$H$4:$H$18,$D86,'Lista de Cargas'!$B$4:$B$18,$B86)</f>
        <v>0</v>
      </c>
      <c r="F86" s="23">
        <f>SUMIFS('Lista de Cargas'!Q$4:Q$18,'Lista de Cargas'!$H$4:$H$18,$D86,'Lista de Cargas'!$B$4:$B$18,$B86)</f>
        <v>0</v>
      </c>
      <c r="G86" s="23">
        <f>SUMIFS('Lista de Cargas'!R$4:R$18,'Lista de Cargas'!$H$4:$H$18,$D86,'Lista de Cargas'!$B$4:$B$18,$B86)</f>
        <v>0</v>
      </c>
      <c r="H86" s="23">
        <f>SUMIFS('Lista de Cargas'!S$4:S$18,'Lista de Cargas'!$H$4:$H$18,$D86,'Lista de Cargas'!$B$4:$B$18,$B86)</f>
        <v>0</v>
      </c>
      <c r="M86" s="23">
        <f t="shared" si="16"/>
        <v>0</v>
      </c>
      <c r="N86" s="23">
        <f t="shared" si="16"/>
        <v>0</v>
      </c>
      <c r="O86" s="23">
        <f t="shared" si="16"/>
        <v>0</v>
      </c>
      <c r="P86" s="23">
        <f t="shared" si="16"/>
        <v>0</v>
      </c>
    </row>
    <row r="87" spans="1:16" hidden="1" x14ac:dyDescent="0.25">
      <c r="A87" s="28" t="s">
        <v>128</v>
      </c>
      <c r="B87" s="22">
        <v>8</v>
      </c>
      <c r="C87" s="22" t="s">
        <v>84</v>
      </c>
      <c r="D87" s="10" t="s">
        <v>36</v>
      </c>
      <c r="E87" s="23">
        <f>SUMIFS('Lista de Cargas'!P$4:P$18,'Lista de Cargas'!$H$4:$H$18,$D87,'Lista de Cargas'!$B$4:$B$18,$B87)</f>
        <v>0</v>
      </c>
      <c r="F87" s="23">
        <f>SUMIFS('Lista de Cargas'!Q$4:Q$18,'Lista de Cargas'!$H$4:$H$18,$D87,'Lista de Cargas'!$B$4:$B$18,$B87)</f>
        <v>0</v>
      </c>
      <c r="G87" s="23">
        <f>SUMIFS('Lista de Cargas'!R$4:R$18,'Lista de Cargas'!$H$4:$H$18,$D87,'Lista de Cargas'!$B$4:$B$18,$B87)</f>
        <v>0</v>
      </c>
      <c r="H87" s="23">
        <f>SUMIFS('Lista de Cargas'!S$4:S$18,'Lista de Cargas'!$H$4:$H$18,$D87,'Lista de Cargas'!$B$4:$B$18,$B87)</f>
        <v>0</v>
      </c>
      <c r="M87" s="23">
        <f t="shared" si="16"/>
        <v>0</v>
      </c>
      <c r="N87" s="23">
        <f t="shared" si="16"/>
        <v>0</v>
      </c>
      <c r="O87" s="23">
        <f t="shared" si="16"/>
        <v>0</v>
      </c>
      <c r="P87" s="23">
        <f t="shared" si="16"/>
        <v>0</v>
      </c>
    </row>
    <row r="88" spans="1:16" hidden="1" x14ac:dyDescent="0.25">
      <c r="A88" s="28" t="s">
        <v>128</v>
      </c>
      <c r="B88" s="22">
        <v>8</v>
      </c>
      <c r="C88" s="22" t="s">
        <v>84</v>
      </c>
      <c r="D88" s="2" t="s">
        <v>118</v>
      </c>
      <c r="E88" s="23">
        <f>SUMIFS('Lista de Cargas'!P$4:P$18,'Lista de Cargas'!$H$4:$H$18,$D88,'Lista de Cargas'!$B$4:$B$18,$B88)</f>
        <v>0</v>
      </c>
      <c r="F88" s="23">
        <f>SUMIFS('Lista de Cargas'!Q$4:Q$18,'Lista de Cargas'!$H$4:$H$18,$D88,'Lista de Cargas'!$B$4:$B$18,$B88)</f>
        <v>0</v>
      </c>
      <c r="G88" s="23">
        <f>SUMIFS('Lista de Cargas'!R$4:R$18,'Lista de Cargas'!$H$4:$H$18,$D88,'Lista de Cargas'!$B$4:$B$18,$B88)</f>
        <v>0</v>
      </c>
      <c r="H88" s="23">
        <f>SUMIFS('Lista de Cargas'!S$4:S$18,'Lista de Cargas'!$H$4:$H$18,$D88,'Lista de Cargas'!$B$4:$B$18,$B88)</f>
        <v>0</v>
      </c>
      <c r="M88" s="23">
        <f t="shared" si="16"/>
        <v>0</v>
      </c>
      <c r="N88" s="23">
        <f t="shared" si="16"/>
        <v>0</v>
      </c>
      <c r="O88" s="23">
        <f t="shared" si="16"/>
        <v>0</v>
      </c>
      <c r="P88" s="23">
        <f t="shared" si="16"/>
        <v>0</v>
      </c>
    </row>
    <row r="89" spans="1:16" hidden="1" x14ac:dyDescent="0.25">
      <c r="A89" s="28" t="s">
        <v>128</v>
      </c>
      <c r="B89" s="22">
        <v>8</v>
      </c>
      <c r="C89" s="22" t="s">
        <v>84</v>
      </c>
      <c r="D89" s="10" t="s">
        <v>41</v>
      </c>
      <c r="E89" s="23">
        <f>SUMIFS('Lista de Cargas'!P$4:P$18,'Lista de Cargas'!$H$4:$H$18,$D89,'Lista de Cargas'!$B$4:$B$18,$B89)</f>
        <v>0</v>
      </c>
      <c r="F89" s="23">
        <f>SUMIFS('Lista de Cargas'!Q$4:Q$18,'Lista de Cargas'!$H$4:$H$18,$D89,'Lista de Cargas'!$B$4:$B$18,$B89)</f>
        <v>0</v>
      </c>
      <c r="G89" s="23">
        <f>SUMIFS('Lista de Cargas'!R$4:R$18,'Lista de Cargas'!$H$4:$H$18,$D89,'Lista de Cargas'!$B$4:$B$18,$B89)</f>
        <v>0</v>
      </c>
      <c r="H89" s="23">
        <f>SUMIFS('Lista de Cargas'!S$4:S$18,'Lista de Cargas'!$H$4:$H$18,$D89,'Lista de Cargas'!$B$4:$B$18,$B89)</f>
        <v>0</v>
      </c>
      <c r="M89" s="23">
        <f t="shared" si="16"/>
        <v>0</v>
      </c>
      <c r="N89" s="23">
        <f t="shared" si="16"/>
        <v>0</v>
      </c>
      <c r="O89" s="23">
        <f t="shared" si="16"/>
        <v>0</v>
      </c>
      <c r="P89" s="23">
        <f t="shared" si="16"/>
        <v>0</v>
      </c>
    </row>
    <row r="90" spans="1:16" hidden="1" x14ac:dyDescent="0.25">
      <c r="A90" s="28" t="s">
        <v>128</v>
      </c>
      <c r="B90" s="22">
        <v>8</v>
      </c>
      <c r="C90" s="22" t="s">
        <v>84</v>
      </c>
      <c r="D90" s="10" t="s">
        <v>42</v>
      </c>
      <c r="E90" s="23">
        <f>SUMIFS('Lista de Cargas'!P$4:P$18,'Lista de Cargas'!$H$4:$H$18,$D90,'Lista de Cargas'!$B$4:$B$18,$B90)</f>
        <v>0</v>
      </c>
      <c r="F90" s="23">
        <f>SUMIFS('Lista de Cargas'!Q$4:Q$18,'Lista de Cargas'!$H$4:$H$18,$D90,'Lista de Cargas'!$B$4:$B$18,$B90)</f>
        <v>0</v>
      </c>
      <c r="G90" s="23">
        <f>SUMIFS('Lista de Cargas'!R$4:R$18,'Lista de Cargas'!$H$4:$H$18,$D90,'Lista de Cargas'!$B$4:$B$18,$B90)</f>
        <v>0</v>
      </c>
      <c r="H90" s="23">
        <f>SUMIFS('Lista de Cargas'!S$4:S$18,'Lista de Cargas'!$H$4:$H$18,$D90,'Lista de Cargas'!$B$4:$B$18,$B90)</f>
        <v>0</v>
      </c>
      <c r="M90" s="23">
        <f t="shared" si="16"/>
        <v>0</v>
      </c>
      <c r="N90" s="23">
        <f t="shared" si="16"/>
        <v>0</v>
      </c>
      <c r="O90" s="23">
        <f t="shared" si="16"/>
        <v>0</v>
      </c>
      <c r="P90" s="23">
        <f t="shared" si="16"/>
        <v>0</v>
      </c>
    </row>
    <row r="91" spans="1:16" s="43" customFormat="1" hidden="1" x14ac:dyDescent="0.25">
      <c r="A91" s="38" t="s">
        <v>128</v>
      </c>
      <c r="B91" s="39">
        <v>8</v>
      </c>
      <c r="C91" s="45" t="s">
        <v>84</v>
      </c>
      <c r="D91" s="41" t="s">
        <v>47</v>
      </c>
      <c r="E91" s="40">
        <f>SUM(E84:E90)</f>
        <v>0</v>
      </c>
      <c r="F91" s="40">
        <f>SUM(F84:F90)</f>
        <v>0</v>
      </c>
      <c r="G91" s="40">
        <f>SUM(G84:G90)</f>
        <v>0</v>
      </c>
      <c r="H91" s="40">
        <f>SUM(H84:H90)</f>
        <v>0</v>
      </c>
      <c r="I91" s="42"/>
      <c r="J91" s="42"/>
      <c r="M91" s="44"/>
      <c r="N91" s="44"/>
      <c r="O91" s="44"/>
      <c r="P91" s="44"/>
    </row>
    <row r="92" spans="1:16" s="43" customFormat="1" hidden="1" x14ac:dyDescent="0.25">
      <c r="A92" s="45" t="s">
        <v>2</v>
      </c>
      <c r="B92" s="45" t="s">
        <v>2</v>
      </c>
      <c r="C92" s="46"/>
      <c r="D92" s="47" t="s">
        <v>2</v>
      </c>
      <c r="E92" s="48" t="e">
        <f>E91/E$247</f>
        <v>#DIV/0!</v>
      </c>
      <c r="F92" s="48" t="e">
        <f>F91/F$247</f>
        <v>#DIV/0!</v>
      </c>
      <c r="G92" s="48" t="e">
        <f>G91/G$247</f>
        <v>#DIV/0!</v>
      </c>
      <c r="H92" s="48" t="e">
        <f>H91/H$247</f>
        <v>#DIV/0!</v>
      </c>
      <c r="I92" s="42"/>
      <c r="J92" s="42"/>
      <c r="M92" s="44"/>
      <c r="N92" s="44"/>
      <c r="O92" s="44"/>
      <c r="P92" s="44"/>
    </row>
    <row r="93" spans="1:16" hidden="1" x14ac:dyDescent="0.25">
      <c r="A93" s="27" t="s">
        <v>121</v>
      </c>
      <c r="B93" s="22" t="s">
        <v>127</v>
      </c>
      <c r="C93" s="22" t="s">
        <v>89</v>
      </c>
      <c r="D93" s="2" t="s">
        <v>76</v>
      </c>
      <c r="E93" s="23">
        <f>SUMIFS('Lista de Cargas'!P$4:P$18,'Lista de Cargas'!$H$4:$H$18,$D93,'Lista de Cargas'!$B$4:$B$18,$B93)</f>
        <v>0</v>
      </c>
      <c r="F93" s="23">
        <f>SUMIFS('Lista de Cargas'!Q$4:Q$18,'Lista de Cargas'!$H$4:$H$18,$D93,'Lista de Cargas'!$B$4:$B$18,$B93)</f>
        <v>0</v>
      </c>
      <c r="G93" s="23">
        <f>SUMIFS('Lista de Cargas'!R$4:R$18,'Lista de Cargas'!$H$4:$H$18,$D93,'Lista de Cargas'!$B$4:$B$18,$B93)</f>
        <v>0</v>
      </c>
      <c r="H93" s="23">
        <f>SUMIFS('Lista de Cargas'!S$4:S$18,'Lista de Cargas'!$H$4:$H$18,$D93,'Lista de Cargas'!$B$4:$B$18,$B93)</f>
        <v>0</v>
      </c>
      <c r="M93" s="23">
        <f t="shared" ref="M93:P99" si="17">E93</f>
        <v>0</v>
      </c>
      <c r="N93" s="23">
        <f t="shared" si="17"/>
        <v>0</v>
      </c>
      <c r="O93" s="23">
        <f t="shared" si="17"/>
        <v>0</v>
      </c>
      <c r="P93" s="23">
        <f t="shared" si="17"/>
        <v>0</v>
      </c>
    </row>
    <row r="94" spans="1:16" hidden="1" x14ac:dyDescent="0.25">
      <c r="A94" s="27" t="s">
        <v>121</v>
      </c>
      <c r="B94" s="22" t="s">
        <v>127</v>
      </c>
      <c r="C94" s="22" t="s">
        <v>89</v>
      </c>
      <c r="D94" s="10" t="s">
        <v>37</v>
      </c>
      <c r="E94" s="23">
        <f>SUMIFS('Lista de Cargas'!P$4:P$18,'Lista de Cargas'!$H$4:$H$18,$D94,'Lista de Cargas'!$B$4:$B$18,$B94)</f>
        <v>0</v>
      </c>
      <c r="F94" s="23">
        <f>SUMIFS('Lista de Cargas'!Q$4:Q$18,'Lista de Cargas'!$H$4:$H$18,$D94,'Lista de Cargas'!$B$4:$B$18,$B94)</f>
        <v>0</v>
      </c>
      <c r="G94" s="23">
        <f>SUMIFS('Lista de Cargas'!R$4:R$18,'Lista de Cargas'!$H$4:$H$18,$D94,'Lista de Cargas'!$B$4:$B$18,$B94)</f>
        <v>0</v>
      </c>
      <c r="H94" s="23">
        <f>SUMIFS('Lista de Cargas'!S$4:S$18,'Lista de Cargas'!$H$4:$H$18,$D94,'Lista de Cargas'!$B$4:$B$18,$B94)</f>
        <v>0</v>
      </c>
      <c r="M94" s="23">
        <f t="shared" si="17"/>
        <v>0</v>
      </c>
      <c r="N94" s="23">
        <f t="shared" si="17"/>
        <v>0</v>
      </c>
      <c r="O94" s="23">
        <f t="shared" si="17"/>
        <v>0</v>
      </c>
      <c r="P94" s="23">
        <f t="shared" si="17"/>
        <v>0</v>
      </c>
    </row>
    <row r="95" spans="1:16" hidden="1" x14ac:dyDescent="0.25">
      <c r="A95" s="27" t="s">
        <v>121</v>
      </c>
      <c r="B95" s="22" t="s">
        <v>127</v>
      </c>
      <c r="C95" s="22" t="s">
        <v>89</v>
      </c>
      <c r="D95" s="10" t="s">
        <v>38</v>
      </c>
      <c r="E95" s="23">
        <f>SUMIFS('Lista de Cargas'!P$4:P$18,'Lista de Cargas'!$H$4:$H$18,$D95,'Lista de Cargas'!$B$4:$B$18,$B95)</f>
        <v>0</v>
      </c>
      <c r="F95" s="23">
        <f>SUMIFS('Lista de Cargas'!Q$4:Q$18,'Lista de Cargas'!$H$4:$H$18,$D95,'Lista de Cargas'!$B$4:$B$18,$B95)</f>
        <v>0</v>
      </c>
      <c r="G95" s="23">
        <f>SUMIFS('Lista de Cargas'!R$4:R$18,'Lista de Cargas'!$H$4:$H$18,$D95,'Lista de Cargas'!$B$4:$B$18,$B95)</f>
        <v>0</v>
      </c>
      <c r="H95" s="23">
        <f>SUMIFS('Lista de Cargas'!S$4:S$18,'Lista de Cargas'!$H$4:$H$18,$D95,'Lista de Cargas'!$B$4:$B$18,$B95)</f>
        <v>0</v>
      </c>
      <c r="M95" s="23">
        <f t="shared" si="17"/>
        <v>0</v>
      </c>
      <c r="N95" s="23">
        <f t="shared" si="17"/>
        <v>0</v>
      </c>
      <c r="O95" s="23">
        <f t="shared" si="17"/>
        <v>0</v>
      </c>
      <c r="P95" s="23">
        <f t="shared" si="17"/>
        <v>0</v>
      </c>
    </row>
    <row r="96" spans="1:16" hidden="1" x14ac:dyDescent="0.25">
      <c r="A96" s="27" t="s">
        <v>121</v>
      </c>
      <c r="B96" s="22" t="s">
        <v>127</v>
      </c>
      <c r="C96" s="22" t="s">
        <v>89</v>
      </c>
      <c r="D96" s="10" t="s">
        <v>36</v>
      </c>
      <c r="E96" s="23">
        <f>SUMIFS('Lista de Cargas'!P$4:P$18,'Lista de Cargas'!$H$4:$H$18,$D96,'Lista de Cargas'!$B$4:$B$18,$B96)</f>
        <v>0</v>
      </c>
      <c r="F96" s="23">
        <f>SUMIFS('Lista de Cargas'!Q$4:Q$18,'Lista de Cargas'!$H$4:$H$18,$D96,'Lista de Cargas'!$B$4:$B$18,$B96)</f>
        <v>0</v>
      </c>
      <c r="G96" s="23">
        <f>SUMIFS('Lista de Cargas'!R$4:R$18,'Lista de Cargas'!$H$4:$H$18,$D96,'Lista de Cargas'!$B$4:$B$18,$B96)</f>
        <v>0</v>
      </c>
      <c r="H96" s="23">
        <f>SUMIFS('Lista de Cargas'!S$4:S$18,'Lista de Cargas'!$H$4:$H$18,$D96,'Lista de Cargas'!$B$4:$B$18,$B96)</f>
        <v>0</v>
      </c>
      <c r="M96" s="23">
        <f t="shared" si="17"/>
        <v>0</v>
      </c>
      <c r="N96" s="23">
        <f t="shared" si="17"/>
        <v>0</v>
      </c>
      <c r="O96" s="23">
        <f t="shared" si="17"/>
        <v>0</v>
      </c>
      <c r="P96" s="23">
        <f t="shared" si="17"/>
        <v>0</v>
      </c>
    </row>
    <row r="97" spans="1:16" hidden="1" x14ac:dyDescent="0.25">
      <c r="A97" s="27" t="s">
        <v>121</v>
      </c>
      <c r="B97" s="22" t="s">
        <v>127</v>
      </c>
      <c r="C97" s="22" t="s">
        <v>89</v>
      </c>
      <c r="D97" s="2" t="s">
        <v>118</v>
      </c>
      <c r="E97" s="23">
        <f>SUMIFS('Lista de Cargas'!P$4:P$18,'Lista de Cargas'!$H$4:$H$18,$D97,'Lista de Cargas'!$B$4:$B$18,$B97)</f>
        <v>0</v>
      </c>
      <c r="F97" s="23">
        <f>SUMIFS('Lista de Cargas'!Q$4:Q$18,'Lista de Cargas'!$H$4:$H$18,$D97,'Lista de Cargas'!$B$4:$B$18,$B97)</f>
        <v>0</v>
      </c>
      <c r="G97" s="23">
        <f>SUMIFS('Lista de Cargas'!R$4:R$18,'Lista de Cargas'!$H$4:$H$18,$D97,'Lista de Cargas'!$B$4:$B$18,$B97)</f>
        <v>0</v>
      </c>
      <c r="H97" s="23">
        <f>SUMIFS('Lista de Cargas'!S$4:S$18,'Lista de Cargas'!$H$4:$H$18,$D97,'Lista de Cargas'!$B$4:$B$18,$B97)</f>
        <v>0</v>
      </c>
      <c r="M97" s="23">
        <f t="shared" si="17"/>
        <v>0</v>
      </c>
      <c r="N97" s="23">
        <f t="shared" si="17"/>
        <v>0</v>
      </c>
      <c r="O97" s="23">
        <f t="shared" si="17"/>
        <v>0</v>
      </c>
      <c r="P97" s="23">
        <f t="shared" si="17"/>
        <v>0</v>
      </c>
    </row>
    <row r="98" spans="1:16" hidden="1" x14ac:dyDescent="0.25">
      <c r="A98" s="27" t="s">
        <v>121</v>
      </c>
      <c r="B98" s="22" t="s">
        <v>127</v>
      </c>
      <c r="C98" s="22" t="s">
        <v>89</v>
      </c>
      <c r="D98" s="10" t="s">
        <v>41</v>
      </c>
      <c r="E98" s="23">
        <f>SUMIFS('Lista de Cargas'!P$4:P$18,'Lista de Cargas'!$H$4:$H$18,$D98,'Lista de Cargas'!$B$4:$B$18,$B98)</f>
        <v>0</v>
      </c>
      <c r="F98" s="23">
        <f>SUMIFS('Lista de Cargas'!Q$4:Q$18,'Lista de Cargas'!$H$4:$H$18,$D98,'Lista de Cargas'!$B$4:$B$18,$B98)</f>
        <v>0</v>
      </c>
      <c r="G98" s="23">
        <f>SUMIFS('Lista de Cargas'!R$4:R$18,'Lista de Cargas'!$H$4:$H$18,$D98,'Lista de Cargas'!$B$4:$B$18,$B98)</f>
        <v>0</v>
      </c>
      <c r="H98" s="23">
        <f>SUMIFS('Lista de Cargas'!S$4:S$18,'Lista de Cargas'!$H$4:$H$18,$D98,'Lista de Cargas'!$B$4:$B$18,$B98)</f>
        <v>0</v>
      </c>
      <c r="M98" s="23">
        <f t="shared" si="17"/>
        <v>0</v>
      </c>
      <c r="N98" s="23">
        <f t="shared" si="17"/>
        <v>0</v>
      </c>
      <c r="O98" s="23">
        <f t="shared" si="17"/>
        <v>0</v>
      </c>
      <c r="P98" s="23">
        <f t="shared" si="17"/>
        <v>0</v>
      </c>
    </row>
    <row r="99" spans="1:16" hidden="1" x14ac:dyDescent="0.25">
      <c r="A99" s="27" t="s">
        <v>121</v>
      </c>
      <c r="B99" s="22" t="s">
        <v>127</v>
      </c>
      <c r="C99" s="22" t="s">
        <v>89</v>
      </c>
      <c r="D99" s="10" t="s">
        <v>42</v>
      </c>
      <c r="E99" s="23">
        <f>SUMIFS('Lista de Cargas'!P$4:P$18,'Lista de Cargas'!$H$4:$H$18,$D99,'Lista de Cargas'!$B$4:$B$18,$B99)</f>
        <v>0</v>
      </c>
      <c r="F99" s="23">
        <f>SUMIFS('Lista de Cargas'!Q$4:Q$18,'Lista de Cargas'!$H$4:$H$18,$D99,'Lista de Cargas'!$B$4:$B$18,$B99)</f>
        <v>0</v>
      </c>
      <c r="G99" s="23">
        <f>SUMIFS('Lista de Cargas'!R$4:R$18,'Lista de Cargas'!$H$4:$H$18,$D99,'Lista de Cargas'!$B$4:$B$18,$B99)</f>
        <v>0</v>
      </c>
      <c r="H99" s="23">
        <f>SUMIFS('Lista de Cargas'!S$4:S$18,'Lista de Cargas'!$H$4:$H$18,$D99,'Lista de Cargas'!$B$4:$B$18,$B99)</f>
        <v>0</v>
      </c>
      <c r="M99" s="23">
        <f t="shared" si="17"/>
        <v>0</v>
      </c>
      <c r="N99" s="23">
        <f t="shared" si="17"/>
        <v>0</v>
      </c>
      <c r="O99" s="23">
        <f t="shared" si="17"/>
        <v>0</v>
      </c>
      <c r="P99" s="23">
        <f t="shared" si="17"/>
        <v>0</v>
      </c>
    </row>
    <row r="100" spans="1:16" s="43" customFormat="1" hidden="1" x14ac:dyDescent="0.25">
      <c r="A100" s="38" t="s">
        <v>121</v>
      </c>
      <c r="B100" s="39" t="s">
        <v>127</v>
      </c>
      <c r="C100" s="45" t="s">
        <v>89</v>
      </c>
      <c r="D100" s="41" t="s">
        <v>47</v>
      </c>
      <c r="E100" s="40">
        <f>SUM(E93:E99)</f>
        <v>0</v>
      </c>
      <c r="F100" s="40">
        <f>SUM(F93:F99)</f>
        <v>0</v>
      </c>
      <c r="G100" s="40">
        <f>SUM(G93:G99)</f>
        <v>0</v>
      </c>
      <c r="H100" s="40">
        <f>SUM(H93:H99)</f>
        <v>0</v>
      </c>
      <c r="I100" s="42"/>
      <c r="J100" s="42"/>
      <c r="M100" s="44"/>
      <c r="N100" s="44"/>
      <c r="O100" s="44"/>
      <c r="P100" s="44"/>
    </row>
    <row r="101" spans="1:16" s="43" customFormat="1" hidden="1" x14ac:dyDescent="0.25">
      <c r="A101" s="45" t="s">
        <v>2</v>
      </c>
      <c r="B101" s="45" t="s">
        <v>2</v>
      </c>
      <c r="C101" s="46"/>
      <c r="D101" s="47" t="s">
        <v>2</v>
      </c>
      <c r="E101" s="48" t="e">
        <f>E100/E$247</f>
        <v>#DIV/0!</v>
      </c>
      <c r="F101" s="48" t="e">
        <f>F100/F$247</f>
        <v>#DIV/0!</v>
      </c>
      <c r="G101" s="48" t="e">
        <f>G100/G$247</f>
        <v>#DIV/0!</v>
      </c>
      <c r="H101" s="48" t="e">
        <f>H100/H$247</f>
        <v>#DIV/0!</v>
      </c>
      <c r="I101" s="42"/>
      <c r="J101" s="42"/>
      <c r="M101" s="44"/>
      <c r="N101" s="44"/>
      <c r="O101" s="44"/>
      <c r="P101" s="44"/>
    </row>
    <row r="102" spans="1:16" hidden="1" x14ac:dyDescent="0.25">
      <c r="A102" s="27" t="s">
        <v>133</v>
      </c>
      <c r="B102" s="22" t="s">
        <v>132</v>
      </c>
      <c r="C102" s="22" t="s">
        <v>83</v>
      </c>
      <c r="D102" s="2" t="s">
        <v>76</v>
      </c>
      <c r="E102" s="23">
        <f>SUMIFS('Lista de Cargas'!P$4:P$18,'Lista de Cargas'!$H$4:$H$18,$D102,'Lista de Cargas'!$B$4:$B$18,$B102)</f>
        <v>0</v>
      </c>
      <c r="F102" s="23">
        <f>SUMIFS('Lista de Cargas'!Q$4:Q$18,'Lista de Cargas'!$H$4:$H$18,$D102,'Lista de Cargas'!$B$4:$B$18,$B102)</f>
        <v>0</v>
      </c>
      <c r="G102" s="23">
        <f>SUMIFS('Lista de Cargas'!R$4:R$18,'Lista de Cargas'!$H$4:$H$18,$D102,'Lista de Cargas'!$B$4:$B$18,$B102)</f>
        <v>0</v>
      </c>
      <c r="H102" s="23">
        <f>SUMIFS('Lista de Cargas'!S$4:S$18,'Lista de Cargas'!$H$4:$H$18,$D102,'Lista de Cargas'!$B$4:$B$18,$B102)</f>
        <v>0</v>
      </c>
      <c r="M102" s="23">
        <f t="shared" ref="M102:P108" si="18">E102</f>
        <v>0</v>
      </c>
      <c r="N102" s="23">
        <f t="shared" si="18"/>
        <v>0</v>
      </c>
      <c r="O102" s="23">
        <f t="shared" si="18"/>
        <v>0</v>
      </c>
      <c r="P102" s="23">
        <f t="shared" si="18"/>
        <v>0</v>
      </c>
    </row>
    <row r="103" spans="1:16" hidden="1" x14ac:dyDescent="0.25">
      <c r="A103" s="27" t="s">
        <v>133</v>
      </c>
      <c r="B103" s="22" t="s">
        <v>132</v>
      </c>
      <c r="C103" s="22" t="s">
        <v>83</v>
      </c>
      <c r="D103" s="10" t="s">
        <v>37</v>
      </c>
      <c r="E103" s="23">
        <f>SUMIFS('Lista de Cargas'!P$4:P$18,'Lista de Cargas'!$H$4:$H$18,$D103,'Lista de Cargas'!$B$4:$B$18,$B103)</f>
        <v>0</v>
      </c>
      <c r="F103" s="23">
        <f>SUMIFS('Lista de Cargas'!Q$4:Q$18,'Lista de Cargas'!$H$4:$H$18,$D103,'Lista de Cargas'!$B$4:$B$18,$B103)</f>
        <v>0</v>
      </c>
      <c r="G103" s="23">
        <f>SUMIFS('Lista de Cargas'!R$4:R$18,'Lista de Cargas'!$H$4:$H$18,$D103,'Lista de Cargas'!$B$4:$B$18,$B103)</f>
        <v>0</v>
      </c>
      <c r="H103" s="23">
        <f>SUMIFS('Lista de Cargas'!S$4:S$18,'Lista de Cargas'!$H$4:$H$18,$D103,'Lista de Cargas'!$B$4:$B$18,$B103)</f>
        <v>0</v>
      </c>
      <c r="M103" s="23">
        <f t="shared" si="18"/>
        <v>0</v>
      </c>
      <c r="N103" s="23">
        <f t="shared" si="18"/>
        <v>0</v>
      </c>
      <c r="O103" s="23">
        <f t="shared" si="18"/>
        <v>0</v>
      </c>
      <c r="P103" s="23">
        <f t="shared" si="18"/>
        <v>0</v>
      </c>
    </row>
    <row r="104" spans="1:16" hidden="1" x14ac:dyDescent="0.25">
      <c r="A104" s="27" t="s">
        <v>133</v>
      </c>
      <c r="B104" s="22" t="s">
        <v>132</v>
      </c>
      <c r="C104" s="22" t="s">
        <v>83</v>
      </c>
      <c r="D104" s="10" t="s">
        <v>38</v>
      </c>
      <c r="E104" s="23">
        <f>SUMIFS('Lista de Cargas'!P$4:P$18,'Lista de Cargas'!$H$4:$H$18,$D104,'Lista de Cargas'!$B$4:$B$18,$B104)</f>
        <v>0</v>
      </c>
      <c r="F104" s="23">
        <f>SUMIFS('Lista de Cargas'!Q$4:Q$18,'Lista de Cargas'!$H$4:$H$18,$D104,'Lista de Cargas'!$B$4:$B$18,$B104)</f>
        <v>0</v>
      </c>
      <c r="G104" s="23">
        <f>SUMIFS('Lista de Cargas'!R$4:R$18,'Lista de Cargas'!$H$4:$H$18,$D104,'Lista de Cargas'!$B$4:$B$18,$B104)</f>
        <v>0</v>
      </c>
      <c r="H104" s="23">
        <f>SUMIFS('Lista de Cargas'!S$4:S$18,'Lista de Cargas'!$H$4:$H$18,$D104,'Lista de Cargas'!$B$4:$B$18,$B104)</f>
        <v>0</v>
      </c>
      <c r="M104" s="23">
        <f t="shared" si="18"/>
        <v>0</v>
      </c>
      <c r="N104" s="23">
        <f t="shared" si="18"/>
        <v>0</v>
      </c>
      <c r="O104" s="23">
        <f t="shared" si="18"/>
        <v>0</v>
      </c>
      <c r="P104" s="23">
        <f t="shared" si="18"/>
        <v>0</v>
      </c>
    </row>
    <row r="105" spans="1:16" hidden="1" x14ac:dyDescent="0.25">
      <c r="A105" s="27" t="s">
        <v>133</v>
      </c>
      <c r="B105" s="22" t="s">
        <v>132</v>
      </c>
      <c r="C105" s="22" t="s">
        <v>83</v>
      </c>
      <c r="D105" s="10" t="s">
        <v>36</v>
      </c>
      <c r="E105" s="23">
        <f>SUMIFS('Lista de Cargas'!P$4:P$18,'Lista de Cargas'!$H$4:$H$18,$D105,'Lista de Cargas'!$B$4:$B$18,$B105)</f>
        <v>0</v>
      </c>
      <c r="F105" s="23">
        <f>SUMIFS('Lista de Cargas'!Q$4:Q$18,'Lista de Cargas'!$H$4:$H$18,$D105,'Lista de Cargas'!$B$4:$B$18,$B105)</f>
        <v>0</v>
      </c>
      <c r="G105" s="23">
        <f>SUMIFS('Lista de Cargas'!R$4:R$18,'Lista de Cargas'!$H$4:$H$18,$D105,'Lista de Cargas'!$B$4:$B$18,$B105)</f>
        <v>0</v>
      </c>
      <c r="H105" s="23">
        <f>SUMIFS('Lista de Cargas'!S$4:S$18,'Lista de Cargas'!$H$4:$H$18,$D105,'Lista de Cargas'!$B$4:$B$18,$B105)</f>
        <v>0</v>
      </c>
      <c r="M105" s="23">
        <f t="shared" si="18"/>
        <v>0</v>
      </c>
      <c r="N105" s="23">
        <f t="shared" si="18"/>
        <v>0</v>
      </c>
      <c r="O105" s="23">
        <f t="shared" si="18"/>
        <v>0</v>
      </c>
      <c r="P105" s="23">
        <f t="shared" si="18"/>
        <v>0</v>
      </c>
    </row>
    <row r="106" spans="1:16" hidden="1" x14ac:dyDescent="0.25">
      <c r="A106" s="27" t="s">
        <v>133</v>
      </c>
      <c r="B106" s="22" t="s">
        <v>132</v>
      </c>
      <c r="C106" s="22" t="s">
        <v>83</v>
      </c>
      <c r="D106" s="2" t="s">
        <v>118</v>
      </c>
      <c r="E106" s="23">
        <f>SUMIFS('Lista de Cargas'!P$4:P$18,'Lista de Cargas'!$H$4:$H$18,$D106,'Lista de Cargas'!$B$4:$B$18,$B106)</f>
        <v>0</v>
      </c>
      <c r="F106" s="23">
        <f>SUMIFS('Lista de Cargas'!Q$4:Q$18,'Lista de Cargas'!$H$4:$H$18,$D106,'Lista de Cargas'!$B$4:$B$18,$B106)</f>
        <v>0</v>
      </c>
      <c r="G106" s="23">
        <f>SUMIFS('Lista de Cargas'!R$4:R$18,'Lista de Cargas'!$H$4:$H$18,$D106,'Lista de Cargas'!$B$4:$B$18,$B106)</f>
        <v>0</v>
      </c>
      <c r="H106" s="23">
        <f>SUMIFS('Lista de Cargas'!S$4:S$18,'Lista de Cargas'!$H$4:$H$18,$D106,'Lista de Cargas'!$B$4:$B$18,$B106)</f>
        <v>0</v>
      </c>
      <c r="M106" s="23">
        <f t="shared" si="18"/>
        <v>0</v>
      </c>
      <c r="N106" s="23">
        <f t="shared" si="18"/>
        <v>0</v>
      </c>
      <c r="O106" s="23">
        <f t="shared" si="18"/>
        <v>0</v>
      </c>
      <c r="P106" s="23">
        <f t="shared" si="18"/>
        <v>0</v>
      </c>
    </row>
    <row r="107" spans="1:16" hidden="1" x14ac:dyDescent="0.25">
      <c r="A107" s="27" t="s">
        <v>133</v>
      </c>
      <c r="B107" s="22" t="s">
        <v>132</v>
      </c>
      <c r="C107" s="22" t="s">
        <v>83</v>
      </c>
      <c r="D107" s="10" t="s">
        <v>41</v>
      </c>
      <c r="E107" s="23">
        <f>SUMIFS('Lista de Cargas'!P$4:P$18,'Lista de Cargas'!$H$4:$H$18,$D107,'Lista de Cargas'!$B$4:$B$18,$B107)</f>
        <v>0</v>
      </c>
      <c r="F107" s="23">
        <f>SUMIFS('Lista de Cargas'!Q$4:Q$18,'Lista de Cargas'!$H$4:$H$18,$D107,'Lista de Cargas'!$B$4:$B$18,$B107)</f>
        <v>0</v>
      </c>
      <c r="G107" s="23">
        <f>SUMIFS('Lista de Cargas'!R$4:R$18,'Lista de Cargas'!$H$4:$H$18,$D107,'Lista de Cargas'!$B$4:$B$18,$B107)</f>
        <v>0</v>
      </c>
      <c r="H107" s="23">
        <f>SUMIFS('Lista de Cargas'!S$4:S$18,'Lista de Cargas'!$H$4:$H$18,$D107,'Lista de Cargas'!$B$4:$B$18,$B107)</f>
        <v>0</v>
      </c>
      <c r="M107" s="23">
        <f t="shared" si="18"/>
        <v>0</v>
      </c>
      <c r="N107" s="23">
        <f t="shared" si="18"/>
        <v>0</v>
      </c>
      <c r="O107" s="23">
        <f t="shared" si="18"/>
        <v>0</v>
      </c>
      <c r="P107" s="23">
        <f t="shared" si="18"/>
        <v>0</v>
      </c>
    </row>
    <row r="108" spans="1:16" hidden="1" x14ac:dyDescent="0.25">
      <c r="A108" s="27" t="s">
        <v>133</v>
      </c>
      <c r="B108" s="22" t="s">
        <v>132</v>
      </c>
      <c r="C108" s="22" t="s">
        <v>83</v>
      </c>
      <c r="D108" s="10" t="s">
        <v>42</v>
      </c>
      <c r="E108" s="23">
        <f>SUMIFS('Lista de Cargas'!P$4:P$18,'Lista de Cargas'!$H$4:$H$18,$D108,'Lista de Cargas'!$B$4:$B$18,$B108)</f>
        <v>0</v>
      </c>
      <c r="F108" s="23">
        <f>SUMIFS('Lista de Cargas'!Q$4:Q$18,'Lista de Cargas'!$H$4:$H$18,$D108,'Lista de Cargas'!$B$4:$B$18,$B108)</f>
        <v>0</v>
      </c>
      <c r="G108" s="23">
        <f>SUMIFS('Lista de Cargas'!R$4:R$18,'Lista de Cargas'!$H$4:$H$18,$D108,'Lista de Cargas'!$B$4:$B$18,$B108)</f>
        <v>0</v>
      </c>
      <c r="H108" s="23">
        <f>SUMIFS('Lista de Cargas'!S$4:S$18,'Lista de Cargas'!$H$4:$H$18,$D108,'Lista de Cargas'!$B$4:$B$18,$B108)</f>
        <v>0</v>
      </c>
      <c r="M108" s="23">
        <f t="shared" si="18"/>
        <v>0</v>
      </c>
      <c r="N108" s="23">
        <f t="shared" si="18"/>
        <v>0</v>
      </c>
      <c r="O108" s="23">
        <f t="shared" si="18"/>
        <v>0</v>
      </c>
      <c r="P108" s="23">
        <f t="shared" si="18"/>
        <v>0</v>
      </c>
    </row>
    <row r="109" spans="1:16" s="43" customFormat="1" hidden="1" x14ac:dyDescent="0.25">
      <c r="A109" s="38" t="s">
        <v>133</v>
      </c>
      <c r="B109" s="39" t="s">
        <v>132</v>
      </c>
      <c r="C109" s="45" t="s">
        <v>83</v>
      </c>
      <c r="D109" s="41" t="s">
        <v>47</v>
      </c>
      <c r="E109" s="40">
        <f>SUM(E102:E108)</f>
        <v>0</v>
      </c>
      <c r="F109" s="40">
        <f>SUM(F102:F108)</f>
        <v>0</v>
      </c>
      <c r="G109" s="40">
        <f>SUM(G102:G108)</f>
        <v>0</v>
      </c>
      <c r="H109" s="40">
        <f>SUM(H102:H108)</f>
        <v>0</v>
      </c>
      <c r="I109" s="42"/>
      <c r="J109" s="42"/>
      <c r="M109" s="44"/>
      <c r="N109" s="44"/>
      <c r="O109" s="44"/>
      <c r="P109" s="44"/>
    </row>
    <row r="110" spans="1:16" s="43" customFormat="1" hidden="1" x14ac:dyDescent="0.25">
      <c r="A110" s="45" t="s">
        <v>2</v>
      </c>
      <c r="B110" s="45" t="s">
        <v>2</v>
      </c>
      <c r="C110" s="46"/>
      <c r="D110" s="47" t="s">
        <v>2</v>
      </c>
      <c r="E110" s="48" t="e">
        <f>E109/E$247</f>
        <v>#DIV/0!</v>
      </c>
      <c r="F110" s="48" t="e">
        <f>F109/F$247</f>
        <v>#DIV/0!</v>
      </c>
      <c r="G110" s="48" t="e">
        <f>G109/G$247</f>
        <v>#DIV/0!</v>
      </c>
      <c r="H110" s="48" t="e">
        <f>H109/H$247</f>
        <v>#DIV/0!</v>
      </c>
      <c r="I110" s="42"/>
      <c r="J110" s="42"/>
      <c r="M110" s="44"/>
      <c r="N110" s="44"/>
      <c r="O110" s="44"/>
      <c r="P110" s="44"/>
    </row>
    <row r="111" spans="1:16" hidden="1" x14ac:dyDescent="0.25">
      <c r="A111" s="27" t="s">
        <v>135</v>
      </c>
      <c r="B111" s="22" t="s">
        <v>134</v>
      </c>
      <c r="C111" s="22" t="s">
        <v>84</v>
      </c>
      <c r="D111" s="2" t="s">
        <v>76</v>
      </c>
      <c r="E111" s="23">
        <f>SUMIFS('Lista de Cargas'!P$4:P$18,'Lista de Cargas'!$H$4:$H$18,$D111,'Lista de Cargas'!$B$4:$B$18,$B111)</f>
        <v>0</v>
      </c>
      <c r="F111" s="23">
        <f>SUMIFS('Lista de Cargas'!Q$4:Q$18,'Lista de Cargas'!$H$4:$H$18,$D111,'Lista de Cargas'!$B$4:$B$18,$B111)</f>
        <v>0</v>
      </c>
      <c r="G111" s="23">
        <f>SUMIFS('Lista de Cargas'!R$4:R$18,'Lista de Cargas'!$H$4:$H$18,$D111,'Lista de Cargas'!$B$4:$B$18,$B111)</f>
        <v>0</v>
      </c>
      <c r="H111" s="23">
        <f>SUMIFS('Lista de Cargas'!S$4:S$18,'Lista de Cargas'!$H$4:$H$18,$D111,'Lista de Cargas'!$B$4:$B$18,$B111)</f>
        <v>0</v>
      </c>
      <c r="M111" s="23">
        <f t="shared" ref="M111:P117" si="19">E111</f>
        <v>0</v>
      </c>
      <c r="N111" s="23">
        <f t="shared" si="19"/>
        <v>0</v>
      </c>
      <c r="O111" s="23">
        <f t="shared" si="19"/>
        <v>0</v>
      </c>
      <c r="P111" s="23">
        <f t="shared" si="19"/>
        <v>0</v>
      </c>
    </row>
    <row r="112" spans="1:16" hidden="1" x14ac:dyDescent="0.25">
      <c r="A112" s="27" t="s">
        <v>135</v>
      </c>
      <c r="B112" s="22" t="s">
        <v>134</v>
      </c>
      <c r="C112" s="22" t="s">
        <v>84</v>
      </c>
      <c r="D112" s="10" t="s">
        <v>37</v>
      </c>
      <c r="E112" s="23">
        <f>SUMIFS('Lista de Cargas'!P$4:P$18,'Lista de Cargas'!$H$4:$H$18,$D112,'Lista de Cargas'!$B$4:$B$18,$B112)</f>
        <v>0</v>
      </c>
      <c r="F112" s="23">
        <f>SUMIFS('Lista de Cargas'!Q$4:Q$18,'Lista de Cargas'!$H$4:$H$18,$D112,'Lista de Cargas'!$B$4:$B$18,$B112)</f>
        <v>0</v>
      </c>
      <c r="G112" s="23">
        <f>SUMIFS('Lista de Cargas'!R$4:R$18,'Lista de Cargas'!$H$4:$H$18,$D112,'Lista de Cargas'!$B$4:$B$18,$B112)</f>
        <v>0</v>
      </c>
      <c r="H112" s="23">
        <f>SUMIFS('Lista de Cargas'!S$4:S$18,'Lista de Cargas'!$H$4:$H$18,$D112,'Lista de Cargas'!$B$4:$B$18,$B112)</f>
        <v>0</v>
      </c>
      <c r="M112" s="23">
        <f t="shared" si="19"/>
        <v>0</v>
      </c>
      <c r="N112" s="23">
        <f t="shared" si="19"/>
        <v>0</v>
      </c>
      <c r="O112" s="23">
        <f t="shared" si="19"/>
        <v>0</v>
      </c>
      <c r="P112" s="23">
        <f t="shared" si="19"/>
        <v>0</v>
      </c>
    </row>
    <row r="113" spans="1:16" hidden="1" x14ac:dyDescent="0.25">
      <c r="A113" s="27" t="s">
        <v>135</v>
      </c>
      <c r="B113" s="22" t="s">
        <v>134</v>
      </c>
      <c r="C113" s="22" t="s">
        <v>84</v>
      </c>
      <c r="D113" s="10" t="s">
        <v>38</v>
      </c>
      <c r="E113" s="23">
        <f>SUMIFS('Lista de Cargas'!P$4:P$18,'Lista de Cargas'!$H$4:$H$18,$D113,'Lista de Cargas'!$B$4:$B$18,$B113)</f>
        <v>0</v>
      </c>
      <c r="F113" s="23">
        <f>SUMIFS('Lista de Cargas'!Q$4:Q$18,'Lista de Cargas'!$H$4:$H$18,$D113,'Lista de Cargas'!$B$4:$B$18,$B113)</f>
        <v>0</v>
      </c>
      <c r="G113" s="23">
        <f>SUMIFS('Lista de Cargas'!R$4:R$18,'Lista de Cargas'!$H$4:$H$18,$D113,'Lista de Cargas'!$B$4:$B$18,$B113)</f>
        <v>0</v>
      </c>
      <c r="H113" s="23">
        <f>SUMIFS('Lista de Cargas'!S$4:S$18,'Lista de Cargas'!$H$4:$H$18,$D113,'Lista de Cargas'!$B$4:$B$18,$B113)</f>
        <v>0</v>
      </c>
      <c r="M113" s="23">
        <f t="shared" si="19"/>
        <v>0</v>
      </c>
      <c r="N113" s="23">
        <f t="shared" si="19"/>
        <v>0</v>
      </c>
      <c r="O113" s="23">
        <f t="shared" si="19"/>
        <v>0</v>
      </c>
      <c r="P113" s="23">
        <f t="shared" si="19"/>
        <v>0</v>
      </c>
    </row>
    <row r="114" spans="1:16" hidden="1" x14ac:dyDescent="0.25">
      <c r="A114" s="27" t="s">
        <v>135</v>
      </c>
      <c r="B114" s="22" t="s">
        <v>134</v>
      </c>
      <c r="C114" s="22" t="s">
        <v>84</v>
      </c>
      <c r="D114" s="10" t="s">
        <v>36</v>
      </c>
      <c r="E114" s="23">
        <f>SUMIFS('Lista de Cargas'!P$4:P$18,'Lista de Cargas'!$H$4:$H$18,$D114,'Lista de Cargas'!$B$4:$B$18,$B114)</f>
        <v>0</v>
      </c>
      <c r="F114" s="23">
        <f>SUMIFS('Lista de Cargas'!Q$4:Q$18,'Lista de Cargas'!$H$4:$H$18,$D114,'Lista de Cargas'!$B$4:$B$18,$B114)</f>
        <v>0</v>
      </c>
      <c r="G114" s="23">
        <f>SUMIFS('Lista de Cargas'!R$4:R$18,'Lista de Cargas'!$H$4:$H$18,$D114,'Lista de Cargas'!$B$4:$B$18,$B114)</f>
        <v>0</v>
      </c>
      <c r="H114" s="23">
        <f>SUMIFS('Lista de Cargas'!S$4:S$18,'Lista de Cargas'!$H$4:$H$18,$D114,'Lista de Cargas'!$B$4:$B$18,$B114)</f>
        <v>0</v>
      </c>
      <c r="M114" s="23">
        <f t="shared" si="19"/>
        <v>0</v>
      </c>
      <c r="N114" s="23">
        <f t="shared" si="19"/>
        <v>0</v>
      </c>
      <c r="O114" s="23">
        <f t="shared" si="19"/>
        <v>0</v>
      </c>
      <c r="P114" s="23">
        <f t="shared" si="19"/>
        <v>0</v>
      </c>
    </row>
    <row r="115" spans="1:16" hidden="1" x14ac:dyDescent="0.25">
      <c r="A115" s="27" t="s">
        <v>135</v>
      </c>
      <c r="B115" s="22" t="s">
        <v>134</v>
      </c>
      <c r="C115" s="22" t="s">
        <v>84</v>
      </c>
      <c r="D115" s="2" t="s">
        <v>118</v>
      </c>
      <c r="E115" s="23">
        <f>SUMIFS('Lista de Cargas'!P$4:P$18,'Lista de Cargas'!$H$4:$H$18,$D115,'Lista de Cargas'!$B$4:$B$18,$B115)</f>
        <v>0</v>
      </c>
      <c r="F115" s="23">
        <f>SUMIFS('Lista de Cargas'!Q$4:Q$18,'Lista de Cargas'!$H$4:$H$18,$D115,'Lista de Cargas'!$B$4:$B$18,$B115)</f>
        <v>0</v>
      </c>
      <c r="G115" s="23">
        <f>SUMIFS('Lista de Cargas'!R$4:R$18,'Lista de Cargas'!$H$4:$H$18,$D115,'Lista de Cargas'!$B$4:$B$18,$B115)</f>
        <v>0</v>
      </c>
      <c r="H115" s="23">
        <f>SUMIFS('Lista de Cargas'!S$4:S$18,'Lista de Cargas'!$H$4:$H$18,$D115,'Lista de Cargas'!$B$4:$B$18,$B115)</f>
        <v>0</v>
      </c>
      <c r="M115" s="23">
        <f t="shared" si="19"/>
        <v>0</v>
      </c>
      <c r="N115" s="23">
        <f t="shared" si="19"/>
        <v>0</v>
      </c>
      <c r="O115" s="23">
        <f t="shared" si="19"/>
        <v>0</v>
      </c>
      <c r="P115" s="23">
        <f t="shared" si="19"/>
        <v>0</v>
      </c>
    </row>
    <row r="116" spans="1:16" hidden="1" x14ac:dyDescent="0.25">
      <c r="A116" s="27" t="s">
        <v>135</v>
      </c>
      <c r="B116" s="22" t="s">
        <v>134</v>
      </c>
      <c r="C116" s="22" t="s">
        <v>84</v>
      </c>
      <c r="D116" s="10" t="s">
        <v>41</v>
      </c>
      <c r="E116" s="23">
        <f>SUMIFS('Lista de Cargas'!P$4:P$18,'Lista de Cargas'!$H$4:$H$18,$D116,'Lista de Cargas'!$B$4:$B$18,$B116)</f>
        <v>0</v>
      </c>
      <c r="F116" s="23">
        <f>SUMIFS('Lista de Cargas'!Q$4:Q$18,'Lista de Cargas'!$H$4:$H$18,$D116,'Lista de Cargas'!$B$4:$B$18,$B116)</f>
        <v>0</v>
      </c>
      <c r="G116" s="23">
        <f>SUMIFS('Lista de Cargas'!R$4:R$18,'Lista de Cargas'!$H$4:$H$18,$D116,'Lista de Cargas'!$B$4:$B$18,$B116)</f>
        <v>0</v>
      </c>
      <c r="H116" s="23">
        <f>SUMIFS('Lista de Cargas'!S$4:S$18,'Lista de Cargas'!$H$4:$H$18,$D116,'Lista de Cargas'!$B$4:$B$18,$B116)</f>
        <v>0</v>
      </c>
      <c r="M116" s="23">
        <f t="shared" si="19"/>
        <v>0</v>
      </c>
      <c r="N116" s="23">
        <f t="shared" si="19"/>
        <v>0</v>
      </c>
      <c r="O116" s="23">
        <f t="shared" si="19"/>
        <v>0</v>
      </c>
      <c r="P116" s="23">
        <f t="shared" si="19"/>
        <v>0</v>
      </c>
    </row>
    <row r="117" spans="1:16" hidden="1" x14ac:dyDescent="0.25">
      <c r="A117" s="27" t="s">
        <v>135</v>
      </c>
      <c r="B117" s="22" t="s">
        <v>134</v>
      </c>
      <c r="C117" s="22" t="s">
        <v>84</v>
      </c>
      <c r="D117" s="10" t="s">
        <v>42</v>
      </c>
      <c r="E117" s="23">
        <f>SUMIFS('Lista de Cargas'!P$4:P$18,'Lista de Cargas'!$H$4:$H$18,$D117,'Lista de Cargas'!$B$4:$B$18,$B117)</f>
        <v>0</v>
      </c>
      <c r="F117" s="23">
        <f>SUMIFS('Lista de Cargas'!Q$4:Q$18,'Lista de Cargas'!$H$4:$H$18,$D117,'Lista de Cargas'!$B$4:$B$18,$B117)</f>
        <v>0</v>
      </c>
      <c r="G117" s="23">
        <f>SUMIFS('Lista de Cargas'!R$4:R$18,'Lista de Cargas'!$H$4:$H$18,$D117,'Lista de Cargas'!$B$4:$B$18,$B117)</f>
        <v>0</v>
      </c>
      <c r="H117" s="23">
        <f>SUMIFS('Lista de Cargas'!S$4:S$18,'Lista de Cargas'!$H$4:$H$18,$D117,'Lista de Cargas'!$B$4:$B$18,$B117)</f>
        <v>0</v>
      </c>
      <c r="M117" s="23">
        <f t="shared" si="19"/>
        <v>0</v>
      </c>
      <c r="N117" s="23">
        <f t="shared" si="19"/>
        <v>0</v>
      </c>
      <c r="O117" s="23">
        <f t="shared" si="19"/>
        <v>0</v>
      </c>
      <c r="P117" s="23">
        <f t="shared" si="19"/>
        <v>0</v>
      </c>
    </row>
    <row r="118" spans="1:16" s="43" customFormat="1" hidden="1" x14ac:dyDescent="0.25">
      <c r="A118" s="38" t="s">
        <v>135</v>
      </c>
      <c r="B118" s="39" t="s">
        <v>134</v>
      </c>
      <c r="C118" s="45" t="s">
        <v>84</v>
      </c>
      <c r="D118" s="41" t="s">
        <v>47</v>
      </c>
      <c r="E118" s="40">
        <f>SUM(E111:E117)</f>
        <v>0</v>
      </c>
      <c r="F118" s="40">
        <f>SUM(F111:F117)</f>
        <v>0</v>
      </c>
      <c r="G118" s="40">
        <f>SUM(G111:G117)</f>
        <v>0</v>
      </c>
      <c r="H118" s="40">
        <f>SUM(H111:H117)</f>
        <v>0</v>
      </c>
      <c r="I118" s="42"/>
      <c r="J118" s="42"/>
      <c r="M118" s="44"/>
      <c r="N118" s="44"/>
      <c r="O118" s="44"/>
      <c r="P118" s="44"/>
    </row>
    <row r="119" spans="1:16" s="43" customFormat="1" hidden="1" x14ac:dyDescent="0.25">
      <c r="A119" s="45" t="s">
        <v>2</v>
      </c>
      <c r="B119" s="45" t="s">
        <v>2</v>
      </c>
      <c r="C119" s="46"/>
      <c r="D119" s="47" t="s">
        <v>2</v>
      </c>
      <c r="E119" s="48" t="e">
        <f>E118/E$247</f>
        <v>#DIV/0!</v>
      </c>
      <c r="F119" s="48" t="e">
        <f>F118/F$247</f>
        <v>#DIV/0!</v>
      </c>
      <c r="G119" s="48" t="e">
        <f>G118/G$247</f>
        <v>#DIV/0!</v>
      </c>
      <c r="H119" s="48" t="e">
        <f>H118/H$247</f>
        <v>#DIV/0!</v>
      </c>
      <c r="I119" s="42"/>
      <c r="J119" s="42"/>
      <c r="M119" s="44"/>
      <c r="N119" s="44"/>
      <c r="O119" s="44"/>
      <c r="P119" s="44"/>
    </row>
    <row r="120" spans="1:16" hidden="1" x14ac:dyDescent="0.25">
      <c r="A120" s="27" t="s">
        <v>137</v>
      </c>
      <c r="B120" s="22" t="s">
        <v>136</v>
      </c>
      <c r="C120" s="22" t="s">
        <v>84</v>
      </c>
      <c r="D120" s="2" t="s">
        <v>76</v>
      </c>
      <c r="E120" s="23">
        <f>SUMIFS('Lista de Cargas'!P$4:P$18,'Lista de Cargas'!$H$4:$H$18,$D120,'Lista de Cargas'!$B$4:$B$18,$B120)</f>
        <v>0</v>
      </c>
      <c r="F120" s="23">
        <f>SUMIFS('Lista de Cargas'!Q$4:Q$18,'Lista de Cargas'!$H$4:$H$18,$D120,'Lista de Cargas'!$B$4:$B$18,$B120)</f>
        <v>0</v>
      </c>
      <c r="G120" s="23">
        <f>SUMIFS('Lista de Cargas'!R$4:R$18,'Lista de Cargas'!$H$4:$H$18,$D120,'Lista de Cargas'!$B$4:$B$18,$B120)</f>
        <v>0</v>
      </c>
      <c r="H120" s="23">
        <f>SUMIFS('Lista de Cargas'!S$4:S$18,'Lista de Cargas'!$H$4:$H$18,$D120,'Lista de Cargas'!$B$4:$B$18,$B120)</f>
        <v>0</v>
      </c>
      <c r="M120" s="23">
        <f t="shared" ref="M120:P126" si="20">E120</f>
        <v>0</v>
      </c>
      <c r="N120" s="23">
        <f t="shared" si="20"/>
        <v>0</v>
      </c>
      <c r="O120" s="23">
        <f t="shared" si="20"/>
        <v>0</v>
      </c>
      <c r="P120" s="23">
        <f t="shared" si="20"/>
        <v>0</v>
      </c>
    </row>
    <row r="121" spans="1:16" hidden="1" x14ac:dyDescent="0.25">
      <c r="A121" s="27" t="s">
        <v>137</v>
      </c>
      <c r="B121" s="22" t="s">
        <v>136</v>
      </c>
      <c r="C121" s="22" t="s">
        <v>84</v>
      </c>
      <c r="D121" s="10" t="s">
        <v>37</v>
      </c>
      <c r="E121" s="23">
        <f>SUMIFS('Lista de Cargas'!P$4:P$18,'Lista de Cargas'!$H$4:$H$18,$D121,'Lista de Cargas'!$B$4:$B$18,$B121)</f>
        <v>0</v>
      </c>
      <c r="F121" s="23">
        <f>SUMIFS('Lista de Cargas'!Q$4:Q$18,'Lista de Cargas'!$H$4:$H$18,$D121,'Lista de Cargas'!$B$4:$B$18,$B121)</f>
        <v>0</v>
      </c>
      <c r="G121" s="23">
        <f>SUMIFS('Lista de Cargas'!R$4:R$18,'Lista de Cargas'!$H$4:$H$18,$D121,'Lista de Cargas'!$B$4:$B$18,$B121)</f>
        <v>0</v>
      </c>
      <c r="H121" s="23">
        <f>SUMIFS('Lista de Cargas'!S$4:S$18,'Lista de Cargas'!$H$4:$H$18,$D121,'Lista de Cargas'!$B$4:$B$18,$B121)</f>
        <v>0</v>
      </c>
      <c r="M121" s="23">
        <f t="shared" si="20"/>
        <v>0</v>
      </c>
      <c r="N121" s="23">
        <f t="shared" si="20"/>
        <v>0</v>
      </c>
      <c r="O121" s="23">
        <f t="shared" si="20"/>
        <v>0</v>
      </c>
      <c r="P121" s="23">
        <f t="shared" si="20"/>
        <v>0</v>
      </c>
    </row>
    <row r="122" spans="1:16" hidden="1" x14ac:dyDescent="0.25">
      <c r="A122" s="27" t="s">
        <v>137</v>
      </c>
      <c r="B122" s="22" t="s">
        <v>136</v>
      </c>
      <c r="C122" s="22" t="s">
        <v>84</v>
      </c>
      <c r="D122" s="10" t="s">
        <v>38</v>
      </c>
      <c r="E122" s="23">
        <f>SUMIFS('Lista de Cargas'!P$4:P$18,'Lista de Cargas'!$H$4:$H$18,$D122,'Lista de Cargas'!$B$4:$B$18,$B122)</f>
        <v>0</v>
      </c>
      <c r="F122" s="23">
        <f>SUMIFS('Lista de Cargas'!Q$4:Q$18,'Lista de Cargas'!$H$4:$H$18,$D122,'Lista de Cargas'!$B$4:$B$18,$B122)</f>
        <v>0</v>
      </c>
      <c r="G122" s="23">
        <f>SUMIFS('Lista de Cargas'!R$4:R$18,'Lista de Cargas'!$H$4:$H$18,$D122,'Lista de Cargas'!$B$4:$B$18,$B122)</f>
        <v>0</v>
      </c>
      <c r="H122" s="23">
        <f>SUMIFS('Lista de Cargas'!S$4:S$18,'Lista de Cargas'!$H$4:$H$18,$D122,'Lista de Cargas'!$B$4:$B$18,$B122)</f>
        <v>0</v>
      </c>
      <c r="M122" s="23">
        <f t="shared" si="20"/>
        <v>0</v>
      </c>
      <c r="N122" s="23">
        <f t="shared" si="20"/>
        <v>0</v>
      </c>
      <c r="O122" s="23">
        <f t="shared" si="20"/>
        <v>0</v>
      </c>
      <c r="P122" s="23">
        <f t="shared" si="20"/>
        <v>0</v>
      </c>
    </row>
    <row r="123" spans="1:16" hidden="1" x14ac:dyDescent="0.25">
      <c r="A123" s="27" t="s">
        <v>137</v>
      </c>
      <c r="B123" s="22" t="s">
        <v>136</v>
      </c>
      <c r="C123" s="22" t="s">
        <v>84</v>
      </c>
      <c r="D123" s="10" t="s">
        <v>36</v>
      </c>
      <c r="E123" s="23">
        <f>SUMIFS('Lista de Cargas'!P$4:P$18,'Lista de Cargas'!$H$4:$H$18,$D123,'Lista de Cargas'!$B$4:$B$18,$B123)</f>
        <v>0</v>
      </c>
      <c r="F123" s="23">
        <f>SUMIFS('Lista de Cargas'!Q$4:Q$18,'Lista de Cargas'!$H$4:$H$18,$D123,'Lista de Cargas'!$B$4:$B$18,$B123)</f>
        <v>0</v>
      </c>
      <c r="G123" s="23">
        <f>SUMIFS('Lista de Cargas'!R$4:R$18,'Lista de Cargas'!$H$4:$H$18,$D123,'Lista de Cargas'!$B$4:$B$18,$B123)</f>
        <v>0</v>
      </c>
      <c r="H123" s="23">
        <f>SUMIFS('Lista de Cargas'!S$4:S$18,'Lista de Cargas'!$H$4:$H$18,$D123,'Lista de Cargas'!$B$4:$B$18,$B123)</f>
        <v>0</v>
      </c>
      <c r="M123" s="23">
        <f t="shared" si="20"/>
        <v>0</v>
      </c>
      <c r="N123" s="23">
        <f t="shared" si="20"/>
        <v>0</v>
      </c>
      <c r="O123" s="23">
        <f t="shared" si="20"/>
        <v>0</v>
      </c>
      <c r="P123" s="23">
        <f t="shared" si="20"/>
        <v>0</v>
      </c>
    </row>
    <row r="124" spans="1:16" hidden="1" x14ac:dyDescent="0.25">
      <c r="A124" s="27" t="s">
        <v>137</v>
      </c>
      <c r="B124" s="22" t="s">
        <v>136</v>
      </c>
      <c r="C124" s="22" t="s">
        <v>84</v>
      </c>
      <c r="D124" s="2" t="s">
        <v>118</v>
      </c>
      <c r="E124" s="23">
        <f>SUMIFS('Lista de Cargas'!P$4:P$18,'Lista de Cargas'!$H$4:$H$18,$D124,'Lista de Cargas'!$B$4:$B$18,$B124)</f>
        <v>0</v>
      </c>
      <c r="F124" s="23">
        <f>SUMIFS('Lista de Cargas'!Q$4:Q$18,'Lista de Cargas'!$H$4:$H$18,$D124,'Lista de Cargas'!$B$4:$B$18,$B124)</f>
        <v>0</v>
      </c>
      <c r="G124" s="23">
        <f>SUMIFS('Lista de Cargas'!R$4:R$18,'Lista de Cargas'!$H$4:$H$18,$D124,'Lista de Cargas'!$B$4:$B$18,$B124)</f>
        <v>0</v>
      </c>
      <c r="H124" s="23">
        <f>SUMIFS('Lista de Cargas'!S$4:S$18,'Lista de Cargas'!$H$4:$H$18,$D124,'Lista de Cargas'!$B$4:$B$18,$B124)</f>
        <v>0</v>
      </c>
      <c r="M124" s="23">
        <f t="shared" si="20"/>
        <v>0</v>
      </c>
      <c r="N124" s="23">
        <f t="shared" si="20"/>
        <v>0</v>
      </c>
      <c r="O124" s="23">
        <f t="shared" si="20"/>
        <v>0</v>
      </c>
      <c r="P124" s="23">
        <f t="shared" si="20"/>
        <v>0</v>
      </c>
    </row>
    <row r="125" spans="1:16" hidden="1" x14ac:dyDescent="0.25">
      <c r="A125" s="27" t="s">
        <v>137</v>
      </c>
      <c r="B125" s="22" t="s">
        <v>136</v>
      </c>
      <c r="C125" s="22" t="s">
        <v>84</v>
      </c>
      <c r="D125" s="10" t="s">
        <v>41</v>
      </c>
      <c r="E125" s="23">
        <f>SUMIFS('Lista de Cargas'!P$4:P$18,'Lista de Cargas'!$H$4:$H$18,$D125,'Lista de Cargas'!$B$4:$B$18,$B125)</f>
        <v>0</v>
      </c>
      <c r="F125" s="23">
        <f>SUMIFS('Lista de Cargas'!Q$4:Q$18,'Lista de Cargas'!$H$4:$H$18,$D125,'Lista de Cargas'!$B$4:$B$18,$B125)</f>
        <v>0</v>
      </c>
      <c r="G125" s="23">
        <f>SUMIFS('Lista de Cargas'!R$4:R$18,'Lista de Cargas'!$H$4:$H$18,$D125,'Lista de Cargas'!$B$4:$B$18,$B125)</f>
        <v>0</v>
      </c>
      <c r="H125" s="23">
        <f>SUMIFS('Lista de Cargas'!S$4:S$18,'Lista de Cargas'!$H$4:$H$18,$D125,'Lista de Cargas'!$B$4:$B$18,$B125)</f>
        <v>0</v>
      </c>
      <c r="M125" s="23">
        <f t="shared" si="20"/>
        <v>0</v>
      </c>
      <c r="N125" s="23">
        <f t="shared" si="20"/>
        <v>0</v>
      </c>
      <c r="O125" s="23">
        <f t="shared" si="20"/>
        <v>0</v>
      </c>
      <c r="P125" s="23">
        <f t="shared" si="20"/>
        <v>0</v>
      </c>
    </row>
    <row r="126" spans="1:16" hidden="1" x14ac:dyDescent="0.25">
      <c r="A126" s="27" t="s">
        <v>137</v>
      </c>
      <c r="B126" s="22" t="s">
        <v>136</v>
      </c>
      <c r="C126" s="22" t="s">
        <v>84</v>
      </c>
      <c r="D126" s="10" t="s">
        <v>42</v>
      </c>
      <c r="E126" s="23">
        <f>SUMIFS('Lista de Cargas'!P$4:P$18,'Lista de Cargas'!$H$4:$H$18,$D126,'Lista de Cargas'!$B$4:$B$18,$B126)</f>
        <v>0</v>
      </c>
      <c r="F126" s="23">
        <f>SUMIFS('Lista de Cargas'!Q$4:Q$18,'Lista de Cargas'!$H$4:$H$18,$D126,'Lista de Cargas'!$B$4:$B$18,$B126)</f>
        <v>0</v>
      </c>
      <c r="G126" s="23">
        <f>SUMIFS('Lista de Cargas'!R$4:R$18,'Lista de Cargas'!$H$4:$H$18,$D126,'Lista de Cargas'!$B$4:$B$18,$B126)</f>
        <v>0</v>
      </c>
      <c r="H126" s="23">
        <f>SUMIFS('Lista de Cargas'!S$4:S$18,'Lista de Cargas'!$H$4:$H$18,$D126,'Lista de Cargas'!$B$4:$B$18,$B126)</f>
        <v>0</v>
      </c>
      <c r="M126" s="23">
        <f t="shared" si="20"/>
        <v>0</v>
      </c>
      <c r="N126" s="23">
        <f t="shared" si="20"/>
        <v>0</v>
      </c>
      <c r="O126" s="23">
        <f t="shared" si="20"/>
        <v>0</v>
      </c>
      <c r="P126" s="23">
        <f t="shared" si="20"/>
        <v>0</v>
      </c>
    </row>
    <row r="127" spans="1:16" s="43" customFormat="1" hidden="1" x14ac:dyDescent="0.25">
      <c r="A127" s="38" t="s">
        <v>137</v>
      </c>
      <c r="B127" s="39" t="s">
        <v>136</v>
      </c>
      <c r="C127" s="45" t="s">
        <v>84</v>
      </c>
      <c r="D127" s="41" t="s">
        <v>47</v>
      </c>
      <c r="E127" s="40">
        <f>SUM(E120:E126)</f>
        <v>0</v>
      </c>
      <c r="F127" s="40">
        <f>SUM(F120:F126)</f>
        <v>0</v>
      </c>
      <c r="G127" s="40">
        <f>SUM(G120:G126)</f>
        <v>0</v>
      </c>
      <c r="H127" s="40">
        <f>SUM(H120:H126)</f>
        <v>0</v>
      </c>
      <c r="I127" s="42"/>
      <c r="J127" s="42"/>
      <c r="M127" s="44"/>
      <c r="N127" s="44"/>
      <c r="O127" s="44"/>
      <c r="P127" s="44"/>
    </row>
    <row r="128" spans="1:16" s="43" customFormat="1" hidden="1" x14ac:dyDescent="0.25">
      <c r="A128" s="45" t="s">
        <v>2</v>
      </c>
      <c r="B128" s="45" t="s">
        <v>2</v>
      </c>
      <c r="C128" s="46"/>
      <c r="D128" s="47" t="s">
        <v>2</v>
      </c>
      <c r="E128" s="48" t="e">
        <f>E127/E$247</f>
        <v>#DIV/0!</v>
      </c>
      <c r="F128" s="48" t="e">
        <f>F127/F$247</f>
        <v>#DIV/0!</v>
      </c>
      <c r="G128" s="48" t="e">
        <f>G127/G$247</f>
        <v>#DIV/0!</v>
      </c>
      <c r="H128" s="48" t="e">
        <f>H127/H$247</f>
        <v>#DIV/0!</v>
      </c>
      <c r="I128" s="42"/>
      <c r="J128" s="42"/>
      <c r="M128" s="44"/>
      <c r="N128" s="44"/>
      <c r="O128" s="44"/>
      <c r="P128" s="44"/>
    </row>
    <row r="129" spans="1:16" hidden="1" x14ac:dyDescent="0.25">
      <c r="A129" s="27" t="s">
        <v>148</v>
      </c>
      <c r="B129" s="22" t="s">
        <v>138</v>
      </c>
      <c r="C129" s="22" t="s">
        <v>84</v>
      </c>
      <c r="D129" s="2" t="s">
        <v>76</v>
      </c>
      <c r="E129" s="23">
        <f>SUMIFS('Lista de Cargas'!P$4:P$18,'Lista de Cargas'!$H$4:$H$18,$D129,'Lista de Cargas'!$B$4:$B$18,$B129)</f>
        <v>0</v>
      </c>
      <c r="F129" s="23">
        <f>SUMIFS('Lista de Cargas'!Q$4:Q$18,'Lista de Cargas'!$H$4:$H$18,$D129,'Lista de Cargas'!$B$4:$B$18,$B129)</f>
        <v>0</v>
      </c>
      <c r="G129" s="23">
        <f>SUMIFS('Lista de Cargas'!R$4:R$18,'Lista de Cargas'!$H$4:$H$18,$D129,'Lista de Cargas'!$B$4:$B$18,$B129)</f>
        <v>0</v>
      </c>
      <c r="H129" s="23">
        <f>SUMIFS('Lista de Cargas'!S$4:S$18,'Lista de Cargas'!$H$4:$H$18,$D129,'Lista de Cargas'!$B$4:$B$18,$B129)</f>
        <v>0</v>
      </c>
      <c r="M129" s="23">
        <f t="shared" ref="M129:M135" si="21">E129</f>
        <v>0</v>
      </c>
      <c r="N129" s="23">
        <f t="shared" ref="N129:N135" si="22">F129</f>
        <v>0</v>
      </c>
      <c r="O129" s="23">
        <f t="shared" ref="O129:O135" si="23">G129</f>
        <v>0</v>
      </c>
      <c r="P129" s="23">
        <f t="shared" ref="P129:P135" si="24">H129</f>
        <v>0</v>
      </c>
    </row>
    <row r="130" spans="1:16" hidden="1" x14ac:dyDescent="0.25">
      <c r="A130" s="27" t="s">
        <v>148</v>
      </c>
      <c r="B130" s="22" t="s">
        <v>138</v>
      </c>
      <c r="C130" s="22" t="s">
        <v>84</v>
      </c>
      <c r="D130" s="10" t="s">
        <v>37</v>
      </c>
      <c r="E130" s="23">
        <f>SUMIFS('Lista de Cargas'!P$4:P$18,'Lista de Cargas'!$H$4:$H$18,$D130,'Lista de Cargas'!$B$4:$B$18,$B130)</f>
        <v>0</v>
      </c>
      <c r="F130" s="23">
        <f>SUMIFS('Lista de Cargas'!Q$4:Q$18,'Lista de Cargas'!$H$4:$H$18,$D130,'Lista de Cargas'!$B$4:$B$18,$B130)</f>
        <v>0</v>
      </c>
      <c r="G130" s="23">
        <f>SUMIFS('Lista de Cargas'!R$4:R$18,'Lista de Cargas'!$H$4:$H$18,$D130,'Lista de Cargas'!$B$4:$B$18,$B130)</f>
        <v>0</v>
      </c>
      <c r="H130" s="23">
        <f>SUMIFS('Lista de Cargas'!S$4:S$18,'Lista de Cargas'!$H$4:$H$18,$D130,'Lista de Cargas'!$B$4:$B$18,$B130)</f>
        <v>0</v>
      </c>
      <c r="M130" s="23">
        <f t="shared" si="21"/>
        <v>0</v>
      </c>
      <c r="N130" s="23">
        <f t="shared" si="22"/>
        <v>0</v>
      </c>
      <c r="O130" s="23">
        <f t="shared" si="23"/>
        <v>0</v>
      </c>
      <c r="P130" s="23">
        <f t="shared" si="24"/>
        <v>0</v>
      </c>
    </row>
    <row r="131" spans="1:16" hidden="1" x14ac:dyDescent="0.25">
      <c r="A131" s="27" t="s">
        <v>148</v>
      </c>
      <c r="B131" s="22" t="s">
        <v>138</v>
      </c>
      <c r="C131" s="22" t="s">
        <v>84</v>
      </c>
      <c r="D131" s="10" t="s">
        <v>38</v>
      </c>
      <c r="E131" s="23">
        <f>SUMIFS('Lista de Cargas'!P$4:P$18,'Lista de Cargas'!$H$4:$H$18,$D131,'Lista de Cargas'!$B$4:$B$18,$B131)</f>
        <v>0</v>
      </c>
      <c r="F131" s="23">
        <f>SUMIFS('Lista de Cargas'!Q$4:Q$18,'Lista de Cargas'!$H$4:$H$18,$D131,'Lista de Cargas'!$B$4:$B$18,$B131)</f>
        <v>0</v>
      </c>
      <c r="G131" s="23">
        <f>SUMIFS('Lista de Cargas'!R$4:R$18,'Lista de Cargas'!$H$4:$H$18,$D131,'Lista de Cargas'!$B$4:$B$18,$B131)</f>
        <v>0</v>
      </c>
      <c r="H131" s="23">
        <f>SUMIFS('Lista de Cargas'!S$4:S$18,'Lista de Cargas'!$H$4:$H$18,$D131,'Lista de Cargas'!$B$4:$B$18,$B131)</f>
        <v>0</v>
      </c>
      <c r="M131" s="23">
        <f t="shared" si="21"/>
        <v>0</v>
      </c>
      <c r="N131" s="23">
        <f t="shared" si="22"/>
        <v>0</v>
      </c>
      <c r="O131" s="23">
        <f t="shared" si="23"/>
        <v>0</v>
      </c>
      <c r="P131" s="23">
        <f t="shared" si="24"/>
        <v>0</v>
      </c>
    </row>
    <row r="132" spans="1:16" hidden="1" x14ac:dyDescent="0.25">
      <c r="A132" s="27" t="s">
        <v>148</v>
      </c>
      <c r="B132" s="22" t="s">
        <v>138</v>
      </c>
      <c r="C132" s="22" t="s">
        <v>84</v>
      </c>
      <c r="D132" s="10" t="s">
        <v>36</v>
      </c>
      <c r="E132" s="23">
        <f>SUMIFS('Lista de Cargas'!P$4:P$18,'Lista de Cargas'!$H$4:$H$18,$D132,'Lista de Cargas'!$B$4:$B$18,$B132)</f>
        <v>0</v>
      </c>
      <c r="F132" s="23">
        <f>SUMIFS('Lista de Cargas'!Q$4:Q$18,'Lista de Cargas'!$H$4:$H$18,$D132,'Lista de Cargas'!$B$4:$B$18,$B132)</f>
        <v>0</v>
      </c>
      <c r="G132" s="23">
        <f>SUMIFS('Lista de Cargas'!R$4:R$18,'Lista de Cargas'!$H$4:$H$18,$D132,'Lista de Cargas'!$B$4:$B$18,$B132)</f>
        <v>0</v>
      </c>
      <c r="H132" s="23">
        <f>SUMIFS('Lista de Cargas'!S$4:S$18,'Lista de Cargas'!$H$4:$H$18,$D132,'Lista de Cargas'!$B$4:$B$18,$B132)</f>
        <v>0</v>
      </c>
      <c r="M132" s="23">
        <f t="shared" si="21"/>
        <v>0</v>
      </c>
      <c r="N132" s="23">
        <f t="shared" si="22"/>
        <v>0</v>
      </c>
      <c r="O132" s="23">
        <f t="shared" si="23"/>
        <v>0</v>
      </c>
      <c r="P132" s="23">
        <f t="shared" si="24"/>
        <v>0</v>
      </c>
    </row>
    <row r="133" spans="1:16" hidden="1" x14ac:dyDescent="0.25">
      <c r="A133" s="27" t="s">
        <v>148</v>
      </c>
      <c r="B133" s="22" t="s">
        <v>138</v>
      </c>
      <c r="C133" s="22" t="s">
        <v>84</v>
      </c>
      <c r="D133" s="2" t="s">
        <v>118</v>
      </c>
      <c r="E133" s="23">
        <f>SUMIFS('Lista de Cargas'!P$4:P$18,'Lista de Cargas'!$H$4:$H$18,$D133,'Lista de Cargas'!$B$4:$B$18,$B133)</f>
        <v>0</v>
      </c>
      <c r="F133" s="23">
        <f>SUMIFS('Lista de Cargas'!Q$4:Q$18,'Lista de Cargas'!$H$4:$H$18,$D133,'Lista de Cargas'!$B$4:$B$18,$B133)</f>
        <v>0</v>
      </c>
      <c r="G133" s="23">
        <f>SUMIFS('Lista de Cargas'!R$4:R$18,'Lista de Cargas'!$H$4:$H$18,$D133,'Lista de Cargas'!$B$4:$B$18,$B133)</f>
        <v>0</v>
      </c>
      <c r="H133" s="23">
        <f>SUMIFS('Lista de Cargas'!S$4:S$18,'Lista de Cargas'!$H$4:$H$18,$D133,'Lista de Cargas'!$B$4:$B$18,$B133)</f>
        <v>0</v>
      </c>
      <c r="M133" s="23">
        <f t="shared" si="21"/>
        <v>0</v>
      </c>
      <c r="N133" s="23">
        <f t="shared" si="22"/>
        <v>0</v>
      </c>
      <c r="O133" s="23">
        <f t="shared" si="23"/>
        <v>0</v>
      </c>
      <c r="P133" s="23">
        <f t="shared" si="24"/>
        <v>0</v>
      </c>
    </row>
    <row r="134" spans="1:16" hidden="1" x14ac:dyDescent="0.25">
      <c r="A134" s="27" t="s">
        <v>148</v>
      </c>
      <c r="B134" s="22" t="s">
        <v>138</v>
      </c>
      <c r="C134" s="22" t="s">
        <v>84</v>
      </c>
      <c r="D134" s="10" t="s">
        <v>41</v>
      </c>
      <c r="E134" s="23">
        <f>SUMIFS('Lista de Cargas'!P$4:P$18,'Lista de Cargas'!$H$4:$H$18,$D134,'Lista de Cargas'!$B$4:$B$18,$B134)</f>
        <v>0</v>
      </c>
      <c r="F134" s="23">
        <f>SUMIFS('Lista de Cargas'!Q$4:Q$18,'Lista de Cargas'!$H$4:$H$18,$D134,'Lista de Cargas'!$B$4:$B$18,$B134)</f>
        <v>0</v>
      </c>
      <c r="G134" s="23">
        <f>SUMIFS('Lista de Cargas'!R$4:R$18,'Lista de Cargas'!$H$4:$H$18,$D134,'Lista de Cargas'!$B$4:$B$18,$B134)</f>
        <v>0</v>
      </c>
      <c r="H134" s="23">
        <f>SUMIFS('Lista de Cargas'!S$4:S$18,'Lista de Cargas'!$H$4:$H$18,$D134,'Lista de Cargas'!$B$4:$B$18,$B134)</f>
        <v>0</v>
      </c>
      <c r="M134" s="23">
        <f t="shared" si="21"/>
        <v>0</v>
      </c>
      <c r="N134" s="23">
        <f t="shared" si="22"/>
        <v>0</v>
      </c>
      <c r="O134" s="23">
        <f t="shared" si="23"/>
        <v>0</v>
      </c>
      <c r="P134" s="23">
        <f t="shared" si="24"/>
        <v>0</v>
      </c>
    </row>
    <row r="135" spans="1:16" hidden="1" x14ac:dyDescent="0.25">
      <c r="A135" s="27" t="s">
        <v>148</v>
      </c>
      <c r="B135" s="22" t="s">
        <v>138</v>
      </c>
      <c r="C135" s="22" t="s">
        <v>84</v>
      </c>
      <c r="D135" s="10" t="s">
        <v>42</v>
      </c>
      <c r="E135" s="23">
        <f>SUMIFS('Lista de Cargas'!P$4:P$18,'Lista de Cargas'!$H$4:$H$18,$D135,'Lista de Cargas'!$B$4:$B$18,$B135)</f>
        <v>0</v>
      </c>
      <c r="F135" s="23">
        <f>SUMIFS('Lista de Cargas'!Q$4:Q$18,'Lista de Cargas'!$H$4:$H$18,$D135,'Lista de Cargas'!$B$4:$B$18,$B135)</f>
        <v>0</v>
      </c>
      <c r="G135" s="23">
        <f>SUMIFS('Lista de Cargas'!R$4:R$18,'Lista de Cargas'!$H$4:$H$18,$D135,'Lista de Cargas'!$B$4:$B$18,$B135)</f>
        <v>0</v>
      </c>
      <c r="H135" s="23">
        <f>SUMIFS('Lista de Cargas'!S$4:S$18,'Lista de Cargas'!$H$4:$H$18,$D135,'Lista de Cargas'!$B$4:$B$18,$B135)</f>
        <v>0</v>
      </c>
      <c r="M135" s="23">
        <f t="shared" si="21"/>
        <v>0</v>
      </c>
      <c r="N135" s="23">
        <f t="shared" si="22"/>
        <v>0</v>
      </c>
      <c r="O135" s="23">
        <f t="shared" si="23"/>
        <v>0</v>
      </c>
      <c r="P135" s="23">
        <f t="shared" si="24"/>
        <v>0</v>
      </c>
    </row>
    <row r="136" spans="1:16" s="43" customFormat="1" hidden="1" x14ac:dyDescent="0.25">
      <c r="A136" s="38" t="s">
        <v>148</v>
      </c>
      <c r="B136" s="39" t="s">
        <v>138</v>
      </c>
      <c r="C136" s="45" t="s">
        <v>84</v>
      </c>
      <c r="D136" s="41" t="s">
        <v>47</v>
      </c>
      <c r="E136" s="40">
        <f>SUM(E129:E135)</f>
        <v>0</v>
      </c>
      <c r="F136" s="40">
        <f>SUM(F129:F135)</f>
        <v>0</v>
      </c>
      <c r="G136" s="40">
        <f>SUM(G129:G135)</f>
        <v>0</v>
      </c>
      <c r="H136" s="40">
        <f>SUM(H129:H135)</f>
        <v>0</v>
      </c>
      <c r="I136" s="42"/>
      <c r="J136" s="42"/>
      <c r="M136" s="44"/>
      <c r="N136" s="44"/>
      <c r="O136" s="44"/>
      <c r="P136" s="44"/>
    </row>
    <row r="137" spans="1:16" s="43" customFormat="1" hidden="1" x14ac:dyDescent="0.25">
      <c r="A137" s="45" t="s">
        <v>2</v>
      </c>
      <c r="B137" s="45" t="s">
        <v>2</v>
      </c>
      <c r="C137" s="46"/>
      <c r="D137" s="47" t="s">
        <v>2</v>
      </c>
      <c r="E137" s="48" t="e">
        <f>E136/E$247</f>
        <v>#DIV/0!</v>
      </c>
      <c r="F137" s="48" t="e">
        <f>F136/F$247</f>
        <v>#DIV/0!</v>
      </c>
      <c r="G137" s="48" t="e">
        <f>G136/G$247</f>
        <v>#DIV/0!</v>
      </c>
      <c r="H137" s="48" t="e">
        <f>H136/H$247</f>
        <v>#DIV/0!</v>
      </c>
      <c r="I137" s="42"/>
      <c r="J137" s="42"/>
      <c r="M137" s="44"/>
      <c r="N137" s="44"/>
      <c r="O137" s="44"/>
      <c r="P137" s="44"/>
    </row>
    <row r="138" spans="1:16" hidden="1" x14ac:dyDescent="0.25">
      <c r="A138" s="27" t="s">
        <v>149</v>
      </c>
      <c r="B138" s="22" t="s">
        <v>139</v>
      </c>
      <c r="C138" s="22" t="s">
        <v>125</v>
      </c>
      <c r="D138" s="2" t="s">
        <v>76</v>
      </c>
      <c r="E138" s="23">
        <f>SUMIFS('Lista de Cargas'!P$4:P$18,'Lista de Cargas'!$H$4:$H$18,$D138,'Lista de Cargas'!$B$4:$B$18,$B138)</f>
        <v>0</v>
      </c>
      <c r="F138" s="23">
        <f>SUMIFS('Lista de Cargas'!Q$4:Q$18,'Lista de Cargas'!$H$4:$H$18,$D138,'Lista de Cargas'!$B$4:$B$18,$B138)</f>
        <v>0</v>
      </c>
      <c r="G138" s="23">
        <f>SUMIFS('Lista de Cargas'!R$4:R$18,'Lista de Cargas'!$H$4:$H$18,$D138,'Lista de Cargas'!$B$4:$B$18,$B138)</f>
        <v>0</v>
      </c>
      <c r="H138" s="23">
        <f>SUMIFS('Lista de Cargas'!S$4:S$18,'Lista de Cargas'!$H$4:$H$18,$D138,'Lista de Cargas'!$B$4:$B$18,$B138)</f>
        <v>0</v>
      </c>
      <c r="K138" s="30"/>
      <c r="L138" s="30"/>
      <c r="M138" s="23">
        <f t="shared" ref="M138:M144" si="25">E138</f>
        <v>0</v>
      </c>
      <c r="N138" s="23">
        <f t="shared" ref="N138:N144" si="26">F138</f>
        <v>0</v>
      </c>
      <c r="O138" s="23">
        <f t="shared" ref="O138:O144" si="27">G138</f>
        <v>0</v>
      </c>
      <c r="P138" s="23">
        <f t="shared" ref="P138:P144" si="28">H138</f>
        <v>0</v>
      </c>
    </row>
    <row r="139" spans="1:16" hidden="1" x14ac:dyDescent="0.25">
      <c r="A139" s="27" t="s">
        <v>149</v>
      </c>
      <c r="B139" s="22" t="s">
        <v>139</v>
      </c>
      <c r="C139" s="22" t="s">
        <v>125</v>
      </c>
      <c r="D139" s="10" t="s">
        <v>37</v>
      </c>
      <c r="E139" s="23">
        <f>SUMIFS('Lista de Cargas'!P$4:P$18,'Lista de Cargas'!$H$4:$H$18,$D139,'Lista de Cargas'!$B$4:$B$18,$B139)</f>
        <v>0</v>
      </c>
      <c r="F139" s="23">
        <f>SUMIFS('Lista de Cargas'!Q$4:Q$18,'Lista de Cargas'!$H$4:$H$18,$D139,'Lista de Cargas'!$B$4:$B$18,$B139)</f>
        <v>0</v>
      </c>
      <c r="G139" s="23">
        <f>SUMIFS('Lista de Cargas'!R$4:R$18,'Lista de Cargas'!$H$4:$H$18,$D139,'Lista de Cargas'!$B$4:$B$18,$B139)</f>
        <v>0</v>
      </c>
      <c r="H139" s="23">
        <f>SUMIFS('Lista de Cargas'!S$4:S$18,'Lista de Cargas'!$H$4:$H$18,$D139,'Lista de Cargas'!$B$4:$B$18,$B139)</f>
        <v>0</v>
      </c>
      <c r="M139" s="23">
        <f t="shared" si="25"/>
        <v>0</v>
      </c>
      <c r="N139" s="23">
        <f t="shared" si="26"/>
        <v>0</v>
      </c>
      <c r="O139" s="23">
        <f t="shared" si="27"/>
        <v>0</v>
      </c>
      <c r="P139" s="23">
        <f t="shared" si="28"/>
        <v>0</v>
      </c>
    </row>
    <row r="140" spans="1:16" hidden="1" x14ac:dyDescent="0.25">
      <c r="A140" s="27" t="s">
        <v>149</v>
      </c>
      <c r="B140" s="22" t="s">
        <v>139</v>
      </c>
      <c r="C140" s="22" t="s">
        <v>125</v>
      </c>
      <c r="D140" s="10" t="s">
        <v>38</v>
      </c>
      <c r="E140" s="23">
        <f>SUMIFS('Lista de Cargas'!P$4:P$18,'Lista de Cargas'!$H$4:$H$18,$D140,'Lista de Cargas'!$B$4:$B$18,$B140)</f>
        <v>0</v>
      </c>
      <c r="F140" s="23">
        <f>SUMIFS('Lista de Cargas'!Q$4:Q$18,'Lista de Cargas'!$H$4:$H$18,$D140,'Lista de Cargas'!$B$4:$B$18,$B140)</f>
        <v>0</v>
      </c>
      <c r="G140" s="23">
        <f>SUMIFS('Lista de Cargas'!R$4:R$18,'Lista de Cargas'!$H$4:$H$18,$D140,'Lista de Cargas'!$B$4:$B$18,$B140)</f>
        <v>0</v>
      </c>
      <c r="H140" s="23">
        <f>SUMIFS('Lista de Cargas'!S$4:S$18,'Lista de Cargas'!$H$4:$H$18,$D140,'Lista de Cargas'!$B$4:$B$18,$B140)</f>
        <v>0</v>
      </c>
      <c r="M140" s="23">
        <f t="shared" si="25"/>
        <v>0</v>
      </c>
      <c r="N140" s="23">
        <f t="shared" si="26"/>
        <v>0</v>
      </c>
      <c r="O140" s="23">
        <f t="shared" si="27"/>
        <v>0</v>
      </c>
      <c r="P140" s="23">
        <f t="shared" si="28"/>
        <v>0</v>
      </c>
    </row>
    <row r="141" spans="1:16" hidden="1" x14ac:dyDescent="0.25">
      <c r="A141" s="27" t="s">
        <v>149</v>
      </c>
      <c r="B141" s="22" t="s">
        <v>139</v>
      </c>
      <c r="C141" s="22" t="s">
        <v>125</v>
      </c>
      <c r="D141" s="10" t="s">
        <v>36</v>
      </c>
      <c r="E141" s="23">
        <f>SUMIFS('Lista de Cargas'!P$4:P$18,'Lista de Cargas'!$H$4:$H$18,$D141,'Lista de Cargas'!$B$4:$B$18,$B141)</f>
        <v>0</v>
      </c>
      <c r="F141" s="23">
        <f>SUMIFS('Lista de Cargas'!Q$4:Q$18,'Lista de Cargas'!$H$4:$H$18,$D141,'Lista de Cargas'!$B$4:$B$18,$B141)</f>
        <v>0</v>
      </c>
      <c r="G141" s="23">
        <f>SUMIFS('Lista de Cargas'!R$4:R$18,'Lista de Cargas'!$H$4:$H$18,$D141,'Lista de Cargas'!$B$4:$B$18,$B141)</f>
        <v>0</v>
      </c>
      <c r="H141" s="23">
        <f>SUMIFS('Lista de Cargas'!S$4:S$18,'Lista de Cargas'!$H$4:$H$18,$D141,'Lista de Cargas'!$B$4:$B$18,$B141)</f>
        <v>0</v>
      </c>
      <c r="M141" s="23">
        <f t="shared" si="25"/>
        <v>0</v>
      </c>
      <c r="N141" s="23">
        <f t="shared" si="26"/>
        <v>0</v>
      </c>
      <c r="O141" s="23">
        <f t="shared" si="27"/>
        <v>0</v>
      </c>
      <c r="P141" s="23">
        <f t="shared" si="28"/>
        <v>0</v>
      </c>
    </row>
    <row r="142" spans="1:16" hidden="1" x14ac:dyDescent="0.25">
      <c r="A142" s="27" t="s">
        <v>149</v>
      </c>
      <c r="B142" s="22" t="s">
        <v>139</v>
      </c>
      <c r="C142" s="22" t="s">
        <v>125</v>
      </c>
      <c r="D142" s="2" t="s">
        <v>118</v>
      </c>
      <c r="E142" s="23">
        <f>SUMIFS('Lista de Cargas'!P$4:P$18,'Lista de Cargas'!$H$4:$H$18,$D142,'Lista de Cargas'!$B$4:$B$18,$B142)</f>
        <v>0</v>
      </c>
      <c r="F142" s="23">
        <f>SUMIFS('Lista de Cargas'!Q$4:Q$18,'Lista de Cargas'!$H$4:$H$18,$D142,'Lista de Cargas'!$B$4:$B$18,$B142)</f>
        <v>0</v>
      </c>
      <c r="G142" s="23">
        <f>SUMIFS('Lista de Cargas'!R$4:R$18,'Lista de Cargas'!$H$4:$H$18,$D142,'Lista de Cargas'!$B$4:$B$18,$B142)</f>
        <v>0</v>
      </c>
      <c r="H142" s="23">
        <f>SUMIFS('Lista de Cargas'!S$4:S$18,'Lista de Cargas'!$H$4:$H$18,$D142,'Lista de Cargas'!$B$4:$B$18,$B142)</f>
        <v>0</v>
      </c>
      <c r="M142" s="23">
        <f t="shared" si="25"/>
        <v>0</v>
      </c>
      <c r="N142" s="23">
        <f t="shared" si="26"/>
        <v>0</v>
      </c>
      <c r="O142" s="23">
        <f t="shared" si="27"/>
        <v>0</v>
      </c>
      <c r="P142" s="23">
        <f t="shared" si="28"/>
        <v>0</v>
      </c>
    </row>
    <row r="143" spans="1:16" hidden="1" x14ac:dyDescent="0.25">
      <c r="A143" s="27" t="s">
        <v>149</v>
      </c>
      <c r="B143" s="22" t="s">
        <v>139</v>
      </c>
      <c r="C143" s="22" t="s">
        <v>125</v>
      </c>
      <c r="D143" s="10" t="s">
        <v>41</v>
      </c>
      <c r="E143" s="23">
        <f>SUMIFS('Lista de Cargas'!P$4:P$18,'Lista de Cargas'!$H$4:$H$18,$D143,'Lista de Cargas'!$B$4:$B$18,$B143)</f>
        <v>0</v>
      </c>
      <c r="F143" s="23">
        <f>SUMIFS('Lista de Cargas'!Q$4:Q$18,'Lista de Cargas'!$H$4:$H$18,$D143,'Lista de Cargas'!$B$4:$B$18,$B143)</f>
        <v>0</v>
      </c>
      <c r="G143" s="23">
        <f>SUMIFS('Lista de Cargas'!R$4:R$18,'Lista de Cargas'!$H$4:$H$18,$D143,'Lista de Cargas'!$B$4:$B$18,$B143)</f>
        <v>0</v>
      </c>
      <c r="H143" s="23">
        <f>SUMIFS('Lista de Cargas'!S$4:S$18,'Lista de Cargas'!$H$4:$H$18,$D143,'Lista de Cargas'!$B$4:$B$18,$B143)</f>
        <v>0</v>
      </c>
      <c r="M143" s="23">
        <f t="shared" si="25"/>
        <v>0</v>
      </c>
      <c r="N143" s="23">
        <f t="shared" si="26"/>
        <v>0</v>
      </c>
      <c r="O143" s="23">
        <f t="shared" si="27"/>
        <v>0</v>
      </c>
      <c r="P143" s="23">
        <f t="shared" si="28"/>
        <v>0</v>
      </c>
    </row>
    <row r="144" spans="1:16" hidden="1" x14ac:dyDescent="0.25">
      <c r="A144" s="27" t="s">
        <v>149</v>
      </c>
      <c r="B144" s="22" t="s">
        <v>139</v>
      </c>
      <c r="C144" s="22" t="s">
        <v>125</v>
      </c>
      <c r="D144" s="10" t="s">
        <v>42</v>
      </c>
      <c r="E144" s="23">
        <f>SUMIFS('Lista de Cargas'!P$4:P$18,'Lista de Cargas'!$H$4:$H$18,$D144,'Lista de Cargas'!$B$4:$B$18,$B144)</f>
        <v>0</v>
      </c>
      <c r="F144" s="23">
        <f>SUMIFS('Lista de Cargas'!Q$4:Q$18,'Lista de Cargas'!$H$4:$H$18,$D144,'Lista de Cargas'!$B$4:$B$18,$B144)</f>
        <v>0</v>
      </c>
      <c r="G144" s="23">
        <f>SUMIFS('Lista de Cargas'!R$4:R$18,'Lista de Cargas'!$H$4:$H$18,$D144,'Lista de Cargas'!$B$4:$B$18,$B144)</f>
        <v>0</v>
      </c>
      <c r="H144" s="23">
        <f>SUMIFS('Lista de Cargas'!S$4:S$18,'Lista de Cargas'!$H$4:$H$18,$D144,'Lista de Cargas'!$B$4:$B$18,$B144)</f>
        <v>0</v>
      </c>
      <c r="M144" s="23">
        <f t="shared" si="25"/>
        <v>0</v>
      </c>
      <c r="N144" s="23">
        <f t="shared" si="26"/>
        <v>0</v>
      </c>
      <c r="O144" s="23">
        <f t="shared" si="27"/>
        <v>0</v>
      </c>
      <c r="P144" s="23">
        <f t="shared" si="28"/>
        <v>0</v>
      </c>
    </row>
    <row r="145" spans="1:16" s="43" customFormat="1" hidden="1" x14ac:dyDescent="0.25">
      <c r="A145" s="38" t="s">
        <v>149</v>
      </c>
      <c r="B145" s="39" t="s">
        <v>139</v>
      </c>
      <c r="C145" s="45" t="s">
        <v>125</v>
      </c>
      <c r="D145" s="41" t="s">
        <v>47</v>
      </c>
      <c r="E145" s="40">
        <f>SUM(E138:E144)</f>
        <v>0</v>
      </c>
      <c r="F145" s="40">
        <f>SUM(F138:F144)</f>
        <v>0</v>
      </c>
      <c r="G145" s="40">
        <f>SUM(G138:G144)</f>
        <v>0</v>
      </c>
      <c r="H145" s="40">
        <f>SUM(H138:H144)</f>
        <v>0</v>
      </c>
      <c r="I145" s="42"/>
      <c r="J145" s="42"/>
      <c r="M145" s="44"/>
      <c r="N145" s="44"/>
      <c r="O145" s="44"/>
      <c r="P145" s="44"/>
    </row>
    <row r="146" spans="1:16" s="43" customFormat="1" hidden="1" x14ac:dyDescent="0.25">
      <c r="A146" s="45" t="s">
        <v>2</v>
      </c>
      <c r="B146" s="45" t="s">
        <v>2</v>
      </c>
      <c r="C146" s="46"/>
      <c r="D146" s="47" t="s">
        <v>2</v>
      </c>
      <c r="E146" s="48" t="e">
        <f>E145/E$247</f>
        <v>#DIV/0!</v>
      </c>
      <c r="F146" s="48" t="e">
        <f>F145/F$247</f>
        <v>#DIV/0!</v>
      </c>
      <c r="G146" s="48" t="e">
        <f>G145/G$247</f>
        <v>#DIV/0!</v>
      </c>
      <c r="H146" s="48" t="e">
        <f>H145/H$247</f>
        <v>#DIV/0!</v>
      </c>
      <c r="I146" s="42"/>
      <c r="J146" s="42"/>
      <c r="M146" s="44"/>
      <c r="N146" s="44"/>
      <c r="O146" s="44"/>
      <c r="P146" s="44"/>
    </row>
    <row r="147" spans="1:16" hidden="1" x14ac:dyDescent="0.25">
      <c r="A147" s="27" t="s">
        <v>80</v>
      </c>
      <c r="B147" s="22" t="s">
        <v>140</v>
      </c>
      <c r="C147" s="22" t="s">
        <v>125</v>
      </c>
      <c r="D147" s="2" t="s">
        <v>76</v>
      </c>
      <c r="E147" s="23">
        <f>SUMIFS('Lista de Cargas'!P$4:P$18,'Lista de Cargas'!$H$4:$H$18,$D147,'Lista de Cargas'!$B$4:$B$18,$B147)</f>
        <v>0</v>
      </c>
      <c r="F147" s="23">
        <f>SUMIFS('Lista de Cargas'!Q$4:Q$18,'Lista de Cargas'!$H$4:$H$18,$D147,'Lista de Cargas'!$B$4:$B$18,$B147)</f>
        <v>0</v>
      </c>
      <c r="G147" s="23">
        <f>SUMIFS('Lista de Cargas'!R$4:R$18,'Lista de Cargas'!$H$4:$H$18,$D147,'Lista de Cargas'!$B$4:$B$18,$B147)</f>
        <v>0</v>
      </c>
      <c r="H147" s="23">
        <f>SUMIFS('Lista de Cargas'!S$4:S$18,'Lista de Cargas'!$H$4:$H$18,$D147,'Lista de Cargas'!$B$4:$B$18,$B147)</f>
        <v>0</v>
      </c>
      <c r="K147" s="30"/>
      <c r="L147" s="30"/>
      <c r="M147" s="23">
        <f t="shared" ref="M147:M153" si="29">E147</f>
        <v>0</v>
      </c>
      <c r="N147" s="23">
        <f t="shared" ref="N147:N153" si="30">F147</f>
        <v>0</v>
      </c>
      <c r="O147" s="23">
        <f t="shared" ref="O147:O153" si="31">G147</f>
        <v>0</v>
      </c>
      <c r="P147" s="23">
        <f t="shared" ref="P147:P153" si="32">H147</f>
        <v>0</v>
      </c>
    </row>
    <row r="148" spans="1:16" hidden="1" x14ac:dyDescent="0.25">
      <c r="A148" s="27" t="s">
        <v>80</v>
      </c>
      <c r="B148" s="22" t="s">
        <v>140</v>
      </c>
      <c r="C148" s="22" t="s">
        <v>125</v>
      </c>
      <c r="D148" s="10" t="s">
        <v>37</v>
      </c>
      <c r="E148" s="23">
        <f>SUMIFS('Lista de Cargas'!P$4:P$18,'Lista de Cargas'!$H$4:$H$18,$D148,'Lista de Cargas'!$B$4:$B$18,$B148)</f>
        <v>0</v>
      </c>
      <c r="F148" s="23">
        <f>SUMIFS('Lista de Cargas'!Q$4:Q$18,'Lista de Cargas'!$H$4:$H$18,$D148,'Lista de Cargas'!$B$4:$B$18,$B148)</f>
        <v>0</v>
      </c>
      <c r="G148" s="23">
        <f>SUMIFS('Lista de Cargas'!R$4:R$18,'Lista de Cargas'!$H$4:$H$18,$D148,'Lista de Cargas'!$B$4:$B$18,$B148)</f>
        <v>0</v>
      </c>
      <c r="H148" s="23">
        <f>SUMIFS('Lista de Cargas'!S$4:S$18,'Lista de Cargas'!$H$4:$H$18,$D148,'Lista de Cargas'!$B$4:$B$18,$B148)</f>
        <v>0</v>
      </c>
      <c r="M148" s="23">
        <f t="shared" si="29"/>
        <v>0</v>
      </c>
      <c r="N148" s="23">
        <f t="shared" si="30"/>
        <v>0</v>
      </c>
      <c r="O148" s="23">
        <f t="shared" si="31"/>
        <v>0</v>
      </c>
      <c r="P148" s="23">
        <f t="shared" si="32"/>
        <v>0</v>
      </c>
    </row>
    <row r="149" spans="1:16" hidden="1" x14ac:dyDescent="0.25">
      <c r="A149" s="27" t="s">
        <v>80</v>
      </c>
      <c r="B149" s="22" t="s">
        <v>140</v>
      </c>
      <c r="C149" s="22" t="s">
        <v>125</v>
      </c>
      <c r="D149" s="10" t="s">
        <v>38</v>
      </c>
      <c r="E149" s="23">
        <f>SUMIFS('Lista de Cargas'!P$4:P$18,'Lista de Cargas'!$H$4:$H$18,$D149,'Lista de Cargas'!$B$4:$B$18,$B149)</f>
        <v>0</v>
      </c>
      <c r="F149" s="23">
        <f>SUMIFS('Lista de Cargas'!Q$4:Q$18,'Lista de Cargas'!$H$4:$H$18,$D149,'Lista de Cargas'!$B$4:$B$18,$B149)</f>
        <v>0</v>
      </c>
      <c r="G149" s="23">
        <f>SUMIFS('Lista de Cargas'!R$4:R$18,'Lista de Cargas'!$H$4:$H$18,$D149,'Lista de Cargas'!$B$4:$B$18,$B149)</f>
        <v>0</v>
      </c>
      <c r="H149" s="23">
        <f>SUMIFS('Lista de Cargas'!S$4:S$18,'Lista de Cargas'!$H$4:$H$18,$D149,'Lista de Cargas'!$B$4:$B$18,$B149)</f>
        <v>0</v>
      </c>
      <c r="M149" s="23">
        <f t="shared" si="29"/>
        <v>0</v>
      </c>
      <c r="N149" s="23">
        <f t="shared" si="30"/>
        <v>0</v>
      </c>
      <c r="O149" s="23">
        <f t="shared" si="31"/>
        <v>0</v>
      </c>
      <c r="P149" s="23">
        <f t="shared" si="32"/>
        <v>0</v>
      </c>
    </row>
    <row r="150" spans="1:16" hidden="1" x14ac:dyDescent="0.25">
      <c r="A150" s="27" t="s">
        <v>80</v>
      </c>
      <c r="B150" s="22" t="s">
        <v>140</v>
      </c>
      <c r="C150" s="22" t="s">
        <v>125</v>
      </c>
      <c r="D150" s="10" t="s">
        <v>36</v>
      </c>
      <c r="E150" s="23">
        <f>SUMIFS('Lista de Cargas'!P$4:P$18,'Lista de Cargas'!$H$4:$H$18,$D150,'Lista de Cargas'!$B$4:$B$18,$B150)</f>
        <v>0</v>
      </c>
      <c r="F150" s="23">
        <f>SUMIFS('Lista de Cargas'!Q$4:Q$18,'Lista de Cargas'!$H$4:$H$18,$D150,'Lista de Cargas'!$B$4:$B$18,$B150)</f>
        <v>0</v>
      </c>
      <c r="G150" s="23">
        <f>SUMIFS('Lista de Cargas'!R$4:R$18,'Lista de Cargas'!$H$4:$H$18,$D150,'Lista de Cargas'!$B$4:$B$18,$B150)</f>
        <v>0</v>
      </c>
      <c r="H150" s="23">
        <f>SUMIFS('Lista de Cargas'!S$4:S$18,'Lista de Cargas'!$H$4:$H$18,$D150,'Lista de Cargas'!$B$4:$B$18,$B150)</f>
        <v>0</v>
      </c>
      <c r="M150" s="23">
        <f t="shared" si="29"/>
        <v>0</v>
      </c>
      <c r="N150" s="23">
        <f t="shared" si="30"/>
        <v>0</v>
      </c>
      <c r="O150" s="23">
        <f t="shared" si="31"/>
        <v>0</v>
      </c>
      <c r="P150" s="23">
        <f t="shared" si="32"/>
        <v>0</v>
      </c>
    </row>
    <row r="151" spans="1:16" hidden="1" x14ac:dyDescent="0.25">
      <c r="A151" s="27" t="s">
        <v>80</v>
      </c>
      <c r="B151" s="22" t="s">
        <v>140</v>
      </c>
      <c r="C151" s="22" t="s">
        <v>125</v>
      </c>
      <c r="D151" s="2" t="s">
        <v>118</v>
      </c>
      <c r="E151" s="23">
        <f>SUMIFS('Lista de Cargas'!P$4:P$18,'Lista de Cargas'!$H$4:$H$18,$D151,'Lista de Cargas'!$B$4:$B$18,$B151)</f>
        <v>0</v>
      </c>
      <c r="F151" s="23">
        <f>SUMIFS('Lista de Cargas'!Q$4:Q$18,'Lista de Cargas'!$H$4:$H$18,$D151,'Lista de Cargas'!$B$4:$B$18,$B151)</f>
        <v>0</v>
      </c>
      <c r="G151" s="23">
        <f>SUMIFS('Lista de Cargas'!R$4:R$18,'Lista de Cargas'!$H$4:$H$18,$D151,'Lista de Cargas'!$B$4:$B$18,$B151)</f>
        <v>0</v>
      </c>
      <c r="H151" s="23">
        <f>SUMIFS('Lista de Cargas'!S$4:S$18,'Lista de Cargas'!$H$4:$H$18,$D151,'Lista de Cargas'!$B$4:$B$18,$B151)</f>
        <v>0</v>
      </c>
      <c r="M151" s="23">
        <f t="shared" si="29"/>
        <v>0</v>
      </c>
      <c r="N151" s="23">
        <f t="shared" si="30"/>
        <v>0</v>
      </c>
      <c r="O151" s="23">
        <f t="shared" si="31"/>
        <v>0</v>
      </c>
      <c r="P151" s="23">
        <f t="shared" si="32"/>
        <v>0</v>
      </c>
    </row>
    <row r="152" spans="1:16" hidden="1" x14ac:dyDescent="0.25">
      <c r="A152" s="27" t="s">
        <v>80</v>
      </c>
      <c r="B152" s="22" t="s">
        <v>140</v>
      </c>
      <c r="C152" s="22" t="s">
        <v>125</v>
      </c>
      <c r="D152" s="10" t="s">
        <v>41</v>
      </c>
      <c r="E152" s="23">
        <f>SUMIFS('Lista de Cargas'!P$4:P$18,'Lista de Cargas'!$H$4:$H$18,$D152,'Lista de Cargas'!$B$4:$B$18,$B152)</f>
        <v>0</v>
      </c>
      <c r="F152" s="23">
        <f>SUMIFS('Lista de Cargas'!Q$4:Q$18,'Lista de Cargas'!$H$4:$H$18,$D152,'Lista de Cargas'!$B$4:$B$18,$B152)</f>
        <v>0</v>
      </c>
      <c r="G152" s="23">
        <f>SUMIFS('Lista de Cargas'!R$4:R$18,'Lista de Cargas'!$H$4:$H$18,$D152,'Lista de Cargas'!$B$4:$B$18,$B152)</f>
        <v>0</v>
      </c>
      <c r="H152" s="23">
        <f>SUMIFS('Lista de Cargas'!S$4:S$18,'Lista de Cargas'!$H$4:$H$18,$D152,'Lista de Cargas'!$B$4:$B$18,$B152)</f>
        <v>0</v>
      </c>
      <c r="M152" s="23">
        <f t="shared" si="29"/>
        <v>0</v>
      </c>
      <c r="N152" s="23">
        <f t="shared" si="30"/>
        <v>0</v>
      </c>
      <c r="O152" s="23">
        <f t="shared" si="31"/>
        <v>0</v>
      </c>
      <c r="P152" s="23">
        <f t="shared" si="32"/>
        <v>0</v>
      </c>
    </row>
    <row r="153" spans="1:16" hidden="1" x14ac:dyDescent="0.25">
      <c r="A153" s="27" t="s">
        <v>80</v>
      </c>
      <c r="B153" s="22" t="s">
        <v>140</v>
      </c>
      <c r="C153" s="22" t="s">
        <v>125</v>
      </c>
      <c r="D153" s="10" t="s">
        <v>42</v>
      </c>
      <c r="E153" s="23">
        <f>SUMIFS('Lista de Cargas'!P$4:P$18,'Lista de Cargas'!$H$4:$H$18,$D153,'Lista de Cargas'!$B$4:$B$18,$B153)</f>
        <v>0</v>
      </c>
      <c r="F153" s="23">
        <f>SUMIFS('Lista de Cargas'!Q$4:Q$18,'Lista de Cargas'!$H$4:$H$18,$D153,'Lista de Cargas'!$B$4:$B$18,$B153)</f>
        <v>0</v>
      </c>
      <c r="G153" s="23">
        <f>SUMIFS('Lista de Cargas'!R$4:R$18,'Lista de Cargas'!$H$4:$H$18,$D153,'Lista de Cargas'!$B$4:$B$18,$B153)</f>
        <v>0</v>
      </c>
      <c r="H153" s="23">
        <f>SUMIFS('Lista de Cargas'!S$4:S$18,'Lista de Cargas'!$H$4:$H$18,$D153,'Lista de Cargas'!$B$4:$B$18,$B153)</f>
        <v>0</v>
      </c>
      <c r="M153" s="23">
        <f t="shared" si="29"/>
        <v>0</v>
      </c>
      <c r="N153" s="23">
        <f t="shared" si="30"/>
        <v>0</v>
      </c>
      <c r="O153" s="23">
        <f t="shared" si="31"/>
        <v>0</v>
      </c>
      <c r="P153" s="23">
        <f t="shared" si="32"/>
        <v>0</v>
      </c>
    </row>
    <row r="154" spans="1:16" s="43" customFormat="1" hidden="1" x14ac:dyDescent="0.25">
      <c r="A154" s="38" t="s">
        <v>80</v>
      </c>
      <c r="B154" s="39" t="s">
        <v>140</v>
      </c>
      <c r="C154" s="45" t="s">
        <v>125</v>
      </c>
      <c r="D154" s="41" t="s">
        <v>47</v>
      </c>
      <c r="E154" s="40">
        <f>SUM(E147:E153)</f>
        <v>0</v>
      </c>
      <c r="F154" s="40">
        <f>SUM(F147:F153)</f>
        <v>0</v>
      </c>
      <c r="G154" s="40">
        <f>SUM(G147:G153)</f>
        <v>0</v>
      </c>
      <c r="H154" s="40">
        <f>SUM(H147:H153)</f>
        <v>0</v>
      </c>
      <c r="I154" s="42"/>
      <c r="J154" s="42"/>
      <c r="M154" s="44"/>
      <c r="N154" s="44"/>
      <c r="O154" s="44"/>
      <c r="P154" s="44"/>
    </row>
    <row r="155" spans="1:16" s="43" customFormat="1" hidden="1" x14ac:dyDescent="0.25">
      <c r="A155" s="45" t="s">
        <v>2</v>
      </c>
      <c r="B155" s="45" t="s">
        <v>2</v>
      </c>
      <c r="C155" s="46"/>
      <c r="D155" s="47" t="s">
        <v>2</v>
      </c>
      <c r="E155" s="48" t="e">
        <f>E154/E$247</f>
        <v>#DIV/0!</v>
      </c>
      <c r="F155" s="48" t="e">
        <f>F154/F$247</f>
        <v>#DIV/0!</v>
      </c>
      <c r="G155" s="48" t="e">
        <f>G154/G$247</f>
        <v>#DIV/0!</v>
      </c>
      <c r="H155" s="48" t="e">
        <f>H154/H$247</f>
        <v>#DIV/0!</v>
      </c>
      <c r="I155" s="42"/>
      <c r="J155" s="42"/>
      <c r="M155" s="44"/>
      <c r="N155" s="44"/>
      <c r="O155" s="44"/>
      <c r="P155" s="44"/>
    </row>
    <row r="156" spans="1:16" hidden="1" x14ac:dyDescent="0.25">
      <c r="A156" s="27" t="s">
        <v>81</v>
      </c>
      <c r="B156" s="22" t="s">
        <v>141</v>
      </c>
      <c r="C156" s="22" t="s">
        <v>125</v>
      </c>
      <c r="D156" s="2" t="s">
        <v>76</v>
      </c>
      <c r="E156" s="23">
        <f>SUMIFS('Lista de Cargas'!P$4:P$18,'Lista de Cargas'!$H$4:$H$18,$D156,'Lista de Cargas'!$B$4:$B$18,$B156)</f>
        <v>0</v>
      </c>
      <c r="F156" s="23">
        <f>SUMIFS('Lista de Cargas'!Q$4:Q$18,'Lista de Cargas'!$H$4:$H$18,$D156,'Lista de Cargas'!$B$4:$B$18,$B156)</f>
        <v>0</v>
      </c>
      <c r="G156" s="23">
        <f>SUMIFS('Lista de Cargas'!R$4:R$18,'Lista de Cargas'!$H$4:$H$18,$D156,'Lista de Cargas'!$B$4:$B$18,$B156)</f>
        <v>0</v>
      </c>
      <c r="H156" s="23">
        <f>SUMIFS('Lista de Cargas'!S$4:S$18,'Lista de Cargas'!$H$4:$H$18,$D156,'Lista de Cargas'!$B$4:$B$18,$B156)</f>
        <v>0</v>
      </c>
      <c r="K156" s="30"/>
      <c r="L156" s="30"/>
      <c r="M156" s="23">
        <f t="shared" ref="M156:M162" si="33">E156</f>
        <v>0</v>
      </c>
      <c r="N156" s="23">
        <f t="shared" ref="N156:N162" si="34">F156</f>
        <v>0</v>
      </c>
      <c r="O156" s="23">
        <f t="shared" ref="O156:O162" si="35">G156</f>
        <v>0</v>
      </c>
      <c r="P156" s="23">
        <f t="shared" ref="P156:P162" si="36">H156</f>
        <v>0</v>
      </c>
    </row>
    <row r="157" spans="1:16" hidden="1" x14ac:dyDescent="0.25">
      <c r="A157" s="27" t="s">
        <v>81</v>
      </c>
      <c r="B157" s="22" t="s">
        <v>141</v>
      </c>
      <c r="C157" s="22" t="s">
        <v>125</v>
      </c>
      <c r="D157" s="10" t="s">
        <v>37</v>
      </c>
      <c r="E157" s="23">
        <f>SUMIFS('Lista de Cargas'!P$4:P$18,'Lista de Cargas'!$H$4:$H$18,$D157,'Lista de Cargas'!$B$4:$B$18,$B157)</f>
        <v>0</v>
      </c>
      <c r="F157" s="23">
        <f>SUMIFS('Lista de Cargas'!Q$4:Q$18,'Lista de Cargas'!$H$4:$H$18,$D157,'Lista de Cargas'!$B$4:$B$18,$B157)</f>
        <v>0</v>
      </c>
      <c r="G157" s="23">
        <f>SUMIFS('Lista de Cargas'!R$4:R$18,'Lista de Cargas'!$H$4:$H$18,$D157,'Lista de Cargas'!$B$4:$B$18,$B157)</f>
        <v>0</v>
      </c>
      <c r="H157" s="23">
        <f>SUMIFS('Lista de Cargas'!S$4:S$18,'Lista de Cargas'!$H$4:$H$18,$D157,'Lista de Cargas'!$B$4:$B$18,$B157)</f>
        <v>0</v>
      </c>
      <c r="M157" s="23">
        <f t="shared" si="33"/>
        <v>0</v>
      </c>
      <c r="N157" s="23">
        <f t="shared" si="34"/>
        <v>0</v>
      </c>
      <c r="O157" s="23">
        <f t="shared" si="35"/>
        <v>0</v>
      </c>
      <c r="P157" s="23">
        <f t="shared" si="36"/>
        <v>0</v>
      </c>
    </row>
    <row r="158" spans="1:16" hidden="1" x14ac:dyDescent="0.25">
      <c r="A158" s="27" t="s">
        <v>81</v>
      </c>
      <c r="B158" s="22" t="s">
        <v>141</v>
      </c>
      <c r="C158" s="22" t="s">
        <v>125</v>
      </c>
      <c r="D158" s="10" t="s">
        <v>38</v>
      </c>
      <c r="E158" s="23">
        <f>SUMIFS('Lista de Cargas'!P$4:P$18,'Lista de Cargas'!$H$4:$H$18,$D158,'Lista de Cargas'!$B$4:$B$18,$B158)</f>
        <v>0</v>
      </c>
      <c r="F158" s="23">
        <f>SUMIFS('Lista de Cargas'!Q$4:Q$18,'Lista de Cargas'!$H$4:$H$18,$D158,'Lista de Cargas'!$B$4:$B$18,$B158)</f>
        <v>0</v>
      </c>
      <c r="G158" s="23">
        <f>SUMIFS('Lista de Cargas'!R$4:R$18,'Lista de Cargas'!$H$4:$H$18,$D158,'Lista de Cargas'!$B$4:$B$18,$B158)</f>
        <v>0</v>
      </c>
      <c r="H158" s="23">
        <f>SUMIFS('Lista de Cargas'!S$4:S$18,'Lista de Cargas'!$H$4:$H$18,$D158,'Lista de Cargas'!$B$4:$B$18,$B158)</f>
        <v>0</v>
      </c>
      <c r="M158" s="23">
        <f t="shared" si="33"/>
        <v>0</v>
      </c>
      <c r="N158" s="23">
        <f t="shared" si="34"/>
        <v>0</v>
      </c>
      <c r="O158" s="23">
        <f t="shared" si="35"/>
        <v>0</v>
      </c>
      <c r="P158" s="23">
        <f t="shared" si="36"/>
        <v>0</v>
      </c>
    </row>
    <row r="159" spans="1:16" hidden="1" x14ac:dyDescent="0.25">
      <c r="A159" s="27" t="s">
        <v>81</v>
      </c>
      <c r="B159" s="22" t="s">
        <v>141</v>
      </c>
      <c r="C159" s="22" t="s">
        <v>125</v>
      </c>
      <c r="D159" s="10" t="s">
        <v>36</v>
      </c>
      <c r="E159" s="23">
        <f>SUMIFS('Lista de Cargas'!P$4:P$18,'Lista de Cargas'!$H$4:$H$18,$D159,'Lista de Cargas'!$B$4:$B$18,$B159)</f>
        <v>0</v>
      </c>
      <c r="F159" s="23">
        <f>SUMIFS('Lista de Cargas'!Q$4:Q$18,'Lista de Cargas'!$H$4:$H$18,$D159,'Lista de Cargas'!$B$4:$B$18,$B159)</f>
        <v>0</v>
      </c>
      <c r="G159" s="23">
        <f>SUMIFS('Lista de Cargas'!R$4:R$18,'Lista de Cargas'!$H$4:$H$18,$D159,'Lista de Cargas'!$B$4:$B$18,$B159)</f>
        <v>0</v>
      </c>
      <c r="H159" s="23">
        <f>SUMIFS('Lista de Cargas'!S$4:S$18,'Lista de Cargas'!$H$4:$H$18,$D159,'Lista de Cargas'!$B$4:$B$18,$B159)</f>
        <v>0</v>
      </c>
      <c r="M159" s="23">
        <f t="shared" si="33"/>
        <v>0</v>
      </c>
      <c r="N159" s="23">
        <f t="shared" si="34"/>
        <v>0</v>
      </c>
      <c r="O159" s="23">
        <f t="shared" si="35"/>
        <v>0</v>
      </c>
      <c r="P159" s="23">
        <f t="shared" si="36"/>
        <v>0</v>
      </c>
    </row>
    <row r="160" spans="1:16" hidden="1" x14ac:dyDescent="0.25">
      <c r="A160" s="27" t="s">
        <v>81</v>
      </c>
      <c r="B160" s="22" t="s">
        <v>141</v>
      </c>
      <c r="C160" s="22" t="s">
        <v>125</v>
      </c>
      <c r="D160" s="2" t="s">
        <v>118</v>
      </c>
      <c r="E160" s="23">
        <f>SUMIFS('Lista de Cargas'!P$4:P$18,'Lista de Cargas'!$H$4:$H$18,$D160,'Lista de Cargas'!$B$4:$B$18,$B160)</f>
        <v>0</v>
      </c>
      <c r="F160" s="23">
        <f>SUMIFS('Lista de Cargas'!Q$4:Q$18,'Lista de Cargas'!$H$4:$H$18,$D160,'Lista de Cargas'!$B$4:$B$18,$B160)</f>
        <v>0</v>
      </c>
      <c r="G160" s="23">
        <f>SUMIFS('Lista de Cargas'!R$4:R$18,'Lista de Cargas'!$H$4:$H$18,$D160,'Lista de Cargas'!$B$4:$B$18,$B160)</f>
        <v>0</v>
      </c>
      <c r="H160" s="23">
        <f>SUMIFS('Lista de Cargas'!S$4:S$18,'Lista de Cargas'!$H$4:$H$18,$D160,'Lista de Cargas'!$B$4:$B$18,$B160)</f>
        <v>0</v>
      </c>
      <c r="M160" s="23">
        <f t="shared" si="33"/>
        <v>0</v>
      </c>
      <c r="N160" s="23">
        <f t="shared" si="34"/>
        <v>0</v>
      </c>
      <c r="O160" s="23">
        <f t="shared" si="35"/>
        <v>0</v>
      </c>
      <c r="P160" s="23">
        <f t="shared" si="36"/>
        <v>0</v>
      </c>
    </row>
    <row r="161" spans="1:16" hidden="1" x14ac:dyDescent="0.25">
      <c r="A161" s="27" t="s">
        <v>81</v>
      </c>
      <c r="B161" s="22" t="s">
        <v>141</v>
      </c>
      <c r="C161" s="22" t="s">
        <v>125</v>
      </c>
      <c r="D161" s="10" t="s">
        <v>41</v>
      </c>
      <c r="E161" s="23">
        <f>SUMIFS('Lista de Cargas'!P$4:P$18,'Lista de Cargas'!$H$4:$H$18,$D161,'Lista de Cargas'!$B$4:$B$18,$B161)</f>
        <v>0</v>
      </c>
      <c r="F161" s="23">
        <f>SUMIFS('Lista de Cargas'!Q$4:Q$18,'Lista de Cargas'!$H$4:$H$18,$D161,'Lista de Cargas'!$B$4:$B$18,$B161)</f>
        <v>0</v>
      </c>
      <c r="G161" s="23">
        <f>SUMIFS('Lista de Cargas'!R$4:R$18,'Lista de Cargas'!$H$4:$H$18,$D161,'Lista de Cargas'!$B$4:$B$18,$B161)</f>
        <v>0</v>
      </c>
      <c r="H161" s="23">
        <f>SUMIFS('Lista de Cargas'!S$4:S$18,'Lista de Cargas'!$H$4:$H$18,$D161,'Lista de Cargas'!$B$4:$B$18,$B161)</f>
        <v>0</v>
      </c>
      <c r="M161" s="23">
        <f t="shared" si="33"/>
        <v>0</v>
      </c>
      <c r="N161" s="23">
        <f t="shared" si="34"/>
        <v>0</v>
      </c>
      <c r="O161" s="23">
        <f t="shared" si="35"/>
        <v>0</v>
      </c>
      <c r="P161" s="23">
        <f t="shared" si="36"/>
        <v>0</v>
      </c>
    </row>
    <row r="162" spans="1:16" hidden="1" x14ac:dyDescent="0.25">
      <c r="A162" s="27" t="s">
        <v>81</v>
      </c>
      <c r="B162" s="22" t="s">
        <v>141</v>
      </c>
      <c r="C162" s="22" t="s">
        <v>125</v>
      </c>
      <c r="D162" s="10" t="s">
        <v>42</v>
      </c>
      <c r="E162" s="23">
        <f>SUMIFS('Lista de Cargas'!P$4:P$18,'Lista de Cargas'!$H$4:$H$18,$D162,'Lista de Cargas'!$B$4:$B$18,$B162)</f>
        <v>0</v>
      </c>
      <c r="F162" s="23">
        <f>SUMIFS('Lista de Cargas'!Q$4:Q$18,'Lista de Cargas'!$H$4:$H$18,$D162,'Lista de Cargas'!$B$4:$B$18,$B162)</f>
        <v>0</v>
      </c>
      <c r="G162" s="23">
        <f>SUMIFS('Lista de Cargas'!R$4:R$18,'Lista de Cargas'!$H$4:$H$18,$D162,'Lista de Cargas'!$B$4:$B$18,$B162)</f>
        <v>0</v>
      </c>
      <c r="H162" s="23">
        <f>SUMIFS('Lista de Cargas'!S$4:S$18,'Lista de Cargas'!$H$4:$H$18,$D162,'Lista de Cargas'!$B$4:$B$18,$B162)</f>
        <v>0</v>
      </c>
      <c r="M162" s="23">
        <f t="shared" si="33"/>
        <v>0</v>
      </c>
      <c r="N162" s="23">
        <f t="shared" si="34"/>
        <v>0</v>
      </c>
      <c r="O162" s="23">
        <f t="shared" si="35"/>
        <v>0</v>
      </c>
      <c r="P162" s="23">
        <f t="shared" si="36"/>
        <v>0</v>
      </c>
    </row>
    <row r="163" spans="1:16" s="43" customFormat="1" hidden="1" x14ac:dyDescent="0.25">
      <c r="A163" s="38" t="s">
        <v>81</v>
      </c>
      <c r="B163" s="39" t="s">
        <v>141</v>
      </c>
      <c r="C163" s="45" t="s">
        <v>125</v>
      </c>
      <c r="D163" s="41" t="s">
        <v>47</v>
      </c>
      <c r="E163" s="40">
        <f>SUM(E156:E162)</f>
        <v>0</v>
      </c>
      <c r="F163" s="40">
        <f>SUM(F156:F162)</f>
        <v>0</v>
      </c>
      <c r="G163" s="40">
        <f>SUM(G156:G162)</f>
        <v>0</v>
      </c>
      <c r="H163" s="40">
        <f>SUM(H156:H162)</f>
        <v>0</v>
      </c>
      <c r="I163" s="42"/>
      <c r="J163" s="42"/>
      <c r="M163" s="44"/>
      <c r="N163" s="44"/>
      <c r="O163" s="44"/>
      <c r="P163" s="44"/>
    </row>
    <row r="164" spans="1:16" s="43" customFormat="1" hidden="1" x14ac:dyDescent="0.25">
      <c r="A164" s="45" t="s">
        <v>2</v>
      </c>
      <c r="B164" s="45" t="s">
        <v>2</v>
      </c>
      <c r="C164" s="46"/>
      <c r="D164" s="47" t="s">
        <v>2</v>
      </c>
      <c r="E164" s="48" t="e">
        <f>E163/E$247</f>
        <v>#DIV/0!</v>
      </c>
      <c r="F164" s="48" t="e">
        <f>F163/F$247</f>
        <v>#DIV/0!</v>
      </c>
      <c r="G164" s="48" t="e">
        <f>G163/G$247</f>
        <v>#DIV/0!</v>
      </c>
      <c r="H164" s="48" t="e">
        <f>H163/H$247</f>
        <v>#DIV/0!</v>
      </c>
      <c r="I164" s="42"/>
      <c r="J164" s="42"/>
      <c r="M164" s="44"/>
      <c r="N164" s="44"/>
      <c r="O164" s="44"/>
      <c r="P164" s="44"/>
    </row>
    <row r="165" spans="1:16" hidden="1" x14ac:dyDescent="0.25">
      <c r="A165" s="27" t="s">
        <v>150</v>
      </c>
      <c r="B165" s="22" t="s">
        <v>142</v>
      </c>
      <c r="C165" s="22" t="s">
        <v>125</v>
      </c>
      <c r="D165" s="2" t="s">
        <v>76</v>
      </c>
      <c r="E165" s="23">
        <f>SUMIFS('Lista de Cargas'!P$4:P$18,'Lista de Cargas'!$H$4:$H$18,$D165,'Lista de Cargas'!$B$4:$B$18,$B165)</f>
        <v>0</v>
      </c>
      <c r="F165" s="23">
        <f>SUMIFS('Lista de Cargas'!Q$4:Q$18,'Lista de Cargas'!$H$4:$H$18,$D165,'Lista de Cargas'!$B$4:$B$18,$B165)</f>
        <v>0</v>
      </c>
      <c r="G165" s="23">
        <f>SUMIFS('Lista de Cargas'!R$4:R$18,'Lista de Cargas'!$H$4:$H$18,$D165,'Lista de Cargas'!$B$4:$B$18,$B165)</f>
        <v>0</v>
      </c>
      <c r="H165" s="23">
        <f>SUMIFS('Lista de Cargas'!S$4:S$18,'Lista de Cargas'!$H$4:$H$18,$D165,'Lista de Cargas'!$B$4:$B$18,$B165)</f>
        <v>0</v>
      </c>
      <c r="K165" s="30"/>
      <c r="L165" s="30"/>
      <c r="M165" s="23">
        <f t="shared" ref="M165:M171" si="37">E165</f>
        <v>0</v>
      </c>
      <c r="N165" s="23">
        <f t="shared" ref="N165:N171" si="38">F165</f>
        <v>0</v>
      </c>
      <c r="O165" s="23">
        <f t="shared" ref="O165:O171" si="39">G165</f>
        <v>0</v>
      </c>
      <c r="P165" s="23">
        <f t="shared" ref="P165:P171" si="40">H165</f>
        <v>0</v>
      </c>
    </row>
    <row r="166" spans="1:16" hidden="1" x14ac:dyDescent="0.25">
      <c r="A166" s="27" t="s">
        <v>150</v>
      </c>
      <c r="B166" s="22" t="s">
        <v>142</v>
      </c>
      <c r="C166" s="22" t="s">
        <v>125</v>
      </c>
      <c r="D166" s="10" t="s">
        <v>37</v>
      </c>
      <c r="E166" s="23">
        <f>SUMIFS('Lista de Cargas'!P$4:P$18,'Lista de Cargas'!$H$4:$H$18,$D166,'Lista de Cargas'!$B$4:$B$18,$B166)</f>
        <v>0</v>
      </c>
      <c r="F166" s="23">
        <f>SUMIFS('Lista de Cargas'!Q$4:Q$18,'Lista de Cargas'!$H$4:$H$18,$D166,'Lista de Cargas'!$B$4:$B$18,$B166)</f>
        <v>0</v>
      </c>
      <c r="G166" s="23">
        <f>SUMIFS('Lista de Cargas'!R$4:R$18,'Lista de Cargas'!$H$4:$H$18,$D166,'Lista de Cargas'!$B$4:$B$18,$B166)</f>
        <v>0</v>
      </c>
      <c r="H166" s="23">
        <f>SUMIFS('Lista de Cargas'!S$4:S$18,'Lista de Cargas'!$H$4:$H$18,$D166,'Lista de Cargas'!$B$4:$B$18,$B166)</f>
        <v>0</v>
      </c>
      <c r="M166" s="23">
        <f t="shared" si="37"/>
        <v>0</v>
      </c>
      <c r="N166" s="23">
        <f t="shared" si="38"/>
        <v>0</v>
      </c>
      <c r="O166" s="23">
        <f t="shared" si="39"/>
        <v>0</v>
      </c>
      <c r="P166" s="23">
        <f t="shared" si="40"/>
        <v>0</v>
      </c>
    </row>
    <row r="167" spans="1:16" hidden="1" x14ac:dyDescent="0.25">
      <c r="A167" s="27" t="s">
        <v>150</v>
      </c>
      <c r="B167" s="22" t="s">
        <v>142</v>
      </c>
      <c r="C167" s="22" t="s">
        <v>125</v>
      </c>
      <c r="D167" s="10" t="s">
        <v>38</v>
      </c>
      <c r="E167" s="23">
        <f>SUMIFS('Lista de Cargas'!P$4:P$18,'Lista de Cargas'!$H$4:$H$18,$D167,'Lista de Cargas'!$B$4:$B$18,$B167)</f>
        <v>0</v>
      </c>
      <c r="F167" s="23">
        <f>SUMIFS('Lista de Cargas'!Q$4:Q$18,'Lista de Cargas'!$H$4:$H$18,$D167,'Lista de Cargas'!$B$4:$B$18,$B167)</f>
        <v>0</v>
      </c>
      <c r="G167" s="23">
        <f>SUMIFS('Lista de Cargas'!R$4:R$18,'Lista de Cargas'!$H$4:$H$18,$D167,'Lista de Cargas'!$B$4:$B$18,$B167)</f>
        <v>0</v>
      </c>
      <c r="H167" s="23">
        <f>SUMIFS('Lista de Cargas'!S$4:S$18,'Lista de Cargas'!$H$4:$H$18,$D167,'Lista de Cargas'!$B$4:$B$18,$B167)</f>
        <v>0</v>
      </c>
      <c r="M167" s="23">
        <f t="shared" si="37"/>
        <v>0</v>
      </c>
      <c r="N167" s="23">
        <f t="shared" si="38"/>
        <v>0</v>
      </c>
      <c r="O167" s="23">
        <f t="shared" si="39"/>
        <v>0</v>
      </c>
      <c r="P167" s="23">
        <f t="shared" si="40"/>
        <v>0</v>
      </c>
    </row>
    <row r="168" spans="1:16" hidden="1" x14ac:dyDescent="0.25">
      <c r="A168" s="27" t="s">
        <v>150</v>
      </c>
      <c r="B168" s="22" t="s">
        <v>142</v>
      </c>
      <c r="C168" s="22" t="s">
        <v>125</v>
      </c>
      <c r="D168" s="10" t="s">
        <v>36</v>
      </c>
      <c r="E168" s="23">
        <f>SUMIFS('Lista de Cargas'!P$4:P$18,'Lista de Cargas'!$H$4:$H$18,$D168,'Lista de Cargas'!$B$4:$B$18,$B168)</f>
        <v>0</v>
      </c>
      <c r="F168" s="23">
        <f>SUMIFS('Lista de Cargas'!Q$4:Q$18,'Lista de Cargas'!$H$4:$H$18,$D168,'Lista de Cargas'!$B$4:$B$18,$B168)</f>
        <v>0</v>
      </c>
      <c r="G168" s="23">
        <f>SUMIFS('Lista de Cargas'!R$4:R$18,'Lista de Cargas'!$H$4:$H$18,$D168,'Lista de Cargas'!$B$4:$B$18,$B168)</f>
        <v>0</v>
      </c>
      <c r="H168" s="23">
        <f>SUMIFS('Lista de Cargas'!S$4:S$18,'Lista de Cargas'!$H$4:$H$18,$D168,'Lista de Cargas'!$B$4:$B$18,$B168)</f>
        <v>0</v>
      </c>
      <c r="M168" s="23">
        <f t="shared" si="37"/>
        <v>0</v>
      </c>
      <c r="N168" s="23">
        <f t="shared" si="38"/>
        <v>0</v>
      </c>
      <c r="O168" s="23">
        <f t="shared" si="39"/>
        <v>0</v>
      </c>
      <c r="P168" s="23">
        <f t="shared" si="40"/>
        <v>0</v>
      </c>
    </row>
    <row r="169" spans="1:16" hidden="1" x14ac:dyDescent="0.25">
      <c r="A169" s="27" t="s">
        <v>150</v>
      </c>
      <c r="B169" s="22" t="s">
        <v>142</v>
      </c>
      <c r="C169" s="22" t="s">
        <v>125</v>
      </c>
      <c r="D169" s="2" t="s">
        <v>118</v>
      </c>
      <c r="E169" s="23">
        <f>SUMIFS('Lista de Cargas'!P$4:P$18,'Lista de Cargas'!$H$4:$H$18,$D169,'Lista de Cargas'!$B$4:$B$18,$B169)</f>
        <v>0</v>
      </c>
      <c r="F169" s="23">
        <f>SUMIFS('Lista de Cargas'!Q$4:Q$18,'Lista de Cargas'!$H$4:$H$18,$D169,'Lista de Cargas'!$B$4:$B$18,$B169)</f>
        <v>0</v>
      </c>
      <c r="G169" s="23">
        <f>SUMIFS('Lista de Cargas'!R$4:R$18,'Lista de Cargas'!$H$4:$H$18,$D169,'Lista de Cargas'!$B$4:$B$18,$B169)</f>
        <v>0</v>
      </c>
      <c r="H169" s="23">
        <f>SUMIFS('Lista de Cargas'!S$4:S$18,'Lista de Cargas'!$H$4:$H$18,$D169,'Lista de Cargas'!$B$4:$B$18,$B169)</f>
        <v>0</v>
      </c>
      <c r="M169" s="23">
        <f t="shared" si="37"/>
        <v>0</v>
      </c>
      <c r="N169" s="23">
        <f t="shared" si="38"/>
        <v>0</v>
      </c>
      <c r="O169" s="23">
        <f t="shared" si="39"/>
        <v>0</v>
      </c>
      <c r="P169" s="23">
        <f t="shared" si="40"/>
        <v>0</v>
      </c>
    </row>
    <row r="170" spans="1:16" hidden="1" x14ac:dyDescent="0.25">
      <c r="A170" s="27" t="s">
        <v>150</v>
      </c>
      <c r="B170" s="22" t="s">
        <v>142</v>
      </c>
      <c r="C170" s="22" t="s">
        <v>125</v>
      </c>
      <c r="D170" s="10" t="s">
        <v>41</v>
      </c>
      <c r="E170" s="23">
        <f>SUMIFS('Lista de Cargas'!P$4:P$18,'Lista de Cargas'!$H$4:$H$18,$D170,'Lista de Cargas'!$B$4:$B$18,$B170)</f>
        <v>0</v>
      </c>
      <c r="F170" s="23">
        <f>SUMIFS('Lista de Cargas'!Q$4:Q$18,'Lista de Cargas'!$H$4:$H$18,$D170,'Lista de Cargas'!$B$4:$B$18,$B170)</f>
        <v>0</v>
      </c>
      <c r="G170" s="23">
        <f>SUMIFS('Lista de Cargas'!R$4:R$18,'Lista de Cargas'!$H$4:$H$18,$D170,'Lista de Cargas'!$B$4:$B$18,$B170)</f>
        <v>0</v>
      </c>
      <c r="H170" s="23">
        <f>SUMIFS('Lista de Cargas'!S$4:S$18,'Lista de Cargas'!$H$4:$H$18,$D170,'Lista de Cargas'!$B$4:$B$18,$B170)</f>
        <v>0</v>
      </c>
      <c r="M170" s="23">
        <f t="shared" si="37"/>
        <v>0</v>
      </c>
      <c r="N170" s="23">
        <f t="shared" si="38"/>
        <v>0</v>
      </c>
      <c r="O170" s="23">
        <f t="shared" si="39"/>
        <v>0</v>
      </c>
      <c r="P170" s="23">
        <f t="shared" si="40"/>
        <v>0</v>
      </c>
    </row>
    <row r="171" spans="1:16" hidden="1" x14ac:dyDescent="0.25">
      <c r="A171" s="27" t="s">
        <v>150</v>
      </c>
      <c r="B171" s="22" t="s">
        <v>142</v>
      </c>
      <c r="C171" s="22" t="s">
        <v>125</v>
      </c>
      <c r="D171" s="10" t="s">
        <v>42</v>
      </c>
      <c r="E171" s="23">
        <f>SUMIFS('Lista de Cargas'!P$4:P$18,'Lista de Cargas'!$H$4:$H$18,$D171,'Lista de Cargas'!$B$4:$B$18,$B171)</f>
        <v>0</v>
      </c>
      <c r="F171" s="23">
        <f>SUMIFS('Lista de Cargas'!Q$4:Q$18,'Lista de Cargas'!$H$4:$H$18,$D171,'Lista de Cargas'!$B$4:$B$18,$B171)</f>
        <v>0</v>
      </c>
      <c r="G171" s="23">
        <f>SUMIFS('Lista de Cargas'!R$4:R$18,'Lista de Cargas'!$H$4:$H$18,$D171,'Lista de Cargas'!$B$4:$B$18,$B171)</f>
        <v>0</v>
      </c>
      <c r="H171" s="23">
        <f>SUMIFS('Lista de Cargas'!S$4:S$18,'Lista de Cargas'!$H$4:$H$18,$D171,'Lista de Cargas'!$B$4:$B$18,$B171)</f>
        <v>0</v>
      </c>
      <c r="M171" s="23">
        <f t="shared" si="37"/>
        <v>0</v>
      </c>
      <c r="N171" s="23">
        <f t="shared" si="38"/>
        <v>0</v>
      </c>
      <c r="O171" s="23">
        <f t="shared" si="39"/>
        <v>0</v>
      </c>
      <c r="P171" s="23">
        <f t="shared" si="40"/>
        <v>0</v>
      </c>
    </row>
    <row r="172" spans="1:16" s="43" customFormat="1" hidden="1" x14ac:dyDescent="0.25">
      <c r="A172" s="38" t="s">
        <v>150</v>
      </c>
      <c r="B172" s="39" t="s">
        <v>142</v>
      </c>
      <c r="C172" s="45" t="s">
        <v>125</v>
      </c>
      <c r="D172" s="41" t="s">
        <v>47</v>
      </c>
      <c r="E172" s="40">
        <f>SUM(E165:E171)</f>
        <v>0</v>
      </c>
      <c r="F172" s="40">
        <f>SUM(F165:F171)</f>
        <v>0</v>
      </c>
      <c r="G172" s="40">
        <f>SUM(G165:G171)</f>
        <v>0</v>
      </c>
      <c r="H172" s="40">
        <f>SUM(H165:H171)</f>
        <v>0</v>
      </c>
      <c r="I172" s="42"/>
      <c r="J172" s="42"/>
      <c r="M172" s="44"/>
      <c r="N172" s="44"/>
      <c r="O172" s="44"/>
      <c r="P172" s="44"/>
    </row>
    <row r="173" spans="1:16" s="43" customFormat="1" hidden="1" x14ac:dyDescent="0.25">
      <c r="A173" s="45" t="s">
        <v>2</v>
      </c>
      <c r="B173" s="45" t="s">
        <v>2</v>
      </c>
      <c r="C173" s="46"/>
      <c r="D173" s="47" t="s">
        <v>2</v>
      </c>
      <c r="E173" s="48" t="e">
        <f>E172/E$247</f>
        <v>#DIV/0!</v>
      </c>
      <c r="F173" s="48" t="e">
        <f>F172/F$247</f>
        <v>#DIV/0!</v>
      </c>
      <c r="G173" s="48" t="e">
        <f>G172/G$247</f>
        <v>#DIV/0!</v>
      </c>
      <c r="H173" s="48" t="e">
        <f>H172/H$247</f>
        <v>#DIV/0!</v>
      </c>
      <c r="I173" s="42"/>
      <c r="J173" s="42"/>
      <c r="M173" s="44"/>
      <c r="N173" s="44"/>
      <c r="O173" s="44"/>
      <c r="P173" s="44"/>
    </row>
    <row r="174" spans="1:16" hidden="1" x14ac:dyDescent="0.25">
      <c r="A174" s="27" t="s">
        <v>151</v>
      </c>
      <c r="B174" s="22" t="s">
        <v>143</v>
      </c>
      <c r="C174" s="22" t="s">
        <v>125</v>
      </c>
      <c r="D174" s="2" t="s">
        <v>76</v>
      </c>
      <c r="E174" s="23">
        <f>SUMIFS('Lista de Cargas'!P$4:P$18,'Lista de Cargas'!$H$4:$H$18,$D174,'Lista de Cargas'!$B$4:$B$18,$B174)</f>
        <v>0</v>
      </c>
      <c r="F174" s="23">
        <f>SUMIFS('Lista de Cargas'!Q$4:Q$18,'Lista de Cargas'!$H$4:$H$18,$D174,'Lista de Cargas'!$B$4:$B$18,$B174)</f>
        <v>0</v>
      </c>
      <c r="G174" s="23">
        <f>SUMIFS('Lista de Cargas'!R$4:R$18,'Lista de Cargas'!$H$4:$H$18,$D174,'Lista de Cargas'!$B$4:$B$18,$B174)</f>
        <v>0</v>
      </c>
      <c r="H174" s="23">
        <f>SUMIFS('Lista de Cargas'!S$4:S$18,'Lista de Cargas'!$H$4:$H$18,$D174,'Lista de Cargas'!$B$4:$B$18,$B174)</f>
        <v>0</v>
      </c>
      <c r="K174" s="30"/>
      <c r="L174" s="30"/>
      <c r="M174" s="23">
        <f t="shared" ref="M174:M180" si="41">E174</f>
        <v>0</v>
      </c>
      <c r="N174" s="23">
        <f t="shared" ref="N174:N180" si="42">F174</f>
        <v>0</v>
      </c>
      <c r="O174" s="23">
        <f t="shared" ref="O174:O180" si="43">G174</f>
        <v>0</v>
      </c>
      <c r="P174" s="23">
        <f t="shared" ref="P174:P180" si="44">H174</f>
        <v>0</v>
      </c>
    </row>
    <row r="175" spans="1:16" hidden="1" x14ac:dyDescent="0.25">
      <c r="A175" s="27" t="s">
        <v>151</v>
      </c>
      <c r="B175" s="22" t="s">
        <v>143</v>
      </c>
      <c r="C175" s="22" t="s">
        <v>125</v>
      </c>
      <c r="D175" s="10" t="s">
        <v>37</v>
      </c>
      <c r="E175" s="23">
        <f>SUMIFS('Lista de Cargas'!P$4:P$18,'Lista de Cargas'!$H$4:$H$18,$D175,'Lista de Cargas'!$B$4:$B$18,$B175)</f>
        <v>0</v>
      </c>
      <c r="F175" s="23">
        <f>SUMIFS('Lista de Cargas'!Q$4:Q$18,'Lista de Cargas'!$H$4:$H$18,$D175,'Lista de Cargas'!$B$4:$B$18,$B175)</f>
        <v>0</v>
      </c>
      <c r="G175" s="23">
        <f>SUMIFS('Lista de Cargas'!R$4:R$18,'Lista de Cargas'!$H$4:$H$18,$D175,'Lista de Cargas'!$B$4:$B$18,$B175)</f>
        <v>0</v>
      </c>
      <c r="H175" s="23">
        <f>SUMIFS('Lista de Cargas'!S$4:S$18,'Lista de Cargas'!$H$4:$H$18,$D175,'Lista de Cargas'!$B$4:$B$18,$B175)</f>
        <v>0</v>
      </c>
      <c r="M175" s="23">
        <f t="shared" si="41"/>
        <v>0</v>
      </c>
      <c r="N175" s="23">
        <f t="shared" si="42"/>
        <v>0</v>
      </c>
      <c r="O175" s="23">
        <f t="shared" si="43"/>
        <v>0</v>
      </c>
      <c r="P175" s="23">
        <f t="shared" si="44"/>
        <v>0</v>
      </c>
    </row>
    <row r="176" spans="1:16" hidden="1" x14ac:dyDescent="0.25">
      <c r="A176" s="27" t="s">
        <v>151</v>
      </c>
      <c r="B176" s="22" t="s">
        <v>143</v>
      </c>
      <c r="C176" s="22" t="s">
        <v>125</v>
      </c>
      <c r="D176" s="10" t="s">
        <v>38</v>
      </c>
      <c r="E176" s="23">
        <f>SUMIFS('Lista de Cargas'!P$4:P$18,'Lista de Cargas'!$H$4:$H$18,$D176,'Lista de Cargas'!$B$4:$B$18,$B176)</f>
        <v>0</v>
      </c>
      <c r="F176" s="23">
        <f>SUMIFS('Lista de Cargas'!Q$4:Q$18,'Lista de Cargas'!$H$4:$H$18,$D176,'Lista de Cargas'!$B$4:$B$18,$B176)</f>
        <v>0</v>
      </c>
      <c r="G176" s="23">
        <f>SUMIFS('Lista de Cargas'!R$4:R$18,'Lista de Cargas'!$H$4:$H$18,$D176,'Lista de Cargas'!$B$4:$B$18,$B176)</f>
        <v>0</v>
      </c>
      <c r="H176" s="23">
        <f>SUMIFS('Lista de Cargas'!S$4:S$18,'Lista de Cargas'!$H$4:$H$18,$D176,'Lista de Cargas'!$B$4:$B$18,$B176)</f>
        <v>0</v>
      </c>
      <c r="M176" s="23">
        <f t="shared" si="41"/>
        <v>0</v>
      </c>
      <c r="N176" s="23">
        <f t="shared" si="42"/>
        <v>0</v>
      </c>
      <c r="O176" s="23">
        <f t="shared" si="43"/>
        <v>0</v>
      </c>
      <c r="P176" s="23">
        <f t="shared" si="44"/>
        <v>0</v>
      </c>
    </row>
    <row r="177" spans="1:16" hidden="1" x14ac:dyDescent="0.25">
      <c r="A177" s="27" t="s">
        <v>151</v>
      </c>
      <c r="B177" s="22" t="s">
        <v>143</v>
      </c>
      <c r="C177" s="22" t="s">
        <v>125</v>
      </c>
      <c r="D177" s="10" t="s">
        <v>36</v>
      </c>
      <c r="E177" s="23">
        <f>SUMIFS('Lista de Cargas'!P$4:P$18,'Lista de Cargas'!$H$4:$H$18,$D177,'Lista de Cargas'!$B$4:$B$18,$B177)</f>
        <v>0</v>
      </c>
      <c r="F177" s="23">
        <f>SUMIFS('Lista de Cargas'!Q$4:Q$18,'Lista de Cargas'!$H$4:$H$18,$D177,'Lista de Cargas'!$B$4:$B$18,$B177)</f>
        <v>0</v>
      </c>
      <c r="G177" s="23">
        <f>SUMIFS('Lista de Cargas'!R$4:R$18,'Lista de Cargas'!$H$4:$H$18,$D177,'Lista de Cargas'!$B$4:$B$18,$B177)</f>
        <v>0</v>
      </c>
      <c r="H177" s="23">
        <f>SUMIFS('Lista de Cargas'!S$4:S$18,'Lista de Cargas'!$H$4:$H$18,$D177,'Lista de Cargas'!$B$4:$B$18,$B177)</f>
        <v>0</v>
      </c>
      <c r="M177" s="23">
        <f t="shared" si="41"/>
        <v>0</v>
      </c>
      <c r="N177" s="23">
        <f t="shared" si="42"/>
        <v>0</v>
      </c>
      <c r="O177" s="23">
        <f t="shared" si="43"/>
        <v>0</v>
      </c>
      <c r="P177" s="23">
        <f t="shared" si="44"/>
        <v>0</v>
      </c>
    </row>
    <row r="178" spans="1:16" hidden="1" x14ac:dyDescent="0.25">
      <c r="A178" s="27" t="s">
        <v>151</v>
      </c>
      <c r="B178" s="22" t="s">
        <v>143</v>
      </c>
      <c r="C178" s="22" t="s">
        <v>125</v>
      </c>
      <c r="D178" s="2" t="s">
        <v>118</v>
      </c>
      <c r="E178" s="23">
        <f>SUMIFS('Lista de Cargas'!P$4:P$18,'Lista de Cargas'!$H$4:$H$18,$D178,'Lista de Cargas'!$B$4:$B$18,$B178)</f>
        <v>0</v>
      </c>
      <c r="F178" s="23">
        <f>SUMIFS('Lista de Cargas'!Q$4:Q$18,'Lista de Cargas'!$H$4:$H$18,$D178,'Lista de Cargas'!$B$4:$B$18,$B178)</f>
        <v>0</v>
      </c>
      <c r="G178" s="23">
        <f>SUMIFS('Lista de Cargas'!R$4:R$18,'Lista de Cargas'!$H$4:$H$18,$D178,'Lista de Cargas'!$B$4:$B$18,$B178)</f>
        <v>0</v>
      </c>
      <c r="H178" s="23">
        <f>SUMIFS('Lista de Cargas'!S$4:S$18,'Lista de Cargas'!$H$4:$H$18,$D178,'Lista de Cargas'!$B$4:$B$18,$B178)</f>
        <v>0</v>
      </c>
      <c r="M178" s="23">
        <f t="shared" si="41"/>
        <v>0</v>
      </c>
      <c r="N178" s="23">
        <f t="shared" si="42"/>
        <v>0</v>
      </c>
      <c r="O178" s="23">
        <f t="shared" si="43"/>
        <v>0</v>
      </c>
      <c r="P178" s="23">
        <f t="shared" si="44"/>
        <v>0</v>
      </c>
    </row>
    <row r="179" spans="1:16" hidden="1" x14ac:dyDescent="0.25">
      <c r="A179" s="27" t="s">
        <v>151</v>
      </c>
      <c r="B179" s="22" t="s">
        <v>143</v>
      </c>
      <c r="C179" s="22" t="s">
        <v>125</v>
      </c>
      <c r="D179" s="10" t="s">
        <v>41</v>
      </c>
      <c r="E179" s="23">
        <f>SUMIFS('Lista de Cargas'!P$4:P$18,'Lista de Cargas'!$H$4:$H$18,$D179,'Lista de Cargas'!$B$4:$B$18,$B179)</f>
        <v>0</v>
      </c>
      <c r="F179" s="23">
        <f>SUMIFS('Lista de Cargas'!Q$4:Q$18,'Lista de Cargas'!$H$4:$H$18,$D179,'Lista de Cargas'!$B$4:$B$18,$B179)</f>
        <v>0</v>
      </c>
      <c r="G179" s="23">
        <f>SUMIFS('Lista de Cargas'!R$4:R$18,'Lista de Cargas'!$H$4:$H$18,$D179,'Lista de Cargas'!$B$4:$B$18,$B179)</f>
        <v>0</v>
      </c>
      <c r="H179" s="23">
        <f>SUMIFS('Lista de Cargas'!S$4:S$18,'Lista de Cargas'!$H$4:$H$18,$D179,'Lista de Cargas'!$B$4:$B$18,$B179)</f>
        <v>0</v>
      </c>
      <c r="M179" s="23">
        <f t="shared" si="41"/>
        <v>0</v>
      </c>
      <c r="N179" s="23">
        <f t="shared" si="42"/>
        <v>0</v>
      </c>
      <c r="O179" s="23">
        <f t="shared" si="43"/>
        <v>0</v>
      </c>
      <c r="P179" s="23">
        <f t="shared" si="44"/>
        <v>0</v>
      </c>
    </row>
    <row r="180" spans="1:16" hidden="1" x14ac:dyDescent="0.25">
      <c r="A180" s="27" t="s">
        <v>151</v>
      </c>
      <c r="B180" s="22" t="s">
        <v>143</v>
      </c>
      <c r="C180" s="22" t="s">
        <v>125</v>
      </c>
      <c r="D180" s="10" t="s">
        <v>42</v>
      </c>
      <c r="E180" s="23">
        <f>SUMIFS('Lista de Cargas'!P$4:P$18,'Lista de Cargas'!$H$4:$H$18,$D180,'Lista de Cargas'!$B$4:$B$18,$B180)</f>
        <v>0</v>
      </c>
      <c r="F180" s="23">
        <f>SUMIFS('Lista de Cargas'!Q$4:Q$18,'Lista de Cargas'!$H$4:$H$18,$D180,'Lista de Cargas'!$B$4:$B$18,$B180)</f>
        <v>0</v>
      </c>
      <c r="G180" s="23">
        <f>SUMIFS('Lista de Cargas'!R$4:R$18,'Lista de Cargas'!$H$4:$H$18,$D180,'Lista de Cargas'!$B$4:$B$18,$B180)</f>
        <v>0</v>
      </c>
      <c r="H180" s="23">
        <f>SUMIFS('Lista de Cargas'!S$4:S$18,'Lista de Cargas'!$H$4:$H$18,$D180,'Lista de Cargas'!$B$4:$B$18,$B180)</f>
        <v>0</v>
      </c>
      <c r="M180" s="23">
        <f t="shared" si="41"/>
        <v>0</v>
      </c>
      <c r="N180" s="23">
        <f t="shared" si="42"/>
        <v>0</v>
      </c>
      <c r="O180" s="23">
        <f t="shared" si="43"/>
        <v>0</v>
      </c>
      <c r="P180" s="23">
        <f t="shared" si="44"/>
        <v>0</v>
      </c>
    </row>
    <row r="181" spans="1:16" s="43" customFormat="1" hidden="1" x14ac:dyDescent="0.25">
      <c r="A181" s="38" t="s">
        <v>151</v>
      </c>
      <c r="B181" s="39" t="s">
        <v>143</v>
      </c>
      <c r="C181" s="45" t="s">
        <v>125</v>
      </c>
      <c r="D181" s="41" t="s">
        <v>47</v>
      </c>
      <c r="E181" s="40">
        <f>SUM(E174:E180)</f>
        <v>0</v>
      </c>
      <c r="F181" s="40">
        <f>SUM(F174:F180)</f>
        <v>0</v>
      </c>
      <c r="G181" s="40">
        <f>SUM(G174:G180)</f>
        <v>0</v>
      </c>
      <c r="H181" s="40">
        <f>SUM(H174:H180)</f>
        <v>0</v>
      </c>
      <c r="I181" s="42"/>
      <c r="J181" s="42"/>
      <c r="M181" s="44"/>
      <c r="N181" s="44"/>
      <c r="O181" s="44"/>
      <c r="P181" s="44"/>
    </row>
    <row r="182" spans="1:16" s="43" customFormat="1" hidden="1" x14ac:dyDescent="0.25">
      <c r="A182" s="45" t="s">
        <v>2</v>
      </c>
      <c r="B182" s="45" t="s">
        <v>2</v>
      </c>
      <c r="C182" s="46"/>
      <c r="D182" s="47" t="s">
        <v>2</v>
      </c>
      <c r="E182" s="48" t="e">
        <f>E181/E$247</f>
        <v>#DIV/0!</v>
      </c>
      <c r="F182" s="48" t="e">
        <f>F181/F$247</f>
        <v>#DIV/0!</v>
      </c>
      <c r="G182" s="48" t="e">
        <f>G181/G$247</f>
        <v>#DIV/0!</v>
      </c>
      <c r="H182" s="48" t="e">
        <f>H181/H$247</f>
        <v>#DIV/0!</v>
      </c>
      <c r="I182" s="42"/>
      <c r="J182" s="42"/>
      <c r="M182" s="44"/>
      <c r="N182" s="44"/>
      <c r="O182" s="44"/>
      <c r="P182" s="44"/>
    </row>
    <row r="183" spans="1:16" hidden="1" x14ac:dyDescent="0.25">
      <c r="A183" s="27" t="s">
        <v>152</v>
      </c>
      <c r="B183" s="22" t="s">
        <v>129</v>
      </c>
      <c r="C183" s="22" t="s">
        <v>125</v>
      </c>
      <c r="D183" s="2" t="s">
        <v>76</v>
      </c>
      <c r="E183" s="23">
        <f>SUMIFS('Lista de Cargas'!P$4:P$18,'Lista de Cargas'!$H$4:$H$18,$D183,'Lista de Cargas'!$B$4:$B$18,$B183)</f>
        <v>0</v>
      </c>
      <c r="F183" s="23">
        <f>SUMIFS('Lista de Cargas'!Q$4:Q$18,'Lista de Cargas'!$H$4:$H$18,$D183,'Lista de Cargas'!$B$4:$B$18,$B183)</f>
        <v>0</v>
      </c>
      <c r="G183" s="23">
        <f>SUMIFS('Lista de Cargas'!R$4:R$18,'Lista de Cargas'!$H$4:$H$18,$D183,'Lista de Cargas'!$B$4:$B$18,$B183)</f>
        <v>0</v>
      </c>
      <c r="H183" s="23">
        <f>SUMIFS('Lista de Cargas'!S$4:S$18,'Lista de Cargas'!$H$4:$H$18,$D183,'Lista de Cargas'!$B$4:$B$18,$B183)</f>
        <v>0</v>
      </c>
      <c r="K183" s="30"/>
      <c r="L183" s="30"/>
      <c r="M183" s="23">
        <f t="shared" ref="M183:M189" si="45">E183</f>
        <v>0</v>
      </c>
      <c r="N183" s="23">
        <f t="shared" ref="N183:N189" si="46">F183</f>
        <v>0</v>
      </c>
      <c r="O183" s="23">
        <f t="shared" ref="O183:O189" si="47">G183</f>
        <v>0</v>
      </c>
      <c r="P183" s="23">
        <f t="shared" ref="P183:P189" si="48">H183</f>
        <v>0</v>
      </c>
    </row>
    <row r="184" spans="1:16" hidden="1" x14ac:dyDescent="0.25">
      <c r="A184" s="27" t="s">
        <v>152</v>
      </c>
      <c r="B184" s="22" t="s">
        <v>129</v>
      </c>
      <c r="C184" s="22" t="s">
        <v>125</v>
      </c>
      <c r="D184" s="10" t="s">
        <v>37</v>
      </c>
      <c r="E184" s="23">
        <f>SUMIFS('Lista de Cargas'!P$4:P$18,'Lista de Cargas'!$H$4:$H$18,$D184,'Lista de Cargas'!$B$4:$B$18,$B184)</f>
        <v>0</v>
      </c>
      <c r="F184" s="23">
        <f>SUMIFS('Lista de Cargas'!Q$4:Q$18,'Lista de Cargas'!$H$4:$H$18,$D184,'Lista de Cargas'!$B$4:$B$18,$B184)</f>
        <v>0</v>
      </c>
      <c r="G184" s="23">
        <f>SUMIFS('Lista de Cargas'!R$4:R$18,'Lista de Cargas'!$H$4:$H$18,$D184,'Lista de Cargas'!$B$4:$B$18,$B184)</f>
        <v>0</v>
      </c>
      <c r="H184" s="23">
        <f>SUMIFS('Lista de Cargas'!S$4:S$18,'Lista de Cargas'!$H$4:$H$18,$D184,'Lista de Cargas'!$B$4:$B$18,$B184)</f>
        <v>0</v>
      </c>
      <c r="M184" s="23">
        <f t="shared" si="45"/>
        <v>0</v>
      </c>
      <c r="N184" s="23">
        <f t="shared" si="46"/>
        <v>0</v>
      </c>
      <c r="O184" s="23">
        <f t="shared" si="47"/>
        <v>0</v>
      </c>
      <c r="P184" s="23">
        <f t="shared" si="48"/>
        <v>0</v>
      </c>
    </row>
    <row r="185" spans="1:16" hidden="1" x14ac:dyDescent="0.25">
      <c r="A185" s="27" t="s">
        <v>152</v>
      </c>
      <c r="B185" s="22" t="s">
        <v>129</v>
      </c>
      <c r="C185" s="22" t="s">
        <v>125</v>
      </c>
      <c r="D185" s="10" t="s">
        <v>38</v>
      </c>
      <c r="E185" s="23">
        <f>SUMIFS('Lista de Cargas'!P$4:P$18,'Lista de Cargas'!$H$4:$H$18,$D185,'Lista de Cargas'!$B$4:$B$18,$B185)</f>
        <v>0</v>
      </c>
      <c r="F185" s="23">
        <f>SUMIFS('Lista de Cargas'!Q$4:Q$18,'Lista de Cargas'!$H$4:$H$18,$D185,'Lista de Cargas'!$B$4:$B$18,$B185)</f>
        <v>0</v>
      </c>
      <c r="G185" s="23">
        <f>SUMIFS('Lista de Cargas'!R$4:R$18,'Lista de Cargas'!$H$4:$H$18,$D185,'Lista de Cargas'!$B$4:$B$18,$B185)</f>
        <v>0</v>
      </c>
      <c r="H185" s="23">
        <f>SUMIFS('Lista de Cargas'!S$4:S$18,'Lista de Cargas'!$H$4:$H$18,$D185,'Lista de Cargas'!$B$4:$B$18,$B185)</f>
        <v>0</v>
      </c>
      <c r="M185" s="23">
        <f t="shared" si="45"/>
        <v>0</v>
      </c>
      <c r="N185" s="23">
        <f t="shared" si="46"/>
        <v>0</v>
      </c>
      <c r="O185" s="23">
        <f t="shared" si="47"/>
        <v>0</v>
      </c>
      <c r="P185" s="23">
        <f t="shared" si="48"/>
        <v>0</v>
      </c>
    </row>
    <row r="186" spans="1:16" hidden="1" x14ac:dyDescent="0.25">
      <c r="A186" s="27" t="s">
        <v>152</v>
      </c>
      <c r="B186" s="22" t="s">
        <v>129</v>
      </c>
      <c r="C186" s="22" t="s">
        <v>125</v>
      </c>
      <c r="D186" s="10" t="s">
        <v>36</v>
      </c>
      <c r="E186" s="23">
        <f>SUMIFS('Lista de Cargas'!P$4:P$18,'Lista de Cargas'!$H$4:$H$18,$D186,'Lista de Cargas'!$B$4:$B$18,$B186)</f>
        <v>0</v>
      </c>
      <c r="F186" s="23">
        <f>SUMIFS('Lista de Cargas'!Q$4:Q$18,'Lista de Cargas'!$H$4:$H$18,$D186,'Lista de Cargas'!$B$4:$B$18,$B186)</f>
        <v>0</v>
      </c>
      <c r="G186" s="23">
        <f>SUMIFS('Lista de Cargas'!R$4:R$18,'Lista de Cargas'!$H$4:$H$18,$D186,'Lista de Cargas'!$B$4:$B$18,$B186)</f>
        <v>0</v>
      </c>
      <c r="H186" s="23">
        <f>SUMIFS('Lista de Cargas'!S$4:S$18,'Lista de Cargas'!$H$4:$H$18,$D186,'Lista de Cargas'!$B$4:$B$18,$B186)</f>
        <v>0</v>
      </c>
      <c r="M186" s="23">
        <f t="shared" si="45"/>
        <v>0</v>
      </c>
      <c r="N186" s="23">
        <f t="shared" si="46"/>
        <v>0</v>
      </c>
      <c r="O186" s="23">
        <f t="shared" si="47"/>
        <v>0</v>
      </c>
      <c r="P186" s="23">
        <f t="shared" si="48"/>
        <v>0</v>
      </c>
    </row>
    <row r="187" spans="1:16" hidden="1" x14ac:dyDescent="0.25">
      <c r="A187" s="27" t="s">
        <v>152</v>
      </c>
      <c r="B187" s="22" t="s">
        <v>129</v>
      </c>
      <c r="C187" s="22" t="s">
        <v>125</v>
      </c>
      <c r="D187" s="2" t="s">
        <v>118</v>
      </c>
      <c r="E187" s="23">
        <f>SUMIFS('Lista de Cargas'!P$4:P$18,'Lista de Cargas'!$H$4:$H$18,$D187,'Lista de Cargas'!$B$4:$B$18,$B187)</f>
        <v>0</v>
      </c>
      <c r="F187" s="23">
        <f>SUMIFS('Lista de Cargas'!Q$4:Q$18,'Lista de Cargas'!$H$4:$H$18,$D187,'Lista de Cargas'!$B$4:$B$18,$B187)</f>
        <v>0</v>
      </c>
      <c r="G187" s="23">
        <f>SUMIFS('Lista de Cargas'!R$4:R$18,'Lista de Cargas'!$H$4:$H$18,$D187,'Lista de Cargas'!$B$4:$B$18,$B187)</f>
        <v>0</v>
      </c>
      <c r="H187" s="23">
        <f>SUMIFS('Lista de Cargas'!S$4:S$18,'Lista de Cargas'!$H$4:$H$18,$D187,'Lista de Cargas'!$B$4:$B$18,$B187)</f>
        <v>0</v>
      </c>
      <c r="M187" s="23">
        <f t="shared" si="45"/>
        <v>0</v>
      </c>
      <c r="N187" s="23">
        <f t="shared" si="46"/>
        <v>0</v>
      </c>
      <c r="O187" s="23">
        <f t="shared" si="47"/>
        <v>0</v>
      </c>
      <c r="P187" s="23">
        <f t="shared" si="48"/>
        <v>0</v>
      </c>
    </row>
    <row r="188" spans="1:16" hidden="1" x14ac:dyDescent="0.25">
      <c r="A188" s="27" t="s">
        <v>152</v>
      </c>
      <c r="B188" s="22" t="s">
        <v>129</v>
      </c>
      <c r="C188" s="22" t="s">
        <v>125</v>
      </c>
      <c r="D188" s="10" t="s">
        <v>41</v>
      </c>
      <c r="E188" s="23">
        <f>SUMIFS('Lista de Cargas'!P$4:P$18,'Lista de Cargas'!$H$4:$H$18,$D188,'Lista de Cargas'!$B$4:$B$18,$B188)</f>
        <v>0</v>
      </c>
      <c r="F188" s="23">
        <f>SUMIFS('Lista de Cargas'!Q$4:Q$18,'Lista de Cargas'!$H$4:$H$18,$D188,'Lista de Cargas'!$B$4:$B$18,$B188)</f>
        <v>0</v>
      </c>
      <c r="G188" s="23">
        <f>SUMIFS('Lista de Cargas'!R$4:R$18,'Lista de Cargas'!$H$4:$H$18,$D188,'Lista de Cargas'!$B$4:$B$18,$B188)</f>
        <v>0</v>
      </c>
      <c r="H188" s="23">
        <f>SUMIFS('Lista de Cargas'!S$4:S$18,'Lista de Cargas'!$H$4:$H$18,$D188,'Lista de Cargas'!$B$4:$B$18,$B188)</f>
        <v>0</v>
      </c>
      <c r="M188" s="23">
        <f t="shared" si="45"/>
        <v>0</v>
      </c>
      <c r="N188" s="23">
        <f t="shared" si="46"/>
        <v>0</v>
      </c>
      <c r="O188" s="23">
        <f t="shared" si="47"/>
        <v>0</v>
      </c>
      <c r="P188" s="23">
        <f t="shared" si="48"/>
        <v>0</v>
      </c>
    </row>
    <row r="189" spans="1:16" hidden="1" x14ac:dyDescent="0.25">
      <c r="A189" s="27" t="s">
        <v>152</v>
      </c>
      <c r="B189" s="22" t="s">
        <v>129</v>
      </c>
      <c r="C189" s="22" t="s">
        <v>125</v>
      </c>
      <c r="D189" s="10" t="s">
        <v>42</v>
      </c>
      <c r="E189" s="23">
        <f>SUMIFS('Lista de Cargas'!P$4:P$18,'Lista de Cargas'!$H$4:$H$18,$D189,'Lista de Cargas'!$B$4:$B$18,$B189)</f>
        <v>0</v>
      </c>
      <c r="F189" s="23">
        <f>SUMIFS('Lista de Cargas'!Q$4:Q$18,'Lista de Cargas'!$H$4:$H$18,$D189,'Lista de Cargas'!$B$4:$B$18,$B189)</f>
        <v>0</v>
      </c>
      <c r="G189" s="23">
        <f>SUMIFS('Lista de Cargas'!R$4:R$18,'Lista de Cargas'!$H$4:$H$18,$D189,'Lista de Cargas'!$B$4:$B$18,$B189)</f>
        <v>0</v>
      </c>
      <c r="H189" s="23">
        <f>SUMIFS('Lista de Cargas'!S$4:S$18,'Lista de Cargas'!$H$4:$H$18,$D189,'Lista de Cargas'!$B$4:$B$18,$B189)</f>
        <v>0</v>
      </c>
      <c r="M189" s="23">
        <f t="shared" si="45"/>
        <v>0</v>
      </c>
      <c r="N189" s="23">
        <f t="shared" si="46"/>
        <v>0</v>
      </c>
      <c r="O189" s="23">
        <f t="shared" si="47"/>
        <v>0</v>
      </c>
      <c r="P189" s="23">
        <f t="shared" si="48"/>
        <v>0</v>
      </c>
    </row>
    <row r="190" spans="1:16" s="43" customFormat="1" hidden="1" x14ac:dyDescent="0.25">
      <c r="A190" s="38" t="s">
        <v>152</v>
      </c>
      <c r="B190" s="39" t="s">
        <v>129</v>
      </c>
      <c r="C190" s="45" t="s">
        <v>125</v>
      </c>
      <c r="D190" s="41" t="s">
        <v>47</v>
      </c>
      <c r="E190" s="40">
        <f>SUM(E183:E189)</f>
        <v>0</v>
      </c>
      <c r="F190" s="40">
        <f>SUM(F183:F189)</f>
        <v>0</v>
      </c>
      <c r="G190" s="40">
        <f>SUM(G183:G189)</f>
        <v>0</v>
      </c>
      <c r="H190" s="40">
        <f>SUM(H183:H189)</f>
        <v>0</v>
      </c>
      <c r="I190" s="42"/>
      <c r="J190" s="42"/>
      <c r="M190" s="44"/>
      <c r="N190" s="44"/>
      <c r="O190" s="44"/>
      <c r="P190" s="44"/>
    </row>
    <row r="191" spans="1:16" s="43" customFormat="1" hidden="1" x14ac:dyDescent="0.25">
      <c r="A191" s="45" t="s">
        <v>2</v>
      </c>
      <c r="B191" s="45" t="s">
        <v>2</v>
      </c>
      <c r="C191" s="46"/>
      <c r="D191" s="47" t="s">
        <v>2</v>
      </c>
      <c r="E191" s="48" t="e">
        <f>E190/E$247</f>
        <v>#DIV/0!</v>
      </c>
      <c r="F191" s="48" t="e">
        <f>F190/F$247</f>
        <v>#DIV/0!</v>
      </c>
      <c r="G191" s="48" t="e">
        <f>G190/G$247</f>
        <v>#DIV/0!</v>
      </c>
      <c r="H191" s="48" t="e">
        <f>H190/H$247</f>
        <v>#DIV/0!</v>
      </c>
      <c r="I191" s="42"/>
      <c r="J191" s="42"/>
      <c r="M191" s="44"/>
      <c r="N191" s="44"/>
      <c r="O191" s="44"/>
      <c r="P191" s="44"/>
    </row>
    <row r="192" spans="1:16" hidden="1" x14ac:dyDescent="0.25">
      <c r="A192" s="27"/>
      <c r="B192" s="22" t="s">
        <v>144</v>
      </c>
      <c r="C192" s="22" t="s">
        <v>2</v>
      </c>
      <c r="D192" s="2" t="s">
        <v>76</v>
      </c>
      <c r="E192" s="23">
        <f>SUMIFS('Lista de Cargas'!P$4:P$18,'Lista de Cargas'!$H$4:$H$18,$D192,'Lista de Cargas'!$B$4:$B$18,$B192)</f>
        <v>0</v>
      </c>
      <c r="F192" s="23">
        <f>SUMIFS('Lista de Cargas'!Q$4:Q$18,'Lista de Cargas'!$H$4:$H$18,$D192,'Lista de Cargas'!$B$4:$B$18,$B192)</f>
        <v>0</v>
      </c>
      <c r="G192" s="23">
        <f>SUMIFS('Lista de Cargas'!R$4:R$18,'Lista de Cargas'!$H$4:$H$18,$D192,'Lista de Cargas'!$B$4:$B$18,$B192)</f>
        <v>0</v>
      </c>
      <c r="H192" s="23">
        <f>SUMIFS('Lista de Cargas'!S$4:S$18,'Lista de Cargas'!$H$4:$H$18,$D192,'Lista de Cargas'!$B$4:$B$18,$B192)</f>
        <v>0</v>
      </c>
      <c r="K192" s="30"/>
      <c r="L192" s="30"/>
      <c r="M192" s="23">
        <f t="shared" ref="M192:M198" si="49">E192</f>
        <v>0</v>
      </c>
      <c r="N192" s="23">
        <f t="shared" ref="N192:N198" si="50">F192</f>
        <v>0</v>
      </c>
      <c r="O192" s="23">
        <f t="shared" ref="O192:O198" si="51">G192</f>
        <v>0</v>
      </c>
      <c r="P192" s="23">
        <f t="shared" ref="P192:P198" si="52">H192</f>
        <v>0</v>
      </c>
    </row>
    <row r="193" spans="1:16" hidden="1" x14ac:dyDescent="0.25">
      <c r="A193" s="27"/>
      <c r="B193" s="22" t="s">
        <v>144</v>
      </c>
      <c r="C193" s="22" t="s">
        <v>2</v>
      </c>
      <c r="D193" s="10" t="s">
        <v>37</v>
      </c>
      <c r="E193" s="23">
        <f>SUMIFS('Lista de Cargas'!P$4:P$18,'Lista de Cargas'!$H$4:$H$18,$D193,'Lista de Cargas'!$B$4:$B$18,$B193)</f>
        <v>0</v>
      </c>
      <c r="F193" s="23">
        <f>SUMIFS('Lista de Cargas'!Q$4:Q$18,'Lista de Cargas'!$H$4:$H$18,$D193,'Lista de Cargas'!$B$4:$B$18,$B193)</f>
        <v>0</v>
      </c>
      <c r="G193" s="23">
        <f>SUMIFS('Lista de Cargas'!R$4:R$18,'Lista de Cargas'!$H$4:$H$18,$D193,'Lista de Cargas'!$B$4:$B$18,$B193)</f>
        <v>0</v>
      </c>
      <c r="H193" s="23">
        <f>SUMIFS('Lista de Cargas'!S$4:S$18,'Lista de Cargas'!$H$4:$H$18,$D193,'Lista de Cargas'!$B$4:$B$18,$B193)</f>
        <v>0</v>
      </c>
      <c r="M193" s="23">
        <f t="shared" si="49"/>
        <v>0</v>
      </c>
      <c r="N193" s="23">
        <f t="shared" si="50"/>
        <v>0</v>
      </c>
      <c r="O193" s="23">
        <f t="shared" si="51"/>
        <v>0</v>
      </c>
      <c r="P193" s="23">
        <f t="shared" si="52"/>
        <v>0</v>
      </c>
    </row>
    <row r="194" spans="1:16" hidden="1" x14ac:dyDescent="0.25">
      <c r="A194" s="27"/>
      <c r="B194" s="22" t="s">
        <v>144</v>
      </c>
      <c r="C194" s="22" t="s">
        <v>2</v>
      </c>
      <c r="D194" s="10" t="s">
        <v>38</v>
      </c>
      <c r="E194" s="23">
        <f>SUMIFS('Lista de Cargas'!P$4:P$18,'Lista de Cargas'!$H$4:$H$18,$D194,'Lista de Cargas'!$B$4:$B$18,$B194)</f>
        <v>0</v>
      </c>
      <c r="F194" s="23">
        <f>SUMIFS('Lista de Cargas'!Q$4:Q$18,'Lista de Cargas'!$H$4:$H$18,$D194,'Lista de Cargas'!$B$4:$B$18,$B194)</f>
        <v>0</v>
      </c>
      <c r="G194" s="23">
        <f>SUMIFS('Lista de Cargas'!R$4:R$18,'Lista de Cargas'!$H$4:$H$18,$D194,'Lista de Cargas'!$B$4:$B$18,$B194)</f>
        <v>0</v>
      </c>
      <c r="H194" s="23">
        <f>SUMIFS('Lista de Cargas'!S$4:S$18,'Lista de Cargas'!$H$4:$H$18,$D194,'Lista de Cargas'!$B$4:$B$18,$B194)</f>
        <v>0</v>
      </c>
      <c r="M194" s="23">
        <f t="shared" si="49"/>
        <v>0</v>
      </c>
      <c r="N194" s="23">
        <f t="shared" si="50"/>
        <v>0</v>
      </c>
      <c r="O194" s="23">
        <f t="shared" si="51"/>
        <v>0</v>
      </c>
      <c r="P194" s="23">
        <f t="shared" si="52"/>
        <v>0</v>
      </c>
    </row>
    <row r="195" spans="1:16" hidden="1" x14ac:dyDescent="0.25">
      <c r="A195" s="27"/>
      <c r="B195" s="22" t="s">
        <v>144</v>
      </c>
      <c r="C195" s="22" t="s">
        <v>2</v>
      </c>
      <c r="D195" s="10" t="s">
        <v>36</v>
      </c>
      <c r="E195" s="23">
        <f>SUMIFS('Lista de Cargas'!P$4:P$18,'Lista de Cargas'!$H$4:$H$18,$D195,'Lista de Cargas'!$B$4:$B$18,$B195)</f>
        <v>0</v>
      </c>
      <c r="F195" s="23">
        <f>SUMIFS('Lista de Cargas'!Q$4:Q$18,'Lista de Cargas'!$H$4:$H$18,$D195,'Lista de Cargas'!$B$4:$B$18,$B195)</f>
        <v>0</v>
      </c>
      <c r="G195" s="23">
        <f>SUMIFS('Lista de Cargas'!R$4:R$18,'Lista de Cargas'!$H$4:$H$18,$D195,'Lista de Cargas'!$B$4:$B$18,$B195)</f>
        <v>0</v>
      </c>
      <c r="H195" s="23">
        <f>SUMIFS('Lista de Cargas'!S$4:S$18,'Lista de Cargas'!$H$4:$H$18,$D195,'Lista de Cargas'!$B$4:$B$18,$B195)</f>
        <v>0</v>
      </c>
      <c r="M195" s="23">
        <f t="shared" si="49"/>
        <v>0</v>
      </c>
      <c r="N195" s="23">
        <f t="shared" si="50"/>
        <v>0</v>
      </c>
      <c r="O195" s="23">
        <f t="shared" si="51"/>
        <v>0</v>
      </c>
      <c r="P195" s="23">
        <f t="shared" si="52"/>
        <v>0</v>
      </c>
    </row>
    <row r="196" spans="1:16" hidden="1" x14ac:dyDescent="0.25">
      <c r="A196" s="27"/>
      <c r="B196" s="22" t="s">
        <v>144</v>
      </c>
      <c r="C196" s="22" t="s">
        <v>2</v>
      </c>
      <c r="D196" s="2" t="s">
        <v>118</v>
      </c>
      <c r="E196" s="23">
        <f>SUMIFS('Lista de Cargas'!P$4:P$18,'Lista de Cargas'!$H$4:$H$18,$D196,'Lista de Cargas'!$B$4:$B$18,$B196)</f>
        <v>0</v>
      </c>
      <c r="F196" s="23">
        <f>SUMIFS('Lista de Cargas'!Q$4:Q$18,'Lista de Cargas'!$H$4:$H$18,$D196,'Lista de Cargas'!$B$4:$B$18,$B196)</f>
        <v>0</v>
      </c>
      <c r="G196" s="23">
        <f>SUMIFS('Lista de Cargas'!R$4:R$18,'Lista de Cargas'!$H$4:$H$18,$D196,'Lista de Cargas'!$B$4:$B$18,$B196)</f>
        <v>0</v>
      </c>
      <c r="H196" s="23">
        <f>SUMIFS('Lista de Cargas'!S$4:S$18,'Lista de Cargas'!$H$4:$H$18,$D196,'Lista de Cargas'!$B$4:$B$18,$B196)</f>
        <v>0</v>
      </c>
      <c r="M196" s="23">
        <f t="shared" si="49"/>
        <v>0</v>
      </c>
      <c r="N196" s="23">
        <f t="shared" si="50"/>
        <v>0</v>
      </c>
      <c r="O196" s="23">
        <f t="shared" si="51"/>
        <v>0</v>
      </c>
      <c r="P196" s="23">
        <f t="shared" si="52"/>
        <v>0</v>
      </c>
    </row>
    <row r="197" spans="1:16" hidden="1" x14ac:dyDescent="0.25">
      <c r="A197" s="27"/>
      <c r="B197" s="22" t="s">
        <v>144</v>
      </c>
      <c r="C197" s="22" t="s">
        <v>2</v>
      </c>
      <c r="D197" s="10" t="s">
        <v>41</v>
      </c>
      <c r="E197" s="23">
        <f>SUMIFS('Lista de Cargas'!P$4:P$18,'Lista de Cargas'!$H$4:$H$18,$D197,'Lista de Cargas'!$B$4:$B$18,$B197)</f>
        <v>0</v>
      </c>
      <c r="F197" s="23">
        <f>SUMIFS('Lista de Cargas'!Q$4:Q$18,'Lista de Cargas'!$H$4:$H$18,$D197,'Lista de Cargas'!$B$4:$B$18,$B197)</f>
        <v>0</v>
      </c>
      <c r="G197" s="23">
        <f>SUMIFS('Lista de Cargas'!R$4:R$18,'Lista de Cargas'!$H$4:$H$18,$D197,'Lista de Cargas'!$B$4:$B$18,$B197)</f>
        <v>0</v>
      </c>
      <c r="H197" s="23">
        <f>SUMIFS('Lista de Cargas'!S$4:S$18,'Lista de Cargas'!$H$4:$H$18,$D197,'Lista de Cargas'!$B$4:$B$18,$B197)</f>
        <v>0</v>
      </c>
      <c r="M197" s="23">
        <f t="shared" si="49"/>
        <v>0</v>
      </c>
      <c r="N197" s="23">
        <f t="shared" si="50"/>
        <v>0</v>
      </c>
      <c r="O197" s="23">
        <f t="shared" si="51"/>
        <v>0</v>
      </c>
      <c r="P197" s="23">
        <f t="shared" si="52"/>
        <v>0</v>
      </c>
    </row>
    <row r="198" spans="1:16" hidden="1" x14ac:dyDescent="0.25">
      <c r="A198" s="27"/>
      <c r="B198" s="22" t="s">
        <v>144</v>
      </c>
      <c r="C198" s="22" t="s">
        <v>2</v>
      </c>
      <c r="D198" s="10" t="s">
        <v>42</v>
      </c>
      <c r="E198" s="23">
        <f>SUMIFS('Lista de Cargas'!P$4:P$18,'Lista de Cargas'!$H$4:$H$18,$D198,'Lista de Cargas'!$B$4:$B$18,$B198)</f>
        <v>0</v>
      </c>
      <c r="F198" s="23">
        <f>SUMIFS('Lista de Cargas'!Q$4:Q$18,'Lista de Cargas'!$H$4:$H$18,$D198,'Lista de Cargas'!$B$4:$B$18,$B198)</f>
        <v>0</v>
      </c>
      <c r="G198" s="23">
        <f>SUMIFS('Lista de Cargas'!R$4:R$18,'Lista de Cargas'!$H$4:$H$18,$D198,'Lista de Cargas'!$B$4:$B$18,$B198)</f>
        <v>0</v>
      </c>
      <c r="H198" s="23">
        <f>SUMIFS('Lista de Cargas'!S$4:S$18,'Lista de Cargas'!$H$4:$H$18,$D198,'Lista de Cargas'!$B$4:$B$18,$B198)</f>
        <v>0</v>
      </c>
      <c r="M198" s="23">
        <f t="shared" si="49"/>
        <v>0</v>
      </c>
      <c r="N198" s="23">
        <f t="shared" si="50"/>
        <v>0</v>
      </c>
      <c r="O198" s="23">
        <f t="shared" si="51"/>
        <v>0</v>
      </c>
      <c r="P198" s="23">
        <f t="shared" si="52"/>
        <v>0</v>
      </c>
    </row>
    <row r="199" spans="1:16" s="43" customFormat="1" hidden="1" x14ac:dyDescent="0.25">
      <c r="A199" s="38"/>
      <c r="B199" s="39" t="s">
        <v>144</v>
      </c>
      <c r="C199" s="45" t="s">
        <v>2</v>
      </c>
      <c r="D199" s="41" t="s">
        <v>47</v>
      </c>
      <c r="E199" s="40">
        <f>SUM(E192:E198)</f>
        <v>0</v>
      </c>
      <c r="F199" s="40">
        <f>SUM(F192:F198)</f>
        <v>0</v>
      </c>
      <c r="G199" s="40">
        <f>SUM(G192:G198)</f>
        <v>0</v>
      </c>
      <c r="H199" s="40">
        <f>SUM(H192:H198)</f>
        <v>0</v>
      </c>
      <c r="I199" s="42"/>
      <c r="J199" s="42"/>
      <c r="M199" s="44"/>
      <c r="N199" s="44"/>
      <c r="O199" s="44"/>
      <c r="P199" s="44"/>
    </row>
    <row r="200" spans="1:16" s="43" customFormat="1" hidden="1" x14ac:dyDescent="0.25">
      <c r="A200" s="45" t="s">
        <v>2</v>
      </c>
      <c r="B200" s="45" t="s">
        <v>2</v>
      </c>
      <c r="C200" s="46"/>
      <c r="D200" s="47" t="s">
        <v>2</v>
      </c>
      <c r="E200" s="48" t="e">
        <f>E199/E$247</f>
        <v>#DIV/0!</v>
      </c>
      <c r="F200" s="48" t="e">
        <f>F199/F$247</f>
        <v>#DIV/0!</v>
      </c>
      <c r="G200" s="48" t="e">
        <f>G199/G$247</f>
        <v>#DIV/0!</v>
      </c>
      <c r="H200" s="48" t="e">
        <f>H199/H$247</f>
        <v>#DIV/0!</v>
      </c>
      <c r="I200" s="42"/>
      <c r="J200" s="42"/>
      <c r="M200" s="44"/>
      <c r="N200" s="44"/>
      <c r="O200" s="44"/>
      <c r="P200" s="44"/>
    </row>
    <row r="201" spans="1:16" hidden="1" x14ac:dyDescent="0.25">
      <c r="A201" s="27"/>
      <c r="B201" s="22" t="s">
        <v>145</v>
      </c>
      <c r="C201" s="22" t="s">
        <v>2</v>
      </c>
      <c r="D201" s="2" t="s">
        <v>76</v>
      </c>
      <c r="E201" s="23">
        <f>SUMIFS('Lista de Cargas'!P$4:P$18,'Lista de Cargas'!$H$4:$H$18,$D201,'Lista de Cargas'!$B$4:$B$18,$B201)</f>
        <v>0</v>
      </c>
      <c r="F201" s="23">
        <f>SUMIFS('Lista de Cargas'!Q$4:Q$18,'Lista de Cargas'!$H$4:$H$18,$D201,'Lista de Cargas'!$B$4:$B$18,$B201)</f>
        <v>0</v>
      </c>
      <c r="G201" s="23">
        <f>SUMIFS('Lista de Cargas'!R$4:R$18,'Lista de Cargas'!$H$4:$H$18,$D201,'Lista de Cargas'!$B$4:$B$18,$B201)</f>
        <v>0</v>
      </c>
      <c r="H201" s="23">
        <f>SUMIFS('Lista de Cargas'!S$4:S$18,'Lista de Cargas'!$H$4:$H$18,$D201,'Lista de Cargas'!$B$4:$B$18,$B201)</f>
        <v>0</v>
      </c>
      <c r="K201" s="30"/>
      <c r="L201" s="30"/>
      <c r="M201" s="23">
        <f t="shared" ref="M201:M207" si="53">E201</f>
        <v>0</v>
      </c>
      <c r="N201" s="23">
        <f t="shared" ref="N201:N207" si="54">F201</f>
        <v>0</v>
      </c>
      <c r="O201" s="23">
        <f t="shared" ref="O201:O207" si="55">G201</f>
        <v>0</v>
      </c>
      <c r="P201" s="23">
        <f t="shared" ref="P201:P207" si="56">H201</f>
        <v>0</v>
      </c>
    </row>
    <row r="202" spans="1:16" hidden="1" x14ac:dyDescent="0.25">
      <c r="A202" s="27"/>
      <c r="B202" s="22" t="s">
        <v>145</v>
      </c>
      <c r="C202" s="22" t="s">
        <v>2</v>
      </c>
      <c r="D202" s="10" t="s">
        <v>37</v>
      </c>
      <c r="E202" s="23">
        <f>SUMIFS('Lista de Cargas'!P$4:P$18,'Lista de Cargas'!$H$4:$H$18,$D202,'Lista de Cargas'!$B$4:$B$18,$B202)</f>
        <v>0</v>
      </c>
      <c r="F202" s="23">
        <f>SUMIFS('Lista de Cargas'!Q$4:Q$18,'Lista de Cargas'!$H$4:$H$18,$D202,'Lista de Cargas'!$B$4:$B$18,$B202)</f>
        <v>0</v>
      </c>
      <c r="G202" s="23">
        <f>SUMIFS('Lista de Cargas'!R$4:R$18,'Lista de Cargas'!$H$4:$H$18,$D202,'Lista de Cargas'!$B$4:$B$18,$B202)</f>
        <v>0</v>
      </c>
      <c r="H202" s="23">
        <f>SUMIFS('Lista de Cargas'!S$4:S$18,'Lista de Cargas'!$H$4:$H$18,$D202,'Lista de Cargas'!$B$4:$B$18,$B202)</f>
        <v>0</v>
      </c>
      <c r="M202" s="23">
        <f t="shared" si="53"/>
        <v>0</v>
      </c>
      <c r="N202" s="23">
        <f t="shared" si="54"/>
        <v>0</v>
      </c>
      <c r="O202" s="23">
        <f t="shared" si="55"/>
        <v>0</v>
      </c>
      <c r="P202" s="23">
        <f t="shared" si="56"/>
        <v>0</v>
      </c>
    </row>
    <row r="203" spans="1:16" hidden="1" x14ac:dyDescent="0.25">
      <c r="A203" s="27"/>
      <c r="B203" s="22" t="s">
        <v>145</v>
      </c>
      <c r="C203" s="22" t="s">
        <v>2</v>
      </c>
      <c r="D203" s="10" t="s">
        <v>38</v>
      </c>
      <c r="E203" s="23">
        <f>SUMIFS('Lista de Cargas'!P$4:P$18,'Lista de Cargas'!$H$4:$H$18,$D203,'Lista de Cargas'!$B$4:$B$18,$B203)</f>
        <v>0</v>
      </c>
      <c r="F203" s="23">
        <f>SUMIFS('Lista de Cargas'!Q$4:Q$18,'Lista de Cargas'!$H$4:$H$18,$D203,'Lista de Cargas'!$B$4:$B$18,$B203)</f>
        <v>0</v>
      </c>
      <c r="G203" s="23">
        <f>SUMIFS('Lista de Cargas'!R$4:R$18,'Lista de Cargas'!$H$4:$H$18,$D203,'Lista de Cargas'!$B$4:$B$18,$B203)</f>
        <v>0</v>
      </c>
      <c r="H203" s="23">
        <f>SUMIFS('Lista de Cargas'!S$4:S$18,'Lista de Cargas'!$H$4:$H$18,$D203,'Lista de Cargas'!$B$4:$B$18,$B203)</f>
        <v>0</v>
      </c>
      <c r="M203" s="23">
        <f t="shared" si="53"/>
        <v>0</v>
      </c>
      <c r="N203" s="23">
        <f t="shared" si="54"/>
        <v>0</v>
      </c>
      <c r="O203" s="23">
        <f t="shared" si="55"/>
        <v>0</v>
      </c>
      <c r="P203" s="23">
        <f t="shared" si="56"/>
        <v>0</v>
      </c>
    </row>
    <row r="204" spans="1:16" hidden="1" x14ac:dyDescent="0.25">
      <c r="A204" s="27"/>
      <c r="B204" s="22" t="s">
        <v>145</v>
      </c>
      <c r="C204" s="22" t="s">
        <v>2</v>
      </c>
      <c r="D204" s="10" t="s">
        <v>36</v>
      </c>
      <c r="E204" s="23">
        <f>SUMIFS('Lista de Cargas'!P$4:P$18,'Lista de Cargas'!$H$4:$H$18,$D204,'Lista de Cargas'!$B$4:$B$18,$B204)</f>
        <v>0</v>
      </c>
      <c r="F204" s="23">
        <f>SUMIFS('Lista de Cargas'!Q$4:Q$18,'Lista de Cargas'!$H$4:$H$18,$D204,'Lista de Cargas'!$B$4:$B$18,$B204)</f>
        <v>0</v>
      </c>
      <c r="G204" s="23">
        <f>SUMIFS('Lista de Cargas'!R$4:R$18,'Lista de Cargas'!$H$4:$H$18,$D204,'Lista de Cargas'!$B$4:$B$18,$B204)</f>
        <v>0</v>
      </c>
      <c r="H204" s="23">
        <f>SUMIFS('Lista de Cargas'!S$4:S$18,'Lista de Cargas'!$H$4:$H$18,$D204,'Lista de Cargas'!$B$4:$B$18,$B204)</f>
        <v>0</v>
      </c>
      <c r="M204" s="23">
        <f t="shared" si="53"/>
        <v>0</v>
      </c>
      <c r="N204" s="23">
        <f t="shared" si="54"/>
        <v>0</v>
      </c>
      <c r="O204" s="23">
        <f t="shared" si="55"/>
        <v>0</v>
      </c>
      <c r="P204" s="23">
        <f t="shared" si="56"/>
        <v>0</v>
      </c>
    </row>
    <row r="205" spans="1:16" hidden="1" x14ac:dyDescent="0.25">
      <c r="A205" s="27"/>
      <c r="B205" s="22" t="s">
        <v>145</v>
      </c>
      <c r="C205" s="22" t="s">
        <v>2</v>
      </c>
      <c r="D205" s="2" t="s">
        <v>118</v>
      </c>
      <c r="E205" s="23">
        <f>SUMIFS('Lista de Cargas'!P$4:P$18,'Lista de Cargas'!$H$4:$H$18,$D205,'Lista de Cargas'!$B$4:$B$18,$B205)</f>
        <v>0</v>
      </c>
      <c r="F205" s="23">
        <f>SUMIFS('Lista de Cargas'!Q$4:Q$18,'Lista de Cargas'!$H$4:$H$18,$D205,'Lista de Cargas'!$B$4:$B$18,$B205)</f>
        <v>0</v>
      </c>
      <c r="G205" s="23">
        <f>SUMIFS('Lista de Cargas'!R$4:R$18,'Lista de Cargas'!$H$4:$H$18,$D205,'Lista de Cargas'!$B$4:$B$18,$B205)</f>
        <v>0</v>
      </c>
      <c r="H205" s="23">
        <f>SUMIFS('Lista de Cargas'!S$4:S$18,'Lista de Cargas'!$H$4:$H$18,$D205,'Lista de Cargas'!$B$4:$B$18,$B205)</f>
        <v>0</v>
      </c>
      <c r="M205" s="23">
        <f t="shared" si="53"/>
        <v>0</v>
      </c>
      <c r="N205" s="23">
        <f t="shared" si="54"/>
        <v>0</v>
      </c>
      <c r="O205" s="23">
        <f t="shared" si="55"/>
        <v>0</v>
      </c>
      <c r="P205" s="23">
        <f t="shared" si="56"/>
        <v>0</v>
      </c>
    </row>
    <row r="206" spans="1:16" hidden="1" x14ac:dyDescent="0.25">
      <c r="A206" s="27"/>
      <c r="B206" s="22" t="s">
        <v>145</v>
      </c>
      <c r="C206" s="22" t="s">
        <v>2</v>
      </c>
      <c r="D206" s="10" t="s">
        <v>41</v>
      </c>
      <c r="E206" s="23">
        <f>SUMIFS('Lista de Cargas'!P$4:P$18,'Lista de Cargas'!$H$4:$H$18,$D206,'Lista de Cargas'!$B$4:$B$18,$B206)</f>
        <v>0</v>
      </c>
      <c r="F206" s="23">
        <f>SUMIFS('Lista de Cargas'!Q$4:Q$18,'Lista de Cargas'!$H$4:$H$18,$D206,'Lista de Cargas'!$B$4:$B$18,$B206)</f>
        <v>0</v>
      </c>
      <c r="G206" s="23">
        <f>SUMIFS('Lista de Cargas'!R$4:R$18,'Lista de Cargas'!$H$4:$H$18,$D206,'Lista de Cargas'!$B$4:$B$18,$B206)</f>
        <v>0</v>
      </c>
      <c r="H206" s="23">
        <f>SUMIFS('Lista de Cargas'!S$4:S$18,'Lista de Cargas'!$H$4:$H$18,$D206,'Lista de Cargas'!$B$4:$B$18,$B206)</f>
        <v>0</v>
      </c>
      <c r="M206" s="23">
        <f t="shared" si="53"/>
        <v>0</v>
      </c>
      <c r="N206" s="23">
        <f t="shared" si="54"/>
        <v>0</v>
      </c>
      <c r="O206" s="23">
        <f t="shared" si="55"/>
        <v>0</v>
      </c>
      <c r="P206" s="23">
        <f t="shared" si="56"/>
        <v>0</v>
      </c>
    </row>
    <row r="207" spans="1:16" hidden="1" x14ac:dyDescent="0.25">
      <c r="A207" s="27"/>
      <c r="B207" s="22" t="s">
        <v>145</v>
      </c>
      <c r="C207" s="22" t="s">
        <v>2</v>
      </c>
      <c r="D207" s="10" t="s">
        <v>42</v>
      </c>
      <c r="E207" s="23">
        <f>SUMIFS('Lista de Cargas'!P$4:P$18,'Lista de Cargas'!$H$4:$H$18,$D207,'Lista de Cargas'!$B$4:$B$18,$B207)</f>
        <v>0</v>
      </c>
      <c r="F207" s="23">
        <f>SUMIFS('Lista de Cargas'!Q$4:Q$18,'Lista de Cargas'!$H$4:$H$18,$D207,'Lista de Cargas'!$B$4:$B$18,$B207)</f>
        <v>0</v>
      </c>
      <c r="G207" s="23">
        <f>SUMIFS('Lista de Cargas'!R$4:R$18,'Lista de Cargas'!$H$4:$H$18,$D207,'Lista de Cargas'!$B$4:$B$18,$B207)</f>
        <v>0</v>
      </c>
      <c r="H207" s="23">
        <f>SUMIFS('Lista de Cargas'!S$4:S$18,'Lista de Cargas'!$H$4:$H$18,$D207,'Lista de Cargas'!$B$4:$B$18,$B207)</f>
        <v>0</v>
      </c>
      <c r="M207" s="23">
        <f t="shared" si="53"/>
        <v>0</v>
      </c>
      <c r="N207" s="23">
        <f t="shared" si="54"/>
        <v>0</v>
      </c>
      <c r="O207" s="23">
        <f t="shared" si="55"/>
        <v>0</v>
      </c>
      <c r="P207" s="23">
        <f t="shared" si="56"/>
        <v>0</v>
      </c>
    </row>
    <row r="208" spans="1:16" s="43" customFormat="1" hidden="1" x14ac:dyDescent="0.25">
      <c r="A208" s="38"/>
      <c r="B208" s="39" t="s">
        <v>145</v>
      </c>
      <c r="C208" s="45" t="s">
        <v>2</v>
      </c>
      <c r="D208" s="41" t="s">
        <v>47</v>
      </c>
      <c r="E208" s="40">
        <f>SUM(E201:E207)</f>
        <v>0</v>
      </c>
      <c r="F208" s="40">
        <f>SUM(F201:F207)</f>
        <v>0</v>
      </c>
      <c r="G208" s="40">
        <f>SUM(G201:G207)</f>
        <v>0</v>
      </c>
      <c r="H208" s="40">
        <f>SUM(H201:H207)</f>
        <v>0</v>
      </c>
      <c r="I208" s="42"/>
      <c r="J208" s="42"/>
      <c r="M208" s="44"/>
      <c r="N208" s="44"/>
      <c r="O208" s="44"/>
      <c r="P208" s="44"/>
    </row>
    <row r="209" spans="1:16" s="43" customFormat="1" hidden="1" x14ac:dyDescent="0.25">
      <c r="A209" s="45" t="s">
        <v>2</v>
      </c>
      <c r="B209" s="45" t="s">
        <v>2</v>
      </c>
      <c r="C209" s="46"/>
      <c r="D209" s="47" t="s">
        <v>2</v>
      </c>
      <c r="E209" s="48" t="e">
        <f>E208/E$247</f>
        <v>#DIV/0!</v>
      </c>
      <c r="F209" s="48" t="e">
        <f>F208/F$247</f>
        <v>#DIV/0!</v>
      </c>
      <c r="G209" s="48" t="e">
        <f>G208/G$247</f>
        <v>#DIV/0!</v>
      </c>
      <c r="H209" s="48" t="e">
        <f>H208/H$247</f>
        <v>#DIV/0!</v>
      </c>
      <c r="I209" s="42"/>
      <c r="J209" s="42"/>
      <c r="M209" s="44"/>
      <c r="N209" s="44"/>
      <c r="O209" s="44"/>
      <c r="P209" s="44"/>
    </row>
    <row r="210" spans="1:16" hidden="1" x14ac:dyDescent="0.25">
      <c r="A210" s="27"/>
      <c r="B210" s="22" t="s">
        <v>146</v>
      </c>
      <c r="C210" s="22" t="s">
        <v>2</v>
      </c>
      <c r="D210" s="2" t="s">
        <v>76</v>
      </c>
      <c r="E210" s="23">
        <f>SUMIFS('Lista de Cargas'!P$4:P$18,'Lista de Cargas'!$H$4:$H$18,$D210,'Lista de Cargas'!$B$4:$B$18,$B210)</f>
        <v>0</v>
      </c>
      <c r="F210" s="23">
        <f>SUMIFS('Lista de Cargas'!Q$4:Q$18,'Lista de Cargas'!$H$4:$H$18,$D210,'Lista de Cargas'!$B$4:$B$18,$B210)</f>
        <v>0</v>
      </c>
      <c r="G210" s="23">
        <f>SUMIFS('Lista de Cargas'!R$4:R$18,'Lista de Cargas'!$H$4:$H$18,$D210,'Lista de Cargas'!$B$4:$B$18,$B210)</f>
        <v>0</v>
      </c>
      <c r="H210" s="23">
        <f>SUMIFS('Lista de Cargas'!S$4:S$18,'Lista de Cargas'!$H$4:$H$18,$D210,'Lista de Cargas'!$B$4:$B$18,$B210)</f>
        <v>0</v>
      </c>
      <c r="K210" s="30"/>
      <c r="L210" s="30"/>
      <c r="M210" s="23">
        <f t="shared" ref="M210:M216" si="57">E210</f>
        <v>0</v>
      </c>
      <c r="N210" s="23">
        <f t="shared" ref="N210:N216" si="58">F210</f>
        <v>0</v>
      </c>
      <c r="O210" s="23">
        <f t="shared" ref="O210:O216" si="59">G210</f>
        <v>0</v>
      </c>
      <c r="P210" s="23">
        <f t="shared" ref="P210:P216" si="60">H210</f>
        <v>0</v>
      </c>
    </row>
    <row r="211" spans="1:16" hidden="1" x14ac:dyDescent="0.25">
      <c r="A211" s="27"/>
      <c r="B211" s="22" t="s">
        <v>146</v>
      </c>
      <c r="C211" s="22" t="s">
        <v>2</v>
      </c>
      <c r="D211" s="10" t="s">
        <v>37</v>
      </c>
      <c r="E211" s="23">
        <f>SUMIFS('Lista de Cargas'!P$4:P$18,'Lista de Cargas'!$H$4:$H$18,$D211,'Lista de Cargas'!$B$4:$B$18,$B211)</f>
        <v>0</v>
      </c>
      <c r="F211" s="23">
        <f>SUMIFS('Lista de Cargas'!Q$4:Q$18,'Lista de Cargas'!$H$4:$H$18,$D211,'Lista de Cargas'!$B$4:$B$18,$B211)</f>
        <v>0</v>
      </c>
      <c r="G211" s="23">
        <f>SUMIFS('Lista de Cargas'!R$4:R$18,'Lista de Cargas'!$H$4:$H$18,$D211,'Lista de Cargas'!$B$4:$B$18,$B211)</f>
        <v>0</v>
      </c>
      <c r="H211" s="23">
        <f>SUMIFS('Lista de Cargas'!S$4:S$18,'Lista de Cargas'!$H$4:$H$18,$D211,'Lista de Cargas'!$B$4:$B$18,$B211)</f>
        <v>0</v>
      </c>
      <c r="M211" s="23">
        <f t="shared" si="57"/>
        <v>0</v>
      </c>
      <c r="N211" s="23">
        <f t="shared" si="58"/>
        <v>0</v>
      </c>
      <c r="O211" s="23">
        <f t="shared" si="59"/>
        <v>0</v>
      </c>
      <c r="P211" s="23">
        <f t="shared" si="60"/>
        <v>0</v>
      </c>
    </row>
    <row r="212" spans="1:16" hidden="1" x14ac:dyDescent="0.25">
      <c r="A212" s="27"/>
      <c r="B212" s="22" t="s">
        <v>146</v>
      </c>
      <c r="C212" s="22" t="s">
        <v>2</v>
      </c>
      <c r="D212" s="10" t="s">
        <v>38</v>
      </c>
      <c r="E212" s="23">
        <f>SUMIFS('Lista de Cargas'!P$4:P$18,'Lista de Cargas'!$H$4:$H$18,$D212,'Lista de Cargas'!$B$4:$B$18,$B212)</f>
        <v>0</v>
      </c>
      <c r="F212" s="23">
        <f>SUMIFS('Lista de Cargas'!Q$4:Q$18,'Lista de Cargas'!$H$4:$H$18,$D212,'Lista de Cargas'!$B$4:$B$18,$B212)</f>
        <v>0</v>
      </c>
      <c r="G212" s="23">
        <f>SUMIFS('Lista de Cargas'!R$4:R$18,'Lista de Cargas'!$H$4:$H$18,$D212,'Lista de Cargas'!$B$4:$B$18,$B212)</f>
        <v>0</v>
      </c>
      <c r="H212" s="23">
        <f>SUMIFS('Lista de Cargas'!S$4:S$18,'Lista de Cargas'!$H$4:$H$18,$D212,'Lista de Cargas'!$B$4:$B$18,$B212)</f>
        <v>0</v>
      </c>
      <c r="M212" s="23">
        <f t="shared" si="57"/>
        <v>0</v>
      </c>
      <c r="N212" s="23">
        <f t="shared" si="58"/>
        <v>0</v>
      </c>
      <c r="O212" s="23">
        <f t="shared" si="59"/>
        <v>0</v>
      </c>
      <c r="P212" s="23">
        <f t="shared" si="60"/>
        <v>0</v>
      </c>
    </row>
    <row r="213" spans="1:16" hidden="1" x14ac:dyDescent="0.25">
      <c r="A213" s="27"/>
      <c r="B213" s="22" t="s">
        <v>146</v>
      </c>
      <c r="C213" s="22" t="s">
        <v>2</v>
      </c>
      <c r="D213" s="10" t="s">
        <v>36</v>
      </c>
      <c r="E213" s="23">
        <f>SUMIFS('Lista de Cargas'!P$4:P$18,'Lista de Cargas'!$H$4:$H$18,$D213,'Lista de Cargas'!$B$4:$B$18,$B213)</f>
        <v>0</v>
      </c>
      <c r="F213" s="23">
        <f>SUMIFS('Lista de Cargas'!Q$4:Q$18,'Lista de Cargas'!$H$4:$H$18,$D213,'Lista de Cargas'!$B$4:$B$18,$B213)</f>
        <v>0</v>
      </c>
      <c r="G213" s="23">
        <f>SUMIFS('Lista de Cargas'!R$4:R$18,'Lista de Cargas'!$H$4:$H$18,$D213,'Lista de Cargas'!$B$4:$B$18,$B213)</f>
        <v>0</v>
      </c>
      <c r="H213" s="23">
        <f>SUMIFS('Lista de Cargas'!S$4:S$18,'Lista de Cargas'!$H$4:$H$18,$D213,'Lista de Cargas'!$B$4:$B$18,$B213)</f>
        <v>0</v>
      </c>
      <c r="M213" s="23">
        <f t="shared" si="57"/>
        <v>0</v>
      </c>
      <c r="N213" s="23">
        <f t="shared" si="58"/>
        <v>0</v>
      </c>
      <c r="O213" s="23">
        <f t="shared" si="59"/>
        <v>0</v>
      </c>
      <c r="P213" s="23">
        <f t="shared" si="60"/>
        <v>0</v>
      </c>
    </row>
    <row r="214" spans="1:16" hidden="1" x14ac:dyDescent="0.25">
      <c r="A214" s="27"/>
      <c r="B214" s="22" t="s">
        <v>146</v>
      </c>
      <c r="C214" s="22" t="s">
        <v>2</v>
      </c>
      <c r="D214" s="2" t="s">
        <v>118</v>
      </c>
      <c r="E214" s="23">
        <f>SUMIFS('Lista de Cargas'!P$4:P$18,'Lista de Cargas'!$H$4:$H$18,$D214,'Lista de Cargas'!$B$4:$B$18,$B214)</f>
        <v>0</v>
      </c>
      <c r="F214" s="23">
        <f>SUMIFS('Lista de Cargas'!Q$4:Q$18,'Lista de Cargas'!$H$4:$H$18,$D214,'Lista de Cargas'!$B$4:$B$18,$B214)</f>
        <v>0</v>
      </c>
      <c r="G214" s="23">
        <f>SUMIFS('Lista de Cargas'!R$4:R$18,'Lista de Cargas'!$H$4:$H$18,$D214,'Lista de Cargas'!$B$4:$B$18,$B214)</f>
        <v>0</v>
      </c>
      <c r="H214" s="23">
        <f>SUMIFS('Lista de Cargas'!S$4:S$18,'Lista de Cargas'!$H$4:$H$18,$D214,'Lista de Cargas'!$B$4:$B$18,$B214)</f>
        <v>0</v>
      </c>
      <c r="M214" s="23">
        <f t="shared" si="57"/>
        <v>0</v>
      </c>
      <c r="N214" s="23">
        <f t="shared" si="58"/>
        <v>0</v>
      </c>
      <c r="O214" s="23">
        <f t="shared" si="59"/>
        <v>0</v>
      </c>
      <c r="P214" s="23">
        <f t="shared" si="60"/>
        <v>0</v>
      </c>
    </row>
    <row r="215" spans="1:16" hidden="1" x14ac:dyDescent="0.25">
      <c r="A215" s="27"/>
      <c r="B215" s="22" t="s">
        <v>146</v>
      </c>
      <c r="C215" s="22" t="s">
        <v>2</v>
      </c>
      <c r="D215" s="10" t="s">
        <v>41</v>
      </c>
      <c r="E215" s="23">
        <f>SUMIFS('Lista de Cargas'!P$4:P$18,'Lista de Cargas'!$H$4:$H$18,$D215,'Lista de Cargas'!$B$4:$B$18,$B215)</f>
        <v>0</v>
      </c>
      <c r="F215" s="23">
        <f>SUMIFS('Lista de Cargas'!Q$4:Q$18,'Lista de Cargas'!$H$4:$H$18,$D215,'Lista de Cargas'!$B$4:$B$18,$B215)</f>
        <v>0</v>
      </c>
      <c r="G215" s="23">
        <f>SUMIFS('Lista de Cargas'!R$4:R$18,'Lista de Cargas'!$H$4:$H$18,$D215,'Lista de Cargas'!$B$4:$B$18,$B215)</f>
        <v>0</v>
      </c>
      <c r="H215" s="23">
        <f>SUMIFS('Lista de Cargas'!S$4:S$18,'Lista de Cargas'!$H$4:$H$18,$D215,'Lista de Cargas'!$B$4:$B$18,$B215)</f>
        <v>0</v>
      </c>
      <c r="M215" s="23">
        <f t="shared" si="57"/>
        <v>0</v>
      </c>
      <c r="N215" s="23">
        <f t="shared" si="58"/>
        <v>0</v>
      </c>
      <c r="O215" s="23">
        <f t="shared" si="59"/>
        <v>0</v>
      </c>
      <c r="P215" s="23">
        <f t="shared" si="60"/>
        <v>0</v>
      </c>
    </row>
    <row r="216" spans="1:16" hidden="1" x14ac:dyDescent="0.25">
      <c r="A216" s="27"/>
      <c r="B216" s="22" t="s">
        <v>146</v>
      </c>
      <c r="C216" s="22" t="s">
        <v>2</v>
      </c>
      <c r="D216" s="10" t="s">
        <v>42</v>
      </c>
      <c r="E216" s="23">
        <f>SUMIFS('Lista de Cargas'!P$4:P$18,'Lista de Cargas'!$H$4:$H$18,$D216,'Lista de Cargas'!$B$4:$B$18,$B216)</f>
        <v>0</v>
      </c>
      <c r="F216" s="23">
        <f>SUMIFS('Lista de Cargas'!Q$4:Q$18,'Lista de Cargas'!$H$4:$H$18,$D216,'Lista de Cargas'!$B$4:$B$18,$B216)</f>
        <v>0</v>
      </c>
      <c r="G216" s="23">
        <f>SUMIFS('Lista de Cargas'!R$4:R$18,'Lista de Cargas'!$H$4:$H$18,$D216,'Lista de Cargas'!$B$4:$B$18,$B216)</f>
        <v>0</v>
      </c>
      <c r="H216" s="23">
        <f>SUMIFS('Lista de Cargas'!S$4:S$18,'Lista de Cargas'!$H$4:$H$18,$D216,'Lista de Cargas'!$B$4:$B$18,$B216)</f>
        <v>0</v>
      </c>
      <c r="M216" s="23">
        <f t="shared" si="57"/>
        <v>0</v>
      </c>
      <c r="N216" s="23">
        <f t="shared" si="58"/>
        <v>0</v>
      </c>
      <c r="O216" s="23">
        <f t="shared" si="59"/>
        <v>0</v>
      </c>
      <c r="P216" s="23">
        <f t="shared" si="60"/>
        <v>0</v>
      </c>
    </row>
    <row r="217" spans="1:16" s="43" customFormat="1" hidden="1" x14ac:dyDescent="0.25">
      <c r="A217" s="38"/>
      <c r="B217" s="39" t="s">
        <v>146</v>
      </c>
      <c r="C217" s="45" t="s">
        <v>2</v>
      </c>
      <c r="D217" s="41" t="s">
        <v>47</v>
      </c>
      <c r="E217" s="40">
        <f>SUM(E210:E216)</f>
        <v>0</v>
      </c>
      <c r="F217" s="40">
        <f>SUM(F210:F216)</f>
        <v>0</v>
      </c>
      <c r="G217" s="40">
        <f>SUM(G210:G216)</f>
        <v>0</v>
      </c>
      <c r="H217" s="40">
        <f>SUM(H210:H216)</f>
        <v>0</v>
      </c>
      <c r="I217" s="42"/>
      <c r="J217" s="42"/>
      <c r="M217" s="44"/>
      <c r="N217" s="44"/>
      <c r="O217" s="44"/>
      <c r="P217" s="44"/>
    </row>
    <row r="218" spans="1:16" s="43" customFormat="1" hidden="1" x14ac:dyDescent="0.25">
      <c r="A218" s="45" t="s">
        <v>2</v>
      </c>
      <c r="B218" s="45" t="s">
        <v>2</v>
      </c>
      <c r="C218" s="46"/>
      <c r="D218" s="47" t="s">
        <v>2</v>
      </c>
      <c r="E218" s="48" t="e">
        <f>E217/E$247</f>
        <v>#DIV/0!</v>
      </c>
      <c r="F218" s="48" t="e">
        <f>F217/F$247</f>
        <v>#DIV/0!</v>
      </c>
      <c r="G218" s="48" t="e">
        <f>G217/G$247</f>
        <v>#DIV/0!</v>
      </c>
      <c r="H218" s="48" t="e">
        <f>H217/H$247</f>
        <v>#DIV/0!</v>
      </c>
      <c r="I218" s="42"/>
      <c r="J218" s="42"/>
      <c r="M218" s="44"/>
      <c r="N218" s="44"/>
      <c r="O218" s="44"/>
      <c r="P218" s="44"/>
    </row>
    <row r="219" spans="1:16" hidden="1" x14ac:dyDescent="0.25">
      <c r="A219" s="27"/>
      <c r="B219" s="22" t="s">
        <v>147</v>
      </c>
      <c r="C219" s="22" t="s">
        <v>2</v>
      </c>
      <c r="D219" s="2" t="s">
        <v>76</v>
      </c>
      <c r="E219" s="23">
        <f>SUMIFS('Lista de Cargas'!P$4:P$18,'Lista de Cargas'!$H$4:$H$18,$D219,'Lista de Cargas'!$B$4:$B$18,$B219)</f>
        <v>0</v>
      </c>
      <c r="F219" s="23">
        <f>SUMIFS('Lista de Cargas'!Q$4:Q$18,'Lista de Cargas'!$H$4:$H$18,$D219,'Lista de Cargas'!$B$4:$B$18,$B219)</f>
        <v>0</v>
      </c>
      <c r="G219" s="23">
        <f>SUMIFS('Lista de Cargas'!R$4:R$18,'Lista de Cargas'!$H$4:$H$18,$D219,'Lista de Cargas'!$B$4:$B$18,$B219)</f>
        <v>0</v>
      </c>
      <c r="H219" s="23">
        <f>SUMIFS('Lista de Cargas'!S$4:S$18,'Lista de Cargas'!$H$4:$H$18,$D219,'Lista de Cargas'!$B$4:$B$18,$B219)</f>
        <v>0</v>
      </c>
      <c r="K219" s="30"/>
      <c r="L219" s="30"/>
      <c r="M219" s="23">
        <f t="shared" ref="M219:M225" si="61">E219</f>
        <v>0</v>
      </c>
      <c r="N219" s="23">
        <f t="shared" ref="N219:N225" si="62">F219</f>
        <v>0</v>
      </c>
      <c r="O219" s="23">
        <f t="shared" ref="O219:O225" si="63">G219</f>
        <v>0</v>
      </c>
      <c r="P219" s="23">
        <f t="shared" ref="P219:P225" si="64">H219</f>
        <v>0</v>
      </c>
    </row>
    <row r="220" spans="1:16" hidden="1" x14ac:dyDescent="0.25">
      <c r="A220" s="27"/>
      <c r="B220" s="22" t="s">
        <v>147</v>
      </c>
      <c r="C220" s="22" t="s">
        <v>2</v>
      </c>
      <c r="D220" s="10" t="s">
        <v>37</v>
      </c>
      <c r="E220" s="23">
        <f>SUMIFS('Lista de Cargas'!P$4:P$18,'Lista de Cargas'!$H$4:$H$18,$D220,'Lista de Cargas'!$B$4:$B$18,$B220)</f>
        <v>0</v>
      </c>
      <c r="F220" s="23">
        <f>SUMIFS('Lista de Cargas'!Q$4:Q$18,'Lista de Cargas'!$H$4:$H$18,$D220,'Lista de Cargas'!$B$4:$B$18,$B220)</f>
        <v>0</v>
      </c>
      <c r="G220" s="23">
        <f>SUMIFS('Lista de Cargas'!R$4:R$18,'Lista de Cargas'!$H$4:$H$18,$D220,'Lista de Cargas'!$B$4:$B$18,$B220)</f>
        <v>0</v>
      </c>
      <c r="H220" s="23">
        <f>SUMIFS('Lista de Cargas'!S$4:S$18,'Lista de Cargas'!$H$4:$H$18,$D220,'Lista de Cargas'!$B$4:$B$18,$B220)</f>
        <v>0</v>
      </c>
      <c r="M220" s="23">
        <f t="shared" si="61"/>
        <v>0</v>
      </c>
      <c r="N220" s="23">
        <f t="shared" si="62"/>
        <v>0</v>
      </c>
      <c r="O220" s="23">
        <f t="shared" si="63"/>
        <v>0</v>
      </c>
      <c r="P220" s="23">
        <f t="shared" si="64"/>
        <v>0</v>
      </c>
    </row>
    <row r="221" spans="1:16" hidden="1" x14ac:dyDescent="0.25">
      <c r="A221" s="27"/>
      <c r="B221" s="22" t="s">
        <v>147</v>
      </c>
      <c r="C221" s="22" t="s">
        <v>2</v>
      </c>
      <c r="D221" s="10" t="s">
        <v>38</v>
      </c>
      <c r="E221" s="23">
        <f>SUMIFS('Lista de Cargas'!P$4:P$18,'Lista de Cargas'!$H$4:$H$18,$D221,'Lista de Cargas'!$B$4:$B$18,$B221)</f>
        <v>0</v>
      </c>
      <c r="F221" s="23">
        <f>SUMIFS('Lista de Cargas'!Q$4:Q$18,'Lista de Cargas'!$H$4:$H$18,$D221,'Lista de Cargas'!$B$4:$B$18,$B221)</f>
        <v>0</v>
      </c>
      <c r="G221" s="23">
        <f>SUMIFS('Lista de Cargas'!R$4:R$18,'Lista de Cargas'!$H$4:$H$18,$D221,'Lista de Cargas'!$B$4:$B$18,$B221)</f>
        <v>0</v>
      </c>
      <c r="H221" s="23">
        <f>SUMIFS('Lista de Cargas'!S$4:S$18,'Lista de Cargas'!$H$4:$H$18,$D221,'Lista de Cargas'!$B$4:$B$18,$B221)</f>
        <v>0</v>
      </c>
      <c r="M221" s="23">
        <f t="shared" si="61"/>
        <v>0</v>
      </c>
      <c r="N221" s="23">
        <f t="shared" si="62"/>
        <v>0</v>
      </c>
      <c r="O221" s="23">
        <f t="shared" si="63"/>
        <v>0</v>
      </c>
      <c r="P221" s="23">
        <f t="shared" si="64"/>
        <v>0</v>
      </c>
    </row>
    <row r="222" spans="1:16" hidden="1" x14ac:dyDescent="0.25">
      <c r="A222" s="27"/>
      <c r="B222" s="22" t="s">
        <v>147</v>
      </c>
      <c r="C222" s="22" t="s">
        <v>2</v>
      </c>
      <c r="D222" s="10" t="s">
        <v>36</v>
      </c>
      <c r="E222" s="23">
        <f>SUMIFS('Lista de Cargas'!P$4:P$18,'Lista de Cargas'!$H$4:$H$18,$D222,'Lista de Cargas'!$B$4:$B$18,$B222)</f>
        <v>0</v>
      </c>
      <c r="F222" s="23">
        <f>SUMIFS('Lista de Cargas'!Q$4:Q$18,'Lista de Cargas'!$H$4:$H$18,$D222,'Lista de Cargas'!$B$4:$B$18,$B222)</f>
        <v>0</v>
      </c>
      <c r="G222" s="23">
        <f>SUMIFS('Lista de Cargas'!R$4:R$18,'Lista de Cargas'!$H$4:$H$18,$D222,'Lista de Cargas'!$B$4:$B$18,$B222)</f>
        <v>0</v>
      </c>
      <c r="H222" s="23">
        <f>SUMIFS('Lista de Cargas'!S$4:S$18,'Lista de Cargas'!$H$4:$H$18,$D222,'Lista de Cargas'!$B$4:$B$18,$B222)</f>
        <v>0</v>
      </c>
      <c r="M222" s="23">
        <f t="shared" si="61"/>
        <v>0</v>
      </c>
      <c r="N222" s="23">
        <f t="shared" si="62"/>
        <v>0</v>
      </c>
      <c r="O222" s="23">
        <f t="shared" si="63"/>
        <v>0</v>
      </c>
      <c r="P222" s="23">
        <f t="shared" si="64"/>
        <v>0</v>
      </c>
    </row>
    <row r="223" spans="1:16" hidden="1" x14ac:dyDescent="0.25">
      <c r="A223" s="27"/>
      <c r="B223" s="22" t="s">
        <v>147</v>
      </c>
      <c r="C223" s="22" t="s">
        <v>2</v>
      </c>
      <c r="D223" s="2" t="s">
        <v>118</v>
      </c>
      <c r="E223" s="23">
        <f>SUMIFS('Lista de Cargas'!P$4:P$18,'Lista de Cargas'!$H$4:$H$18,$D223,'Lista de Cargas'!$B$4:$B$18,$B223)</f>
        <v>0</v>
      </c>
      <c r="F223" s="23">
        <f>SUMIFS('Lista de Cargas'!Q$4:Q$18,'Lista de Cargas'!$H$4:$H$18,$D223,'Lista de Cargas'!$B$4:$B$18,$B223)</f>
        <v>0</v>
      </c>
      <c r="G223" s="23">
        <f>SUMIFS('Lista de Cargas'!R$4:R$18,'Lista de Cargas'!$H$4:$H$18,$D223,'Lista de Cargas'!$B$4:$B$18,$B223)</f>
        <v>0</v>
      </c>
      <c r="H223" s="23">
        <f>SUMIFS('Lista de Cargas'!S$4:S$18,'Lista de Cargas'!$H$4:$H$18,$D223,'Lista de Cargas'!$B$4:$B$18,$B223)</f>
        <v>0</v>
      </c>
      <c r="M223" s="23">
        <f t="shared" si="61"/>
        <v>0</v>
      </c>
      <c r="N223" s="23">
        <f t="shared" si="62"/>
        <v>0</v>
      </c>
      <c r="O223" s="23">
        <f t="shared" si="63"/>
        <v>0</v>
      </c>
      <c r="P223" s="23">
        <f t="shared" si="64"/>
        <v>0</v>
      </c>
    </row>
    <row r="224" spans="1:16" hidden="1" x14ac:dyDescent="0.25">
      <c r="A224" s="27"/>
      <c r="B224" s="22" t="s">
        <v>147</v>
      </c>
      <c r="C224" s="22" t="s">
        <v>2</v>
      </c>
      <c r="D224" s="10" t="s">
        <v>41</v>
      </c>
      <c r="E224" s="23">
        <f>SUMIFS('Lista de Cargas'!P$4:P$18,'Lista de Cargas'!$H$4:$H$18,$D224,'Lista de Cargas'!$B$4:$B$18,$B224)</f>
        <v>0</v>
      </c>
      <c r="F224" s="23">
        <f>SUMIFS('Lista de Cargas'!Q$4:Q$18,'Lista de Cargas'!$H$4:$H$18,$D224,'Lista de Cargas'!$B$4:$B$18,$B224)</f>
        <v>0</v>
      </c>
      <c r="G224" s="23">
        <f>SUMIFS('Lista de Cargas'!R$4:R$18,'Lista de Cargas'!$H$4:$H$18,$D224,'Lista de Cargas'!$B$4:$B$18,$B224)</f>
        <v>0</v>
      </c>
      <c r="H224" s="23">
        <f>SUMIFS('Lista de Cargas'!S$4:S$18,'Lista de Cargas'!$H$4:$H$18,$D224,'Lista de Cargas'!$B$4:$B$18,$B224)</f>
        <v>0</v>
      </c>
      <c r="M224" s="23">
        <f t="shared" si="61"/>
        <v>0</v>
      </c>
      <c r="N224" s="23">
        <f t="shared" si="62"/>
        <v>0</v>
      </c>
      <c r="O224" s="23">
        <f t="shared" si="63"/>
        <v>0</v>
      </c>
      <c r="P224" s="23">
        <f t="shared" si="64"/>
        <v>0</v>
      </c>
    </row>
    <row r="225" spans="1:16" hidden="1" x14ac:dyDescent="0.25">
      <c r="A225" s="27"/>
      <c r="B225" s="22" t="s">
        <v>147</v>
      </c>
      <c r="C225" s="22" t="s">
        <v>2</v>
      </c>
      <c r="D225" s="10" t="s">
        <v>42</v>
      </c>
      <c r="E225" s="23">
        <f>SUMIFS('Lista de Cargas'!P$4:P$18,'Lista de Cargas'!$H$4:$H$18,$D225,'Lista de Cargas'!$B$4:$B$18,$B225)</f>
        <v>0</v>
      </c>
      <c r="F225" s="23">
        <f>SUMIFS('Lista de Cargas'!Q$4:Q$18,'Lista de Cargas'!$H$4:$H$18,$D225,'Lista de Cargas'!$B$4:$B$18,$B225)</f>
        <v>0</v>
      </c>
      <c r="G225" s="23">
        <f>SUMIFS('Lista de Cargas'!R$4:R$18,'Lista de Cargas'!$H$4:$H$18,$D225,'Lista de Cargas'!$B$4:$B$18,$B225)</f>
        <v>0</v>
      </c>
      <c r="H225" s="23">
        <f>SUMIFS('Lista de Cargas'!S$4:S$18,'Lista de Cargas'!$H$4:$H$18,$D225,'Lista de Cargas'!$B$4:$B$18,$B225)</f>
        <v>0</v>
      </c>
      <c r="M225" s="23">
        <f t="shared" si="61"/>
        <v>0</v>
      </c>
      <c r="N225" s="23">
        <f t="shared" si="62"/>
        <v>0</v>
      </c>
      <c r="O225" s="23">
        <f t="shared" si="63"/>
        <v>0</v>
      </c>
      <c r="P225" s="23">
        <f t="shared" si="64"/>
        <v>0</v>
      </c>
    </row>
    <row r="226" spans="1:16" s="43" customFormat="1" hidden="1" x14ac:dyDescent="0.25">
      <c r="A226" s="38"/>
      <c r="B226" s="39" t="s">
        <v>147</v>
      </c>
      <c r="C226" s="45" t="s">
        <v>2</v>
      </c>
      <c r="D226" s="41" t="s">
        <v>47</v>
      </c>
      <c r="E226" s="40">
        <f>SUM(E219:E225)</f>
        <v>0</v>
      </c>
      <c r="F226" s="40">
        <f>SUM(F219:F225)</f>
        <v>0</v>
      </c>
      <c r="G226" s="40">
        <f>SUM(G219:G225)</f>
        <v>0</v>
      </c>
      <c r="H226" s="40">
        <f>SUM(H219:H225)</f>
        <v>0</v>
      </c>
      <c r="I226" s="42"/>
      <c r="J226" s="42"/>
      <c r="M226" s="44"/>
      <c r="N226" s="44"/>
      <c r="O226" s="44"/>
      <c r="P226" s="44"/>
    </row>
    <row r="227" spans="1:16" s="43" customFormat="1" hidden="1" x14ac:dyDescent="0.25">
      <c r="A227" s="45" t="s">
        <v>2</v>
      </c>
      <c r="B227" s="45" t="s">
        <v>2</v>
      </c>
      <c r="C227" s="46"/>
      <c r="D227" s="47" t="s">
        <v>2</v>
      </c>
      <c r="E227" s="48" t="e">
        <f>E226/E$247</f>
        <v>#DIV/0!</v>
      </c>
      <c r="F227" s="48" t="e">
        <f>F226/F$247</f>
        <v>#DIV/0!</v>
      </c>
      <c r="G227" s="48" t="e">
        <f>G226/G$247</f>
        <v>#DIV/0!</v>
      </c>
      <c r="H227" s="48" t="e">
        <f>H226/H$247</f>
        <v>#DIV/0!</v>
      </c>
      <c r="I227" s="42"/>
      <c r="J227" s="42"/>
      <c r="M227" s="44"/>
      <c r="N227" s="44"/>
      <c r="O227" s="44"/>
      <c r="P227" s="44"/>
    </row>
    <row r="228" spans="1:16" hidden="1" x14ac:dyDescent="0.25">
      <c r="A228" s="27"/>
      <c r="B228" s="22" t="s">
        <v>153</v>
      </c>
      <c r="C228" s="22" t="s">
        <v>2</v>
      </c>
      <c r="D228" s="2" t="s">
        <v>76</v>
      </c>
      <c r="E228" s="23">
        <f>SUMIFS('Lista de Cargas'!P$4:P$18,'Lista de Cargas'!$H$4:$H$18,$D228,'Lista de Cargas'!$B$4:$B$18,$B228)</f>
        <v>0</v>
      </c>
      <c r="F228" s="23">
        <f>SUMIFS('Lista de Cargas'!Q$4:Q$18,'Lista de Cargas'!$H$4:$H$18,$D228,'Lista de Cargas'!$B$4:$B$18,$B228)</f>
        <v>0</v>
      </c>
      <c r="G228" s="23">
        <f>SUMIFS('Lista de Cargas'!R$4:R$18,'Lista de Cargas'!$H$4:$H$18,$D228,'Lista de Cargas'!$B$4:$B$18,$B228)</f>
        <v>0</v>
      </c>
      <c r="H228" s="23">
        <f>SUMIFS('Lista de Cargas'!S$4:S$18,'Lista de Cargas'!$H$4:$H$18,$D228,'Lista de Cargas'!$B$4:$B$18,$B228)</f>
        <v>0</v>
      </c>
      <c r="K228" s="30"/>
      <c r="L228" s="30"/>
      <c r="M228" s="23">
        <f t="shared" ref="M228:M234" si="65">E228</f>
        <v>0</v>
      </c>
      <c r="N228" s="23">
        <f t="shared" ref="N228:N234" si="66">F228</f>
        <v>0</v>
      </c>
      <c r="O228" s="23">
        <f t="shared" ref="O228:O234" si="67">G228</f>
        <v>0</v>
      </c>
      <c r="P228" s="23">
        <f t="shared" ref="P228:P234" si="68">H228</f>
        <v>0</v>
      </c>
    </row>
    <row r="229" spans="1:16" hidden="1" x14ac:dyDescent="0.25">
      <c r="A229" s="27"/>
      <c r="B229" s="22" t="s">
        <v>153</v>
      </c>
      <c r="C229" s="22" t="s">
        <v>2</v>
      </c>
      <c r="D229" s="10" t="s">
        <v>37</v>
      </c>
      <c r="E229" s="23">
        <f>SUMIFS('Lista de Cargas'!P$4:P$18,'Lista de Cargas'!$H$4:$H$18,$D229,'Lista de Cargas'!$B$4:$B$18,$B229)</f>
        <v>0</v>
      </c>
      <c r="F229" s="23">
        <f>SUMIFS('Lista de Cargas'!Q$4:Q$18,'Lista de Cargas'!$H$4:$H$18,$D229,'Lista de Cargas'!$B$4:$B$18,$B229)</f>
        <v>0</v>
      </c>
      <c r="G229" s="23">
        <f>SUMIFS('Lista de Cargas'!R$4:R$18,'Lista de Cargas'!$H$4:$H$18,$D229,'Lista de Cargas'!$B$4:$B$18,$B229)</f>
        <v>0</v>
      </c>
      <c r="H229" s="23">
        <f>SUMIFS('Lista de Cargas'!S$4:S$18,'Lista de Cargas'!$H$4:$H$18,$D229,'Lista de Cargas'!$B$4:$B$18,$B229)</f>
        <v>0</v>
      </c>
      <c r="M229" s="23">
        <f t="shared" si="65"/>
        <v>0</v>
      </c>
      <c r="N229" s="23">
        <f t="shared" si="66"/>
        <v>0</v>
      </c>
      <c r="O229" s="23">
        <f t="shared" si="67"/>
        <v>0</v>
      </c>
      <c r="P229" s="23">
        <f t="shared" si="68"/>
        <v>0</v>
      </c>
    </row>
    <row r="230" spans="1:16" hidden="1" x14ac:dyDescent="0.25">
      <c r="A230" s="27"/>
      <c r="B230" s="22" t="s">
        <v>153</v>
      </c>
      <c r="C230" s="22" t="s">
        <v>2</v>
      </c>
      <c r="D230" s="10" t="s">
        <v>38</v>
      </c>
      <c r="E230" s="23">
        <f>SUMIFS('Lista de Cargas'!P$4:P$18,'Lista de Cargas'!$H$4:$H$18,$D230,'Lista de Cargas'!$B$4:$B$18,$B230)</f>
        <v>0</v>
      </c>
      <c r="F230" s="23">
        <f>SUMIFS('Lista de Cargas'!Q$4:Q$18,'Lista de Cargas'!$H$4:$H$18,$D230,'Lista de Cargas'!$B$4:$B$18,$B230)</f>
        <v>0</v>
      </c>
      <c r="G230" s="23">
        <f>SUMIFS('Lista de Cargas'!R$4:R$18,'Lista de Cargas'!$H$4:$H$18,$D230,'Lista de Cargas'!$B$4:$B$18,$B230)</f>
        <v>0</v>
      </c>
      <c r="H230" s="23">
        <f>SUMIFS('Lista de Cargas'!S$4:S$18,'Lista de Cargas'!$H$4:$H$18,$D230,'Lista de Cargas'!$B$4:$B$18,$B230)</f>
        <v>0</v>
      </c>
      <c r="M230" s="23">
        <f t="shared" si="65"/>
        <v>0</v>
      </c>
      <c r="N230" s="23">
        <f t="shared" si="66"/>
        <v>0</v>
      </c>
      <c r="O230" s="23">
        <f t="shared" si="67"/>
        <v>0</v>
      </c>
      <c r="P230" s="23">
        <f t="shared" si="68"/>
        <v>0</v>
      </c>
    </row>
    <row r="231" spans="1:16" hidden="1" x14ac:dyDescent="0.25">
      <c r="A231" s="27"/>
      <c r="B231" s="22" t="s">
        <v>153</v>
      </c>
      <c r="C231" s="22" t="s">
        <v>2</v>
      </c>
      <c r="D231" s="10" t="s">
        <v>36</v>
      </c>
      <c r="E231" s="23">
        <f>SUMIFS('Lista de Cargas'!P$4:P$18,'Lista de Cargas'!$H$4:$H$18,$D231,'Lista de Cargas'!$B$4:$B$18,$B231)</f>
        <v>0</v>
      </c>
      <c r="F231" s="23">
        <f>SUMIFS('Lista de Cargas'!Q$4:Q$18,'Lista de Cargas'!$H$4:$H$18,$D231,'Lista de Cargas'!$B$4:$B$18,$B231)</f>
        <v>0</v>
      </c>
      <c r="G231" s="23">
        <f>SUMIFS('Lista de Cargas'!R$4:R$18,'Lista de Cargas'!$H$4:$H$18,$D231,'Lista de Cargas'!$B$4:$B$18,$B231)</f>
        <v>0</v>
      </c>
      <c r="H231" s="23">
        <f>SUMIFS('Lista de Cargas'!S$4:S$18,'Lista de Cargas'!$H$4:$H$18,$D231,'Lista de Cargas'!$B$4:$B$18,$B231)</f>
        <v>0</v>
      </c>
      <c r="M231" s="23">
        <f t="shared" si="65"/>
        <v>0</v>
      </c>
      <c r="N231" s="23">
        <f t="shared" si="66"/>
        <v>0</v>
      </c>
      <c r="O231" s="23">
        <f t="shared" si="67"/>
        <v>0</v>
      </c>
      <c r="P231" s="23">
        <f t="shared" si="68"/>
        <v>0</v>
      </c>
    </row>
    <row r="232" spans="1:16" hidden="1" x14ac:dyDescent="0.25">
      <c r="A232" s="27"/>
      <c r="B232" s="22" t="s">
        <v>153</v>
      </c>
      <c r="C232" s="22" t="s">
        <v>2</v>
      </c>
      <c r="D232" s="2" t="s">
        <v>118</v>
      </c>
      <c r="E232" s="23">
        <f>SUMIFS('Lista de Cargas'!P$4:P$18,'Lista de Cargas'!$H$4:$H$18,$D232,'Lista de Cargas'!$B$4:$B$18,$B232)</f>
        <v>0</v>
      </c>
      <c r="F232" s="23">
        <f>SUMIFS('Lista de Cargas'!Q$4:Q$18,'Lista de Cargas'!$H$4:$H$18,$D232,'Lista de Cargas'!$B$4:$B$18,$B232)</f>
        <v>0</v>
      </c>
      <c r="G232" s="23">
        <f>SUMIFS('Lista de Cargas'!R$4:R$18,'Lista de Cargas'!$H$4:$H$18,$D232,'Lista de Cargas'!$B$4:$B$18,$B232)</f>
        <v>0</v>
      </c>
      <c r="H232" s="23">
        <f>SUMIFS('Lista de Cargas'!S$4:S$18,'Lista de Cargas'!$H$4:$H$18,$D232,'Lista de Cargas'!$B$4:$B$18,$B232)</f>
        <v>0</v>
      </c>
      <c r="M232" s="23">
        <f t="shared" si="65"/>
        <v>0</v>
      </c>
      <c r="N232" s="23">
        <f t="shared" si="66"/>
        <v>0</v>
      </c>
      <c r="O232" s="23">
        <f t="shared" si="67"/>
        <v>0</v>
      </c>
      <c r="P232" s="23">
        <f t="shared" si="68"/>
        <v>0</v>
      </c>
    </row>
    <row r="233" spans="1:16" hidden="1" x14ac:dyDescent="0.25">
      <c r="A233" s="27"/>
      <c r="B233" s="22" t="s">
        <v>153</v>
      </c>
      <c r="C233" s="22" t="s">
        <v>2</v>
      </c>
      <c r="D233" s="10" t="s">
        <v>41</v>
      </c>
      <c r="E233" s="23">
        <f>SUMIFS('Lista de Cargas'!P$4:P$18,'Lista de Cargas'!$H$4:$H$18,$D233,'Lista de Cargas'!$B$4:$B$18,$B233)</f>
        <v>0</v>
      </c>
      <c r="F233" s="23">
        <f>SUMIFS('Lista de Cargas'!Q$4:Q$18,'Lista de Cargas'!$H$4:$H$18,$D233,'Lista de Cargas'!$B$4:$B$18,$B233)</f>
        <v>0</v>
      </c>
      <c r="G233" s="23">
        <f>SUMIFS('Lista de Cargas'!R$4:R$18,'Lista de Cargas'!$H$4:$H$18,$D233,'Lista de Cargas'!$B$4:$B$18,$B233)</f>
        <v>0</v>
      </c>
      <c r="H233" s="23">
        <f>SUMIFS('Lista de Cargas'!S$4:S$18,'Lista de Cargas'!$H$4:$H$18,$D233,'Lista de Cargas'!$B$4:$B$18,$B233)</f>
        <v>0</v>
      </c>
      <c r="M233" s="23">
        <f t="shared" si="65"/>
        <v>0</v>
      </c>
      <c r="N233" s="23">
        <f t="shared" si="66"/>
        <v>0</v>
      </c>
      <c r="O233" s="23">
        <f t="shared" si="67"/>
        <v>0</v>
      </c>
      <c r="P233" s="23">
        <f t="shared" si="68"/>
        <v>0</v>
      </c>
    </row>
    <row r="234" spans="1:16" hidden="1" x14ac:dyDescent="0.25">
      <c r="A234" s="27"/>
      <c r="B234" s="22" t="s">
        <v>153</v>
      </c>
      <c r="C234" s="22" t="s">
        <v>2</v>
      </c>
      <c r="D234" s="10" t="s">
        <v>42</v>
      </c>
      <c r="E234" s="23">
        <f>SUMIFS('Lista de Cargas'!P$4:P$18,'Lista de Cargas'!$H$4:$H$18,$D234,'Lista de Cargas'!$B$4:$B$18,$B234)</f>
        <v>0</v>
      </c>
      <c r="F234" s="23">
        <f>SUMIFS('Lista de Cargas'!Q$4:Q$18,'Lista de Cargas'!$H$4:$H$18,$D234,'Lista de Cargas'!$B$4:$B$18,$B234)</f>
        <v>0</v>
      </c>
      <c r="G234" s="23">
        <f>SUMIFS('Lista de Cargas'!R$4:R$18,'Lista de Cargas'!$H$4:$H$18,$D234,'Lista de Cargas'!$B$4:$B$18,$B234)</f>
        <v>0</v>
      </c>
      <c r="H234" s="23">
        <f>SUMIFS('Lista de Cargas'!S$4:S$18,'Lista de Cargas'!$H$4:$H$18,$D234,'Lista de Cargas'!$B$4:$B$18,$B234)</f>
        <v>0</v>
      </c>
      <c r="M234" s="23">
        <f t="shared" si="65"/>
        <v>0</v>
      </c>
      <c r="N234" s="23">
        <f t="shared" si="66"/>
        <v>0</v>
      </c>
      <c r="O234" s="23">
        <f t="shared" si="67"/>
        <v>0</v>
      </c>
      <c r="P234" s="23">
        <f t="shared" si="68"/>
        <v>0</v>
      </c>
    </row>
    <row r="235" spans="1:16" s="43" customFormat="1" hidden="1" x14ac:dyDescent="0.25">
      <c r="A235" s="38"/>
      <c r="B235" s="39" t="s">
        <v>153</v>
      </c>
      <c r="C235" s="45" t="s">
        <v>2</v>
      </c>
      <c r="D235" s="41" t="s">
        <v>47</v>
      </c>
      <c r="E235" s="40">
        <f>SUM(E228:E234)</f>
        <v>0</v>
      </c>
      <c r="F235" s="40">
        <f>SUM(F228:F234)</f>
        <v>0</v>
      </c>
      <c r="G235" s="40">
        <f>SUM(G228:G234)</f>
        <v>0</v>
      </c>
      <c r="H235" s="40">
        <f>SUM(H228:H234)</f>
        <v>0</v>
      </c>
      <c r="I235" s="42"/>
      <c r="J235" s="42"/>
      <c r="M235" s="44"/>
      <c r="N235" s="44"/>
      <c r="O235" s="44"/>
      <c r="P235" s="44"/>
    </row>
    <row r="236" spans="1:16" s="43" customFormat="1" hidden="1" x14ac:dyDescent="0.25">
      <c r="A236" s="45" t="s">
        <v>2</v>
      </c>
      <c r="B236" s="45" t="s">
        <v>2</v>
      </c>
      <c r="C236" s="46"/>
      <c r="D236" s="47" t="s">
        <v>2</v>
      </c>
      <c r="E236" s="48" t="e">
        <f>E235/E$247</f>
        <v>#DIV/0!</v>
      </c>
      <c r="F236" s="48" t="e">
        <f>F235/F$247</f>
        <v>#DIV/0!</v>
      </c>
      <c r="G236" s="48" t="e">
        <f>G235/G$247</f>
        <v>#DIV/0!</v>
      </c>
      <c r="H236" s="48" t="e">
        <f>H235/H$247</f>
        <v>#DIV/0!</v>
      </c>
      <c r="I236" s="42"/>
      <c r="J236" s="42"/>
      <c r="M236" s="44"/>
      <c r="N236" s="44"/>
      <c r="O236" s="44"/>
      <c r="P236" s="44"/>
    </row>
    <row r="237" spans="1:16" hidden="1" x14ac:dyDescent="0.25">
      <c r="A237" s="27"/>
      <c r="B237" s="22" t="s">
        <v>154</v>
      </c>
      <c r="C237" s="22" t="s">
        <v>2</v>
      </c>
      <c r="D237" s="2" t="s">
        <v>76</v>
      </c>
      <c r="E237" s="23">
        <f>SUMIFS('Lista de Cargas'!P$4:P$18,'Lista de Cargas'!$H$4:$H$18,$D237,'Lista de Cargas'!$B$4:$B$18,$B237)</f>
        <v>0</v>
      </c>
      <c r="F237" s="23">
        <f>SUMIFS('Lista de Cargas'!Q$4:Q$18,'Lista de Cargas'!$H$4:$H$18,$D237,'Lista de Cargas'!$B$4:$B$18,$B237)</f>
        <v>0</v>
      </c>
      <c r="G237" s="23">
        <f>SUMIFS('Lista de Cargas'!R$4:R$18,'Lista de Cargas'!$H$4:$H$18,$D237,'Lista de Cargas'!$B$4:$B$18,$B237)</f>
        <v>0</v>
      </c>
      <c r="H237" s="23">
        <f>SUMIFS('Lista de Cargas'!S$4:S$18,'Lista de Cargas'!$H$4:$H$18,$D237,'Lista de Cargas'!$B$4:$B$18,$B237)</f>
        <v>0</v>
      </c>
      <c r="K237" s="30"/>
      <c r="L237" s="30"/>
      <c r="M237" s="23">
        <f t="shared" ref="M237:P243" si="69">E237</f>
        <v>0</v>
      </c>
      <c r="N237" s="23">
        <f t="shared" si="69"/>
        <v>0</v>
      </c>
      <c r="O237" s="23">
        <f t="shared" si="69"/>
        <v>0</v>
      </c>
      <c r="P237" s="23">
        <f t="shared" si="69"/>
        <v>0</v>
      </c>
    </row>
    <row r="238" spans="1:16" hidden="1" x14ac:dyDescent="0.25">
      <c r="A238" s="27"/>
      <c r="B238" s="22" t="s">
        <v>154</v>
      </c>
      <c r="C238" s="22" t="s">
        <v>2</v>
      </c>
      <c r="D238" s="10" t="s">
        <v>37</v>
      </c>
      <c r="E238" s="23">
        <f>SUMIFS('Lista de Cargas'!P$4:P$18,'Lista de Cargas'!$H$4:$H$18,$D238,'Lista de Cargas'!$B$4:$B$18,$B238)</f>
        <v>0</v>
      </c>
      <c r="F238" s="23">
        <f>SUMIFS('Lista de Cargas'!Q$4:Q$18,'Lista de Cargas'!$H$4:$H$18,$D238,'Lista de Cargas'!$B$4:$B$18,$B238)</f>
        <v>0</v>
      </c>
      <c r="G238" s="23">
        <f>SUMIFS('Lista de Cargas'!R$4:R$18,'Lista de Cargas'!$H$4:$H$18,$D238,'Lista de Cargas'!$B$4:$B$18,$B238)</f>
        <v>0</v>
      </c>
      <c r="H238" s="23">
        <f>SUMIFS('Lista de Cargas'!S$4:S$18,'Lista de Cargas'!$H$4:$H$18,$D238,'Lista de Cargas'!$B$4:$B$18,$B238)</f>
        <v>0</v>
      </c>
      <c r="M238" s="23">
        <f t="shared" si="69"/>
        <v>0</v>
      </c>
      <c r="N238" s="23">
        <f t="shared" si="69"/>
        <v>0</v>
      </c>
      <c r="O238" s="23">
        <f t="shared" si="69"/>
        <v>0</v>
      </c>
      <c r="P238" s="23">
        <f t="shared" si="69"/>
        <v>0</v>
      </c>
    </row>
    <row r="239" spans="1:16" hidden="1" x14ac:dyDescent="0.25">
      <c r="A239" s="27"/>
      <c r="B239" s="22" t="s">
        <v>154</v>
      </c>
      <c r="C239" s="22" t="s">
        <v>2</v>
      </c>
      <c r="D239" s="10" t="s">
        <v>38</v>
      </c>
      <c r="E239" s="23">
        <f>SUMIFS('Lista de Cargas'!P$4:P$18,'Lista de Cargas'!$H$4:$H$18,$D239,'Lista de Cargas'!$B$4:$B$18,$B239)</f>
        <v>0</v>
      </c>
      <c r="F239" s="23">
        <f>SUMIFS('Lista de Cargas'!Q$4:Q$18,'Lista de Cargas'!$H$4:$H$18,$D239,'Lista de Cargas'!$B$4:$B$18,$B239)</f>
        <v>0</v>
      </c>
      <c r="G239" s="23">
        <f>SUMIFS('Lista de Cargas'!R$4:R$18,'Lista de Cargas'!$H$4:$H$18,$D239,'Lista de Cargas'!$B$4:$B$18,$B239)</f>
        <v>0</v>
      </c>
      <c r="H239" s="23">
        <f>SUMIFS('Lista de Cargas'!S$4:S$18,'Lista de Cargas'!$H$4:$H$18,$D239,'Lista de Cargas'!$B$4:$B$18,$B239)</f>
        <v>0</v>
      </c>
      <c r="M239" s="23">
        <f t="shared" si="69"/>
        <v>0</v>
      </c>
      <c r="N239" s="23">
        <f t="shared" si="69"/>
        <v>0</v>
      </c>
      <c r="O239" s="23">
        <f t="shared" si="69"/>
        <v>0</v>
      </c>
      <c r="P239" s="23">
        <f t="shared" si="69"/>
        <v>0</v>
      </c>
    </row>
    <row r="240" spans="1:16" hidden="1" x14ac:dyDescent="0.25">
      <c r="A240" s="27"/>
      <c r="B240" s="22" t="s">
        <v>154</v>
      </c>
      <c r="C240" s="22" t="s">
        <v>2</v>
      </c>
      <c r="D240" s="10" t="s">
        <v>36</v>
      </c>
      <c r="E240" s="23">
        <f>SUMIFS('Lista de Cargas'!P$4:P$18,'Lista de Cargas'!$H$4:$H$18,$D240,'Lista de Cargas'!$B$4:$B$18,$B240)</f>
        <v>0</v>
      </c>
      <c r="F240" s="23">
        <f>SUMIFS('Lista de Cargas'!Q$4:Q$18,'Lista de Cargas'!$H$4:$H$18,$D240,'Lista de Cargas'!$B$4:$B$18,$B240)</f>
        <v>0</v>
      </c>
      <c r="G240" s="23">
        <f>SUMIFS('Lista de Cargas'!R$4:R$18,'Lista de Cargas'!$H$4:$H$18,$D240,'Lista de Cargas'!$B$4:$B$18,$B240)</f>
        <v>0</v>
      </c>
      <c r="H240" s="23">
        <f>SUMIFS('Lista de Cargas'!S$4:S$18,'Lista de Cargas'!$H$4:$H$18,$D240,'Lista de Cargas'!$B$4:$B$18,$B240)</f>
        <v>0</v>
      </c>
      <c r="M240" s="23">
        <f t="shared" si="69"/>
        <v>0</v>
      </c>
      <c r="N240" s="23">
        <f t="shared" si="69"/>
        <v>0</v>
      </c>
      <c r="O240" s="23">
        <f t="shared" si="69"/>
        <v>0</v>
      </c>
      <c r="P240" s="23">
        <f t="shared" si="69"/>
        <v>0</v>
      </c>
    </row>
    <row r="241" spans="1:18" hidden="1" x14ac:dyDescent="0.25">
      <c r="A241" s="27"/>
      <c r="B241" s="22" t="s">
        <v>154</v>
      </c>
      <c r="C241" s="22" t="s">
        <v>2</v>
      </c>
      <c r="D241" s="2" t="s">
        <v>118</v>
      </c>
      <c r="E241" s="23">
        <f>SUMIFS('Lista de Cargas'!P$4:P$18,'Lista de Cargas'!$H$4:$H$18,$D241,'Lista de Cargas'!$B$4:$B$18,$B241)</f>
        <v>0</v>
      </c>
      <c r="F241" s="23">
        <f>SUMIFS('Lista de Cargas'!Q$4:Q$18,'Lista de Cargas'!$H$4:$H$18,$D241,'Lista de Cargas'!$B$4:$B$18,$B241)</f>
        <v>0</v>
      </c>
      <c r="G241" s="23">
        <f>SUMIFS('Lista de Cargas'!R$4:R$18,'Lista de Cargas'!$H$4:$H$18,$D241,'Lista de Cargas'!$B$4:$B$18,$B241)</f>
        <v>0</v>
      </c>
      <c r="H241" s="23">
        <f>SUMIFS('Lista de Cargas'!S$4:S$18,'Lista de Cargas'!$H$4:$H$18,$D241,'Lista de Cargas'!$B$4:$B$18,$B241)</f>
        <v>0</v>
      </c>
      <c r="M241" s="23">
        <f t="shared" si="69"/>
        <v>0</v>
      </c>
      <c r="N241" s="23">
        <f t="shared" si="69"/>
        <v>0</v>
      </c>
      <c r="O241" s="23">
        <f t="shared" si="69"/>
        <v>0</v>
      </c>
      <c r="P241" s="23">
        <f t="shared" si="69"/>
        <v>0</v>
      </c>
    </row>
    <row r="242" spans="1:18" hidden="1" x14ac:dyDescent="0.25">
      <c r="A242" s="27"/>
      <c r="B242" s="22" t="s">
        <v>154</v>
      </c>
      <c r="C242" s="22" t="s">
        <v>2</v>
      </c>
      <c r="D242" s="10" t="s">
        <v>41</v>
      </c>
      <c r="E242" s="23">
        <f>SUMIFS('Lista de Cargas'!P$4:P$18,'Lista de Cargas'!$H$4:$H$18,$D242,'Lista de Cargas'!$B$4:$B$18,$B242)</f>
        <v>0</v>
      </c>
      <c r="F242" s="23">
        <f>SUMIFS('Lista de Cargas'!Q$4:Q$18,'Lista de Cargas'!$H$4:$H$18,$D242,'Lista de Cargas'!$B$4:$B$18,$B242)</f>
        <v>0</v>
      </c>
      <c r="G242" s="23">
        <f>SUMIFS('Lista de Cargas'!R$4:R$18,'Lista de Cargas'!$H$4:$H$18,$D242,'Lista de Cargas'!$B$4:$B$18,$B242)</f>
        <v>0</v>
      </c>
      <c r="H242" s="23">
        <f>SUMIFS('Lista de Cargas'!S$4:S$18,'Lista de Cargas'!$H$4:$H$18,$D242,'Lista de Cargas'!$B$4:$B$18,$B242)</f>
        <v>0</v>
      </c>
      <c r="M242" s="23">
        <f t="shared" si="69"/>
        <v>0</v>
      </c>
      <c r="N242" s="23">
        <f t="shared" si="69"/>
        <v>0</v>
      </c>
      <c r="O242" s="23">
        <f t="shared" si="69"/>
        <v>0</v>
      </c>
      <c r="P242" s="23">
        <f t="shared" si="69"/>
        <v>0</v>
      </c>
    </row>
    <row r="243" spans="1:18" hidden="1" x14ac:dyDescent="0.25">
      <c r="A243" s="27"/>
      <c r="B243" s="22" t="s">
        <v>154</v>
      </c>
      <c r="C243" s="22" t="s">
        <v>2</v>
      </c>
      <c r="D243" s="10" t="s">
        <v>42</v>
      </c>
      <c r="E243" s="23">
        <f>SUMIFS('Lista de Cargas'!P$4:P$18,'Lista de Cargas'!$H$4:$H$18,$D243,'Lista de Cargas'!$B$4:$B$18,$B243)</f>
        <v>0</v>
      </c>
      <c r="F243" s="23">
        <f>SUMIFS('Lista de Cargas'!Q$4:Q$18,'Lista de Cargas'!$H$4:$H$18,$D243,'Lista de Cargas'!$B$4:$B$18,$B243)</f>
        <v>0</v>
      </c>
      <c r="G243" s="23">
        <f>SUMIFS('Lista de Cargas'!R$4:R$18,'Lista de Cargas'!$H$4:$H$18,$D243,'Lista de Cargas'!$B$4:$B$18,$B243)</f>
        <v>0</v>
      </c>
      <c r="H243" s="23">
        <f>SUMIFS('Lista de Cargas'!S$4:S$18,'Lista de Cargas'!$H$4:$H$18,$D243,'Lista de Cargas'!$B$4:$B$18,$B243)</f>
        <v>0</v>
      </c>
      <c r="M243" s="23">
        <f t="shared" si="69"/>
        <v>0</v>
      </c>
      <c r="N243" s="23">
        <f t="shared" si="69"/>
        <v>0</v>
      </c>
      <c r="O243" s="23">
        <f t="shared" si="69"/>
        <v>0</v>
      </c>
      <c r="P243" s="23">
        <f t="shared" si="69"/>
        <v>0</v>
      </c>
    </row>
    <row r="244" spans="1:18" s="43" customFormat="1" hidden="1" x14ac:dyDescent="0.25">
      <c r="A244" s="38"/>
      <c r="B244" s="39" t="s">
        <v>154</v>
      </c>
      <c r="C244" s="45" t="s">
        <v>2</v>
      </c>
      <c r="D244" s="41" t="s">
        <v>47</v>
      </c>
      <c r="E244" s="40">
        <f>SUM(E237:E243)</f>
        <v>0</v>
      </c>
      <c r="F244" s="40">
        <f>SUM(F237:F243)</f>
        <v>0</v>
      </c>
      <c r="G244" s="40">
        <f>SUM(G237:G243)</f>
        <v>0</v>
      </c>
      <c r="H244" s="40">
        <f>SUM(H237:H243)</f>
        <v>0</v>
      </c>
      <c r="I244" s="42"/>
      <c r="J244" s="42"/>
      <c r="M244" s="44"/>
      <c r="N244" s="44"/>
      <c r="O244" s="44"/>
      <c r="P244" s="44"/>
    </row>
    <row r="245" spans="1:18" s="43" customFormat="1" hidden="1" x14ac:dyDescent="0.25">
      <c r="A245" s="45" t="s">
        <v>2</v>
      </c>
      <c r="B245" s="45" t="s">
        <v>2</v>
      </c>
      <c r="C245" s="46"/>
      <c r="D245" s="47" t="s">
        <v>2</v>
      </c>
      <c r="E245" s="48" t="e">
        <f>E244/E$247</f>
        <v>#DIV/0!</v>
      </c>
      <c r="F245" s="48" t="e">
        <f>F244/F$247</f>
        <v>#DIV/0!</v>
      </c>
      <c r="G245" s="48" t="e">
        <f>G244/G$247</f>
        <v>#DIV/0!</v>
      </c>
      <c r="H245" s="48" t="e">
        <f>H244/H$247</f>
        <v>#DIV/0!</v>
      </c>
      <c r="I245" s="42"/>
      <c r="J245" s="42"/>
      <c r="M245" s="44"/>
      <c r="N245" s="44"/>
      <c r="O245" s="44"/>
      <c r="P245" s="44"/>
    </row>
    <row r="246" spans="1:18" x14ac:dyDescent="0.25">
      <c r="B246" s="21"/>
      <c r="D246" s="26"/>
      <c r="E246" s="29"/>
      <c r="F246" s="29"/>
      <c r="G246" s="29"/>
      <c r="H246" s="29"/>
      <c r="M246" s="29"/>
      <c r="N246" s="29"/>
      <c r="O246" s="29"/>
      <c r="P246" s="29"/>
    </row>
    <row r="247" spans="1:18" x14ac:dyDescent="0.25">
      <c r="B247" s="25"/>
      <c r="D247" s="21" t="s">
        <v>47</v>
      </c>
      <c r="E247" s="19">
        <f>SUMIF($D$3:$D$245,"TOTAL",E3:E245)</f>
        <v>0</v>
      </c>
      <c r="F247" s="19">
        <f>SUMIF($D$3:$D$245,"TOTAL",F3:F245)</f>
        <v>0</v>
      </c>
      <c r="G247" s="19">
        <f>SUMIF($D$3:$D$245,"TOTAL",G3:G245)</f>
        <v>0</v>
      </c>
      <c r="H247" s="19">
        <f>SUMIF($D$3:$D$245,"TOTAL",H3:H245)</f>
        <v>0</v>
      </c>
      <c r="I247" s="19"/>
      <c r="J247" s="31"/>
      <c r="K247" s="30"/>
      <c r="L247" s="30"/>
      <c r="M247" s="19">
        <f>SUM(M3:M245)</f>
        <v>0</v>
      </c>
      <c r="N247" s="19">
        <f>SUM(N3:N245)</f>
        <v>0</v>
      </c>
      <c r="O247" s="19">
        <f>SUM(O3:O245)</f>
        <v>0</v>
      </c>
      <c r="P247" s="19">
        <f>SUM(P3:P245)</f>
        <v>0</v>
      </c>
    </row>
    <row r="248" spans="1:18" x14ac:dyDescent="0.25">
      <c r="D248" s="21" t="s">
        <v>77</v>
      </c>
      <c r="E248" s="19">
        <f>'Lista de Cargas'!P34</f>
        <v>33.110000000000014</v>
      </c>
      <c r="F248" s="19" t="e">
        <f>'Lista de Cargas'!Q34</f>
        <v>#REF!</v>
      </c>
      <c r="G248" s="19">
        <f>'Lista de Cargas'!R34</f>
        <v>23.536999999999999</v>
      </c>
      <c r="H248" s="19" t="e">
        <f>'Lista de Cargas'!S34</f>
        <v>#REF!</v>
      </c>
      <c r="J248" s="31"/>
      <c r="K248" s="30"/>
      <c r="L248" s="30"/>
      <c r="M248" s="19">
        <f>'Lista de Cargas'!P34</f>
        <v>33.110000000000014</v>
      </c>
      <c r="N248" s="19" t="e">
        <f>'Lista de Cargas'!Q34</f>
        <v>#REF!</v>
      </c>
      <c r="O248" s="19">
        <f>'Lista de Cargas'!R34</f>
        <v>23.536999999999999</v>
      </c>
      <c r="P248" s="19" t="e">
        <f>'Lista de Cargas'!S34</f>
        <v>#REF!</v>
      </c>
    </row>
    <row r="249" spans="1:18" x14ac:dyDescent="0.25">
      <c r="D249" s="21"/>
      <c r="E249" s="19"/>
      <c r="F249" s="19"/>
      <c r="G249" s="19"/>
      <c r="H249" s="19"/>
      <c r="J249" s="31"/>
      <c r="K249" s="30"/>
      <c r="L249" s="30"/>
      <c r="M249" s="19"/>
      <c r="N249" s="19"/>
      <c r="O249" s="19"/>
      <c r="P249" s="19"/>
    </row>
    <row r="250" spans="1:18" x14ac:dyDescent="0.25">
      <c r="D250" s="21"/>
      <c r="E250" s="19"/>
      <c r="F250" s="19"/>
      <c r="G250" s="19"/>
      <c r="H250" s="19"/>
      <c r="J250" s="31"/>
      <c r="K250" s="30"/>
      <c r="L250" s="30"/>
      <c r="M250" s="19"/>
      <c r="N250" s="19"/>
      <c r="O250" s="19"/>
      <c r="P250" s="19"/>
    </row>
    <row r="251" spans="1:18" ht="72.599999999999994" customHeight="1" x14ac:dyDescent="0.25">
      <c r="I251"/>
      <c r="J251" s="61" t="s">
        <v>329</v>
      </c>
      <c r="K251" s="87" t="s">
        <v>159</v>
      </c>
      <c r="L251" s="61" t="s">
        <v>160</v>
      </c>
      <c r="M251" s="63" t="s">
        <v>60</v>
      </c>
      <c r="N251" s="63" t="s">
        <v>61</v>
      </c>
      <c r="O251" s="63" t="s">
        <v>62</v>
      </c>
      <c r="P251" s="63" t="s">
        <v>63</v>
      </c>
    </row>
    <row r="252" spans="1:18" x14ac:dyDescent="0.25">
      <c r="J252" s="22" t="s">
        <v>28</v>
      </c>
      <c r="K252" s="88" t="s">
        <v>327</v>
      </c>
      <c r="L252" s="22">
        <v>1</v>
      </c>
      <c r="M252" s="53">
        <f>(SUMIFS(M$3:M$245,$B$3:$B$245,$K252))</f>
        <v>0</v>
      </c>
      <c r="N252" s="53">
        <f>(SUMIFS(N$3:N$245,$B$3:$B$245,$K252))</f>
        <v>0</v>
      </c>
      <c r="O252" s="53">
        <f>(SUMIFS(O$3:O$245,$B$3:$B$245,$K252))</f>
        <v>0</v>
      </c>
      <c r="P252" s="53">
        <f>(SUMIFS(P$3:P$245,$B$3:$B$245,$K252))</f>
        <v>0</v>
      </c>
      <c r="Q252" s="54"/>
      <c r="R252" s="31"/>
    </row>
    <row r="253" spans="1:18" ht="13.95" customHeight="1" x14ac:dyDescent="0.25">
      <c r="J253" s="22" t="s">
        <v>28</v>
      </c>
      <c r="K253" s="88" t="s">
        <v>323</v>
      </c>
      <c r="L253" s="22">
        <v>1</v>
      </c>
      <c r="M253" s="53">
        <f t="shared" ref="M253:P257" si="70">(SUMIFS(M$3:M$245,$B$3:$B$245,$K253))</f>
        <v>0</v>
      </c>
      <c r="N253" s="53">
        <f t="shared" si="70"/>
        <v>0</v>
      </c>
      <c r="O253" s="53">
        <f t="shared" si="70"/>
        <v>0</v>
      </c>
      <c r="P253" s="53">
        <f t="shared" si="70"/>
        <v>0</v>
      </c>
      <c r="Q253" s="54"/>
      <c r="R253" s="31"/>
    </row>
    <row r="254" spans="1:18" ht="13.95" customHeight="1" x14ac:dyDescent="0.25">
      <c r="J254" s="22" t="s">
        <v>28</v>
      </c>
      <c r="K254" s="88" t="s">
        <v>325</v>
      </c>
      <c r="L254" s="22">
        <v>1</v>
      </c>
      <c r="M254" s="53">
        <f t="shared" si="70"/>
        <v>0</v>
      </c>
      <c r="N254" s="53">
        <f t="shared" si="70"/>
        <v>0</v>
      </c>
      <c r="O254" s="53">
        <f t="shared" si="70"/>
        <v>0</v>
      </c>
      <c r="P254" s="53">
        <f t="shared" si="70"/>
        <v>0</v>
      </c>
      <c r="Q254" s="54"/>
      <c r="R254" s="31"/>
    </row>
    <row r="255" spans="1:18" ht="13.95" customHeight="1" x14ac:dyDescent="0.25">
      <c r="J255" s="22" t="s">
        <v>321</v>
      </c>
      <c r="K255" s="88" t="s">
        <v>328</v>
      </c>
      <c r="L255" s="22">
        <v>1</v>
      </c>
      <c r="M255" s="53">
        <f t="shared" si="70"/>
        <v>0</v>
      </c>
      <c r="N255" s="53">
        <f t="shared" si="70"/>
        <v>0</v>
      </c>
      <c r="O255" s="53">
        <f t="shared" si="70"/>
        <v>0</v>
      </c>
      <c r="P255" s="53">
        <f t="shared" si="70"/>
        <v>0</v>
      </c>
      <c r="Q255" s="54"/>
      <c r="R255" s="31"/>
    </row>
    <row r="256" spans="1:18" ht="13.95" customHeight="1" x14ac:dyDescent="0.25">
      <c r="J256" s="22" t="s">
        <v>321</v>
      </c>
      <c r="K256" s="88" t="s">
        <v>324</v>
      </c>
      <c r="L256" s="22">
        <v>1</v>
      </c>
      <c r="M256" s="53">
        <f t="shared" si="70"/>
        <v>0</v>
      </c>
      <c r="N256" s="53">
        <f t="shared" si="70"/>
        <v>0</v>
      </c>
      <c r="O256" s="53">
        <f t="shared" si="70"/>
        <v>0</v>
      </c>
      <c r="P256" s="53">
        <f t="shared" si="70"/>
        <v>0</v>
      </c>
      <c r="Q256" s="54"/>
      <c r="R256" s="31"/>
    </row>
    <row r="257" spans="10:18" ht="13.95" customHeight="1" x14ac:dyDescent="0.25">
      <c r="J257" s="22" t="s">
        <v>321</v>
      </c>
      <c r="K257" s="88" t="s">
        <v>326</v>
      </c>
      <c r="L257" s="22">
        <v>1</v>
      </c>
      <c r="M257" s="53">
        <f t="shared" si="70"/>
        <v>0</v>
      </c>
      <c r="N257" s="53">
        <f t="shared" si="70"/>
        <v>0</v>
      </c>
      <c r="O257" s="53">
        <f t="shared" si="70"/>
        <v>0</v>
      </c>
      <c r="P257" s="53">
        <f t="shared" si="70"/>
        <v>0</v>
      </c>
      <c r="Q257" s="54"/>
      <c r="R257" s="31"/>
    </row>
    <row r="258" spans="10:18" x14ac:dyDescent="0.25">
      <c r="J258" s="89"/>
      <c r="Q258">
        <v>0.4</v>
      </c>
    </row>
    <row r="259" spans="10:18" x14ac:dyDescent="0.25">
      <c r="K259" s="22" t="s">
        <v>47</v>
      </c>
      <c r="L259" s="22" t="s">
        <v>2</v>
      </c>
      <c r="M259" s="53">
        <f>SUM(M252:M257)</f>
        <v>0</v>
      </c>
      <c r="N259" s="53">
        <f>SUM(N252:N257)</f>
        <v>0</v>
      </c>
      <c r="O259" s="53">
        <f>SUM(O252:O257)</f>
        <v>0</v>
      </c>
      <c r="P259" s="53">
        <f>SUM(P252:P257)</f>
        <v>0</v>
      </c>
      <c r="Q259" s="54">
        <f>P259*Q258</f>
        <v>0</v>
      </c>
      <c r="R259" s="31"/>
    </row>
    <row r="260" spans="10:18" x14ac:dyDescent="0.25">
      <c r="J260" s="22" t="s">
        <v>28</v>
      </c>
      <c r="K260" s="22" t="s">
        <v>330</v>
      </c>
      <c r="L260" s="22" t="s">
        <v>2</v>
      </c>
      <c r="M260" s="53">
        <f>SUMIF($J$252:$J$257,$J260,M$252:M$257)</f>
        <v>0</v>
      </c>
      <c r="N260" s="53">
        <f t="shared" ref="N260:P261" si="71">SUMIF($J$252:$J$257,$J260,N$252:N$257)</f>
        <v>0</v>
      </c>
      <c r="O260" s="53">
        <f t="shared" si="71"/>
        <v>0</v>
      </c>
      <c r="P260" s="53">
        <f t="shared" si="71"/>
        <v>0</v>
      </c>
    </row>
    <row r="261" spans="10:18" x14ac:dyDescent="0.25">
      <c r="J261" s="22" t="s">
        <v>321</v>
      </c>
      <c r="K261" s="22" t="s">
        <v>331</v>
      </c>
      <c r="L261" s="22" t="s">
        <v>2</v>
      </c>
      <c r="M261" s="53">
        <f>SUMIF($J$252:$J$257,$J261,M$252:M$257)</f>
        <v>0</v>
      </c>
      <c r="N261" s="53">
        <f t="shared" si="71"/>
        <v>0</v>
      </c>
      <c r="O261" s="53">
        <f t="shared" si="71"/>
        <v>0</v>
      </c>
      <c r="P261" s="53">
        <f t="shared" si="71"/>
        <v>0</v>
      </c>
    </row>
  </sheetData>
  <autoFilter ref="A2:K245" xr:uid="{CF30B468-59E2-4074-9BBA-B9BC2EE23FE5}"/>
  <mergeCells count="12">
    <mergeCell ref="N1:N2"/>
    <mergeCell ref="O1:O2"/>
    <mergeCell ref="P1:P2"/>
    <mergeCell ref="A1:A2"/>
    <mergeCell ref="D1:D2"/>
    <mergeCell ref="E1:E2"/>
    <mergeCell ref="F1:F2"/>
    <mergeCell ref="M1:M2"/>
    <mergeCell ref="G1:G2"/>
    <mergeCell ref="H1:H2"/>
    <mergeCell ref="B1:B2"/>
    <mergeCell ref="C1:C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DEAF1-02F7-4DB1-AFC5-5307DA0D2E71}">
  <dimension ref="A1:I37"/>
  <sheetViews>
    <sheetView zoomScale="85" zoomScaleNormal="85" workbookViewId="0">
      <selection activeCell="A34" sqref="A34:D34"/>
    </sheetView>
  </sheetViews>
  <sheetFormatPr defaultRowHeight="13.2" x14ac:dyDescent="0.25"/>
  <cols>
    <col min="1" max="1" width="10.88671875" bestFit="1" customWidth="1"/>
    <col min="3" max="3" width="10.5546875" bestFit="1" customWidth="1"/>
    <col min="4" max="4" width="11.109375" style="20" bestFit="1" customWidth="1"/>
    <col min="5" max="6" width="9.109375" style="20"/>
    <col min="7" max="7" width="14.44140625" style="20" customWidth="1"/>
    <col min="8" max="8" width="11.5546875" bestFit="1" customWidth="1"/>
    <col min="9" max="9" width="14.6640625" style="20" bestFit="1" customWidth="1"/>
  </cols>
  <sheetData>
    <row r="1" spans="1:9" x14ac:dyDescent="0.25">
      <c r="A1" s="30" t="s">
        <v>119</v>
      </c>
    </row>
    <row r="2" spans="1:9" s="20" customFormat="1" x14ac:dyDescent="0.25">
      <c r="A2" s="24" t="s">
        <v>93</v>
      </c>
      <c r="B2" s="24" t="s">
        <v>94</v>
      </c>
      <c r="C2" s="24" t="s">
        <v>95</v>
      </c>
      <c r="D2" s="24" t="s">
        <v>96</v>
      </c>
      <c r="E2" s="24" t="s">
        <v>97</v>
      </c>
      <c r="F2" s="24" t="s">
        <v>98</v>
      </c>
      <c r="G2" s="24" t="s">
        <v>115</v>
      </c>
      <c r="H2" s="24" t="s">
        <v>104</v>
      </c>
      <c r="I2" s="24" t="s">
        <v>116</v>
      </c>
    </row>
    <row r="3" spans="1:9" x14ac:dyDescent="0.25">
      <c r="A3" s="22" t="s">
        <v>83</v>
      </c>
      <c r="B3" s="22" t="s">
        <v>92</v>
      </c>
      <c r="C3" s="37">
        <v>400</v>
      </c>
      <c r="D3" s="52">
        <v>589.40910776212661</v>
      </c>
      <c r="E3" s="37">
        <v>240</v>
      </c>
      <c r="F3" s="37">
        <v>3</v>
      </c>
      <c r="G3" s="22" t="s">
        <v>100</v>
      </c>
      <c r="H3" s="37">
        <v>167.828</v>
      </c>
      <c r="I3" s="37">
        <f>3*H3*F3*C3</f>
        <v>604180.80000000005</v>
      </c>
    </row>
    <row r="4" spans="1:9" x14ac:dyDescent="0.25">
      <c r="A4" s="22" t="s">
        <v>83</v>
      </c>
      <c r="B4" s="22" t="s">
        <v>88</v>
      </c>
      <c r="C4" s="37">
        <v>1000</v>
      </c>
      <c r="D4" s="55" t="s">
        <v>2</v>
      </c>
      <c r="E4" s="37"/>
      <c r="F4" s="37"/>
      <c r="G4" s="37"/>
      <c r="H4" s="28"/>
      <c r="I4" s="37">
        <f t="shared" ref="I4:I9" si="0">3*H4*F4*C4</f>
        <v>0</v>
      </c>
    </row>
    <row r="5" spans="1:9" x14ac:dyDescent="0.25">
      <c r="A5" s="22" t="s">
        <v>92</v>
      </c>
      <c r="B5" s="22" t="s">
        <v>84</v>
      </c>
      <c r="C5" s="37">
        <v>300</v>
      </c>
      <c r="D5" s="52">
        <v>79.929643233094723</v>
      </c>
      <c r="E5" s="37">
        <v>95</v>
      </c>
      <c r="F5" s="37">
        <v>1</v>
      </c>
      <c r="G5" s="22" t="s">
        <v>99</v>
      </c>
      <c r="H5" s="37">
        <v>79.680000000000007</v>
      </c>
      <c r="I5" s="37">
        <f t="shared" si="0"/>
        <v>71712</v>
      </c>
    </row>
    <row r="6" spans="1:9" x14ac:dyDescent="0.25">
      <c r="A6" s="22" t="s">
        <v>92</v>
      </c>
      <c r="B6" s="22" t="s">
        <v>89</v>
      </c>
      <c r="C6" s="37">
        <v>500</v>
      </c>
      <c r="D6" s="52">
        <v>160.88906001973757</v>
      </c>
      <c r="E6" s="37">
        <v>95</v>
      </c>
      <c r="F6" s="37">
        <v>1</v>
      </c>
      <c r="G6" s="22" t="s">
        <v>100</v>
      </c>
      <c r="H6" s="37">
        <v>79.680000000000007</v>
      </c>
      <c r="I6" s="37">
        <f t="shared" si="0"/>
        <v>119520.00000000001</v>
      </c>
    </row>
    <row r="7" spans="1:9" x14ac:dyDescent="0.25">
      <c r="A7" s="22" t="s">
        <v>92</v>
      </c>
      <c r="B7" s="22" t="s">
        <v>85</v>
      </c>
      <c r="C7" s="37">
        <v>370</v>
      </c>
      <c r="D7" s="52">
        <v>54.095519947837445</v>
      </c>
      <c r="E7" s="37">
        <v>95</v>
      </c>
      <c r="F7" s="37">
        <v>1</v>
      </c>
      <c r="G7" s="22" t="s">
        <v>99</v>
      </c>
      <c r="H7" s="37">
        <v>79.680000000000007</v>
      </c>
      <c r="I7" s="37">
        <f t="shared" si="0"/>
        <v>88444.800000000003</v>
      </c>
    </row>
    <row r="8" spans="1:9" x14ac:dyDescent="0.25">
      <c r="A8" s="22" t="s">
        <v>92</v>
      </c>
      <c r="B8" s="22" t="s">
        <v>86</v>
      </c>
      <c r="C8" s="37">
        <v>900</v>
      </c>
      <c r="D8" s="52">
        <v>50.460288782081484</v>
      </c>
      <c r="E8" s="37">
        <v>95</v>
      </c>
      <c r="F8" s="37">
        <v>1</v>
      </c>
      <c r="G8" s="22" t="s">
        <v>99</v>
      </c>
      <c r="H8" s="37">
        <v>79.680000000000007</v>
      </c>
      <c r="I8" s="37">
        <f t="shared" si="0"/>
        <v>215136.00000000003</v>
      </c>
    </row>
    <row r="9" spans="1:9" x14ac:dyDescent="0.25">
      <c r="A9" s="22" t="s">
        <v>92</v>
      </c>
      <c r="B9" s="22" t="s">
        <v>87</v>
      </c>
      <c r="C9" s="37">
        <v>600</v>
      </c>
      <c r="D9" s="52">
        <v>241.66300834324429</v>
      </c>
      <c r="E9" s="37">
        <v>185</v>
      </c>
      <c r="F9" s="37">
        <v>1</v>
      </c>
      <c r="G9" s="22" t="s">
        <v>100</v>
      </c>
      <c r="H9" s="37">
        <v>131.59299999999999</v>
      </c>
      <c r="I9" s="37">
        <f t="shared" si="0"/>
        <v>236867.4</v>
      </c>
    </row>
    <row r="10" spans="1:9" x14ac:dyDescent="0.25">
      <c r="A10" s="30"/>
      <c r="B10" s="30"/>
      <c r="I10" s="56">
        <f>SUM(I3:I9)</f>
        <v>1335861</v>
      </c>
    </row>
    <row r="12" spans="1:9" x14ac:dyDescent="0.25">
      <c r="A12" s="30" t="s">
        <v>120</v>
      </c>
    </row>
    <row r="13" spans="1:9" s="20" customFormat="1" x14ac:dyDescent="0.25">
      <c r="A13" s="24" t="s">
        <v>93</v>
      </c>
      <c r="B13" s="24" t="s">
        <v>94</v>
      </c>
      <c r="C13" s="24" t="s">
        <v>95</v>
      </c>
      <c r="D13" s="24" t="s">
        <v>96</v>
      </c>
      <c r="E13" s="24" t="s">
        <v>97</v>
      </c>
      <c r="F13" s="24" t="s">
        <v>98</v>
      </c>
      <c r="G13" s="24" t="s">
        <v>115</v>
      </c>
      <c r="H13" s="24" t="s">
        <v>104</v>
      </c>
      <c r="I13" s="24" t="s">
        <v>116</v>
      </c>
    </row>
    <row r="14" spans="1:9" x14ac:dyDescent="0.25">
      <c r="A14" s="22" t="s">
        <v>83</v>
      </c>
      <c r="B14" s="22" t="s">
        <v>92</v>
      </c>
      <c r="C14" s="37">
        <v>10</v>
      </c>
      <c r="D14" s="52">
        <v>589.40910776212661</v>
      </c>
      <c r="E14" s="37">
        <v>240</v>
      </c>
      <c r="F14" s="37">
        <v>3</v>
      </c>
      <c r="G14" s="37"/>
      <c r="H14" s="37">
        <v>167.828</v>
      </c>
      <c r="I14" s="37">
        <f t="shared" ref="I14:I19" si="1">3*H14*F14*C14</f>
        <v>15104.520000000002</v>
      </c>
    </row>
    <row r="15" spans="1:9" x14ac:dyDescent="0.25">
      <c r="A15" s="22" t="s">
        <v>83</v>
      </c>
      <c r="B15" s="22" t="s">
        <v>84</v>
      </c>
      <c r="C15" s="37">
        <v>700</v>
      </c>
      <c r="D15" s="52">
        <v>79.929643233094723</v>
      </c>
      <c r="E15" s="37">
        <v>95</v>
      </c>
      <c r="F15" s="37">
        <v>1</v>
      </c>
      <c r="G15" s="22" t="s">
        <v>99</v>
      </c>
      <c r="H15" s="37">
        <v>79.680000000000007</v>
      </c>
      <c r="I15" s="37">
        <f t="shared" si="1"/>
        <v>167328</v>
      </c>
    </row>
    <row r="16" spans="1:9" x14ac:dyDescent="0.25">
      <c r="A16" s="22" t="s">
        <v>83</v>
      </c>
      <c r="B16" s="22" t="s">
        <v>89</v>
      </c>
      <c r="C16" s="37">
        <v>900</v>
      </c>
      <c r="D16" s="52">
        <v>160.88906001973757</v>
      </c>
      <c r="E16" s="37">
        <v>95</v>
      </c>
      <c r="F16" s="37">
        <v>1</v>
      </c>
      <c r="G16" s="22" t="s">
        <v>100</v>
      </c>
      <c r="H16" s="37">
        <v>79.680000000000007</v>
      </c>
      <c r="I16" s="37">
        <f t="shared" si="1"/>
        <v>215136.00000000003</v>
      </c>
    </row>
    <row r="17" spans="1:9" x14ac:dyDescent="0.25">
      <c r="A17" s="22" t="s">
        <v>83</v>
      </c>
      <c r="B17" s="22" t="s">
        <v>85</v>
      </c>
      <c r="C17" s="37">
        <v>770</v>
      </c>
      <c r="D17" s="52">
        <v>54.095519947837445</v>
      </c>
      <c r="E17" s="37">
        <v>95</v>
      </c>
      <c r="F17" s="37">
        <v>1</v>
      </c>
      <c r="G17" s="22" t="s">
        <v>99</v>
      </c>
      <c r="H17" s="37">
        <v>79.680000000000007</v>
      </c>
      <c r="I17" s="37">
        <f t="shared" si="1"/>
        <v>184060.80000000002</v>
      </c>
    </row>
    <row r="18" spans="1:9" x14ac:dyDescent="0.25">
      <c r="A18" s="22" t="s">
        <v>83</v>
      </c>
      <c r="B18" s="22" t="s">
        <v>86</v>
      </c>
      <c r="C18" s="37">
        <v>1300</v>
      </c>
      <c r="D18" s="52">
        <v>50.460288782081484</v>
      </c>
      <c r="E18" s="37">
        <v>95</v>
      </c>
      <c r="F18" s="37">
        <v>1</v>
      </c>
      <c r="G18" s="22" t="s">
        <v>99</v>
      </c>
      <c r="H18" s="37">
        <v>79.680000000000007</v>
      </c>
      <c r="I18" s="37">
        <f t="shared" si="1"/>
        <v>310752</v>
      </c>
    </row>
    <row r="19" spans="1:9" x14ac:dyDescent="0.25">
      <c r="A19" s="22" t="s">
        <v>83</v>
      </c>
      <c r="B19" s="22" t="s">
        <v>87</v>
      </c>
      <c r="C19" s="37">
        <v>1000</v>
      </c>
      <c r="D19" s="52">
        <v>241.66300834324429</v>
      </c>
      <c r="E19" s="37">
        <v>185</v>
      </c>
      <c r="F19" s="37">
        <v>1</v>
      </c>
      <c r="G19" s="22" t="s">
        <v>100</v>
      </c>
      <c r="H19" s="37">
        <v>131.59299999999999</v>
      </c>
      <c r="I19" s="37">
        <f t="shared" si="1"/>
        <v>394779</v>
      </c>
    </row>
    <row r="20" spans="1:9" x14ac:dyDescent="0.25">
      <c r="A20" s="22" t="s">
        <v>83</v>
      </c>
      <c r="B20" s="22" t="s">
        <v>88</v>
      </c>
      <c r="C20" s="37">
        <v>1000</v>
      </c>
      <c r="D20" s="55" t="s">
        <v>2</v>
      </c>
      <c r="E20" s="37"/>
      <c r="F20" s="37"/>
      <c r="G20" s="37"/>
      <c r="H20" s="28"/>
      <c r="I20" s="37"/>
    </row>
    <row r="21" spans="1:9" x14ac:dyDescent="0.25">
      <c r="I21" s="56">
        <f>SUM(I14:I20)</f>
        <v>1287160.3200000001</v>
      </c>
    </row>
    <row r="23" spans="1:9" x14ac:dyDescent="0.25">
      <c r="A23" s="556" t="s">
        <v>101</v>
      </c>
      <c r="B23" s="556"/>
      <c r="C23" s="556"/>
      <c r="D23" s="556"/>
      <c r="E23" s="556"/>
      <c r="F23" s="556"/>
    </row>
    <row r="24" spans="1:9" x14ac:dyDescent="0.25">
      <c r="A24" s="556"/>
      <c r="B24" s="556"/>
      <c r="C24" s="556"/>
      <c r="D24" s="556"/>
      <c r="E24" s="556"/>
      <c r="F24" s="556"/>
    </row>
    <row r="25" spans="1:9" x14ac:dyDescent="0.25">
      <c r="A25" s="557" t="s">
        <v>102</v>
      </c>
      <c r="B25" s="557"/>
      <c r="C25" s="557"/>
      <c r="D25" s="557"/>
      <c r="E25" s="557"/>
      <c r="F25" s="557"/>
    </row>
    <row r="26" spans="1:9" x14ac:dyDescent="0.25">
      <c r="A26" s="557"/>
      <c r="B26" s="557"/>
      <c r="C26" s="557"/>
      <c r="D26" s="557"/>
      <c r="E26" s="557"/>
      <c r="F26" s="557"/>
    </row>
    <row r="27" spans="1:9" ht="21" x14ac:dyDescent="0.25">
      <c r="A27" s="558" t="s">
        <v>103</v>
      </c>
      <c r="B27" s="558"/>
      <c r="C27" s="558"/>
      <c r="D27" s="558"/>
      <c r="E27" s="558" t="s">
        <v>104</v>
      </c>
      <c r="F27" s="558"/>
    </row>
    <row r="28" spans="1:9" x14ac:dyDescent="0.25">
      <c r="A28" s="559" t="s">
        <v>105</v>
      </c>
      <c r="B28" s="559"/>
      <c r="C28" s="559"/>
      <c r="D28" s="559"/>
      <c r="E28" s="553">
        <v>33.573999999999998</v>
      </c>
      <c r="F28" s="553"/>
    </row>
    <row r="29" spans="1:9" x14ac:dyDescent="0.25">
      <c r="A29" s="552" t="s">
        <v>106</v>
      </c>
      <c r="B29" s="552"/>
      <c r="C29" s="552"/>
      <c r="D29" s="552"/>
      <c r="E29" s="553">
        <v>38.229999999999997</v>
      </c>
      <c r="F29" s="553"/>
    </row>
    <row r="30" spans="1:9" x14ac:dyDescent="0.25">
      <c r="A30" s="552" t="s">
        <v>107</v>
      </c>
      <c r="B30" s="552"/>
      <c r="C30" s="552"/>
      <c r="D30" s="552"/>
      <c r="E30" s="553">
        <v>42.511000000000003</v>
      </c>
      <c r="F30" s="553"/>
    </row>
    <row r="31" spans="1:9" x14ac:dyDescent="0.25">
      <c r="A31" s="552" t="s">
        <v>108</v>
      </c>
      <c r="B31" s="552"/>
      <c r="C31" s="552"/>
      <c r="D31" s="552"/>
      <c r="E31" s="553">
        <v>50.587000000000003</v>
      </c>
      <c r="F31" s="553"/>
    </row>
    <row r="32" spans="1:9" x14ac:dyDescent="0.25">
      <c r="A32" s="552" t="s">
        <v>109</v>
      </c>
      <c r="B32" s="552"/>
      <c r="C32" s="552"/>
      <c r="D32" s="552"/>
      <c r="E32" s="553">
        <v>63.695</v>
      </c>
      <c r="F32" s="553"/>
    </row>
    <row r="33" spans="1:6" x14ac:dyDescent="0.25">
      <c r="A33" s="552" t="s">
        <v>110</v>
      </c>
      <c r="B33" s="552"/>
      <c r="C33" s="552"/>
      <c r="D33" s="552"/>
      <c r="E33" s="553">
        <v>79.680000000000007</v>
      </c>
      <c r="F33" s="553"/>
    </row>
    <row r="34" spans="1:6" x14ac:dyDescent="0.25">
      <c r="A34" s="552" t="s">
        <v>111</v>
      </c>
      <c r="B34" s="552"/>
      <c r="C34" s="552"/>
      <c r="D34" s="552"/>
      <c r="E34" s="553">
        <v>93.804000000000002</v>
      </c>
      <c r="F34" s="553"/>
    </row>
    <row r="35" spans="1:6" x14ac:dyDescent="0.25">
      <c r="A35" s="552" t="s">
        <v>112</v>
      </c>
      <c r="B35" s="552"/>
      <c r="C35" s="552"/>
      <c r="D35" s="552"/>
      <c r="E35" s="553">
        <v>110.619</v>
      </c>
      <c r="F35" s="553"/>
    </row>
    <row r="36" spans="1:6" x14ac:dyDescent="0.25">
      <c r="A36" s="552" t="s">
        <v>113</v>
      </c>
      <c r="B36" s="552"/>
      <c r="C36" s="552"/>
      <c r="D36" s="552"/>
      <c r="E36" s="553">
        <v>131.59299999999999</v>
      </c>
      <c r="F36" s="553"/>
    </row>
    <row r="37" spans="1:6" x14ac:dyDescent="0.25">
      <c r="A37" s="554" t="s">
        <v>114</v>
      </c>
      <c r="B37" s="554"/>
      <c r="C37" s="554"/>
      <c r="D37" s="554"/>
      <c r="E37" s="555">
        <v>167.828</v>
      </c>
      <c r="F37" s="555"/>
    </row>
  </sheetData>
  <mergeCells count="24">
    <mergeCell ref="A23:F24"/>
    <mergeCell ref="A25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</mergeCells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DBCEB-B2FD-4BA2-8CDE-49CA65509D52}">
  <dimension ref="A1:R55"/>
  <sheetViews>
    <sheetView zoomScale="55" zoomScaleNormal="55" workbookViewId="0">
      <pane ySplit="2" topLeftCell="A3" activePane="bottomLeft" state="frozenSplit"/>
      <selection activeCell="A34" sqref="A34:D34"/>
      <selection pane="bottomLeft" activeCell="A34" sqref="A34:D34"/>
    </sheetView>
  </sheetViews>
  <sheetFormatPr defaultColWidth="8.88671875" defaultRowHeight="14.4" x14ac:dyDescent="0.3"/>
  <cols>
    <col min="1" max="1" width="20.109375" style="69" bestFit="1" customWidth="1"/>
    <col min="2" max="2" width="29.5546875" style="69" bestFit="1" customWidth="1"/>
    <col min="3" max="3" width="40.6640625" style="69" bestFit="1" customWidth="1"/>
    <col min="4" max="4" width="11.6640625" style="69" customWidth="1"/>
    <col min="5" max="5" width="16.44140625" style="69" bestFit="1" customWidth="1"/>
    <col min="6" max="6" width="16.44140625" style="69" customWidth="1"/>
    <col min="7" max="7" width="11.6640625" style="69" customWidth="1"/>
    <col min="8" max="8" width="8.88671875" style="79"/>
    <col min="9" max="9" width="16.5546875" style="79" bestFit="1" customWidth="1"/>
    <col min="10" max="10" width="22.6640625" style="79" customWidth="1"/>
    <col min="11" max="11" width="22.6640625" style="79" bestFit="1" customWidth="1"/>
    <col min="12" max="12" width="15.109375" style="79" bestFit="1" customWidth="1"/>
    <col min="13" max="13" width="13.88671875" style="79" bestFit="1" customWidth="1"/>
    <col min="14" max="14" width="17" style="79" bestFit="1" customWidth="1"/>
    <col min="15" max="16" width="22.6640625" style="79" customWidth="1"/>
    <col min="17" max="16384" width="8.88671875" style="69"/>
  </cols>
  <sheetData>
    <row r="1" spans="1:16" ht="41.4" customHeight="1" x14ac:dyDescent="0.3">
      <c r="A1" s="66"/>
      <c r="B1" s="66"/>
      <c r="C1" s="66"/>
      <c r="D1" s="66"/>
      <c r="E1" s="560" t="s">
        <v>284</v>
      </c>
      <c r="F1" s="66" t="s">
        <v>285</v>
      </c>
      <c r="G1" s="66" t="s">
        <v>285</v>
      </c>
      <c r="H1" s="560" t="s">
        <v>286</v>
      </c>
      <c r="I1" s="67" t="s">
        <v>292</v>
      </c>
      <c r="J1" s="68" t="s">
        <v>293</v>
      </c>
      <c r="K1" s="68" t="s">
        <v>293</v>
      </c>
      <c r="L1" s="67" t="s">
        <v>294</v>
      </c>
      <c r="M1" s="67" t="s">
        <v>295</v>
      </c>
      <c r="N1" s="67" t="s">
        <v>296</v>
      </c>
      <c r="O1" s="68" t="s">
        <v>309</v>
      </c>
      <c r="P1" s="68" t="s">
        <v>311</v>
      </c>
    </row>
    <row r="2" spans="1:16" x14ac:dyDescent="0.3">
      <c r="A2" s="66" t="s">
        <v>161</v>
      </c>
      <c r="B2" s="66" t="s">
        <v>287</v>
      </c>
      <c r="C2" s="66" t="s">
        <v>287</v>
      </c>
      <c r="D2" s="70" t="s">
        <v>130</v>
      </c>
      <c r="E2" s="561"/>
      <c r="F2" s="70" t="s">
        <v>291</v>
      </c>
      <c r="G2" s="70" t="s">
        <v>288</v>
      </c>
      <c r="H2" s="561"/>
      <c r="I2" s="66" t="s">
        <v>289</v>
      </c>
      <c r="J2" s="66" t="s">
        <v>289</v>
      </c>
      <c r="K2" s="66" t="s">
        <v>290</v>
      </c>
      <c r="L2" s="66" t="s">
        <v>289</v>
      </c>
      <c r="M2" s="66" t="s">
        <v>310</v>
      </c>
      <c r="N2" s="66" t="s">
        <v>310</v>
      </c>
      <c r="O2" s="66" t="s">
        <v>310</v>
      </c>
      <c r="P2" s="66" t="s">
        <v>289</v>
      </c>
    </row>
    <row r="3" spans="1:16" x14ac:dyDescent="0.3">
      <c r="A3" s="71"/>
      <c r="B3" s="72" t="s">
        <v>162</v>
      </c>
      <c r="C3" s="72" t="s">
        <v>163</v>
      </c>
      <c r="D3" s="73">
        <v>7.77</v>
      </c>
      <c r="E3" s="73">
        <v>2.8</v>
      </c>
      <c r="F3" s="73">
        <v>11.44</v>
      </c>
      <c r="G3" s="74">
        <f t="shared" ref="G3:G50" si="0">4*(SQRT(D3))</f>
        <v>11.149887891813083</v>
      </c>
      <c r="H3" s="75">
        <v>12</v>
      </c>
      <c r="I3" s="76">
        <f t="shared" ref="I3:I50" si="1">H3*D3</f>
        <v>93.24</v>
      </c>
      <c r="J3" s="77">
        <f>K3*0.99</f>
        <v>99</v>
      </c>
      <c r="K3" s="77">
        <f t="shared" ref="K3:K50" si="2">(IF(D3&lt;=6,100,((ROUNDDOWN((D3-6)/4,0))*60)+100))</f>
        <v>100</v>
      </c>
      <c r="L3" s="75">
        <v>25</v>
      </c>
      <c r="M3" s="76">
        <f t="shared" ref="M3:M50" si="3">ROUNDUP(I3/L3,0)</f>
        <v>4</v>
      </c>
      <c r="N3" s="76">
        <f t="shared" ref="N3:N50" si="4">ROUNDUP(K3/L3,0)</f>
        <v>4</v>
      </c>
      <c r="O3" s="77">
        <f>(IF(D3&lt;=6,1,((ROUNDDOWN(F3/3.5,0)))))</f>
        <v>3</v>
      </c>
      <c r="P3" s="77">
        <f>O3*20*220*0.85</f>
        <v>11220</v>
      </c>
    </row>
    <row r="4" spans="1:16" x14ac:dyDescent="0.3">
      <c r="A4" s="71" t="s">
        <v>164</v>
      </c>
      <c r="B4" s="72" t="s">
        <v>165</v>
      </c>
      <c r="C4" s="72" t="s">
        <v>166</v>
      </c>
      <c r="D4" s="73">
        <v>20.059999999999999</v>
      </c>
      <c r="E4" s="73">
        <v>2.8</v>
      </c>
      <c r="F4" s="73">
        <v>20.010000000000002</v>
      </c>
      <c r="G4" s="74">
        <f t="shared" si="0"/>
        <v>17.915356541246954</v>
      </c>
      <c r="H4" s="75">
        <v>12</v>
      </c>
      <c r="I4" s="76">
        <f t="shared" si="1"/>
        <v>240.71999999999997</v>
      </c>
      <c r="J4" s="77">
        <f t="shared" ref="J4:J50" si="5">K4*0.91</f>
        <v>254.8</v>
      </c>
      <c r="K4" s="77">
        <f t="shared" si="2"/>
        <v>280</v>
      </c>
      <c r="L4" s="75">
        <v>49</v>
      </c>
      <c r="M4" s="76">
        <f t="shared" si="3"/>
        <v>5</v>
      </c>
      <c r="N4" s="76">
        <f t="shared" si="4"/>
        <v>6</v>
      </c>
      <c r="O4" s="77">
        <f t="shared" ref="O4:O50" si="6">(IF(D4&lt;=6,1,((ROUNDDOWN(F4/3.5,0)))))</f>
        <v>5</v>
      </c>
      <c r="P4" s="77">
        <f t="shared" ref="P4:P50" si="7">O4*20*220*0.85</f>
        <v>18700</v>
      </c>
    </row>
    <row r="5" spans="1:16" x14ac:dyDescent="0.3">
      <c r="A5" s="71" t="s">
        <v>167</v>
      </c>
      <c r="B5" s="72" t="s">
        <v>168</v>
      </c>
      <c r="C5" s="72" t="s">
        <v>169</v>
      </c>
      <c r="D5" s="73">
        <v>20.09</v>
      </c>
      <c r="E5" s="73">
        <v>2.8</v>
      </c>
      <c r="F5" s="73">
        <v>19.87</v>
      </c>
      <c r="G5" s="74">
        <f t="shared" si="0"/>
        <v>17.928747864811978</v>
      </c>
      <c r="H5" s="75">
        <v>12</v>
      </c>
      <c r="I5" s="76">
        <f t="shared" si="1"/>
        <v>241.07999999999998</v>
      </c>
      <c r="J5" s="77">
        <f t="shared" si="5"/>
        <v>254.8</v>
      </c>
      <c r="K5" s="77">
        <f t="shared" si="2"/>
        <v>280</v>
      </c>
      <c r="L5" s="75">
        <v>49</v>
      </c>
      <c r="M5" s="76">
        <f t="shared" si="3"/>
        <v>5</v>
      </c>
      <c r="N5" s="76">
        <f t="shared" si="4"/>
        <v>6</v>
      </c>
      <c r="O5" s="77">
        <f t="shared" si="6"/>
        <v>5</v>
      </c>
      <c r="P5" s="77">
        <f t="shared" si="7"/>
        <v>18700</v>
      </c>
    </row>
    <row r="6" spans="1:16" x14ac:dyDescent="0.3">
      <c r="A6" s="71" t="s">
        <v>170</v>
      </c>
      <c r="B6" s="72" t="s">
        <v>171</v>
      </c>
      <c r="C6" s="72" t="s">
        <v>172</v>
      </c>
      <c r="D6" s="73">
        <v>3.52</v>
      </c>
      <c r="E6" s="73">
        <v>2.8</v>
      </c>
      <c r="F6" s="73">
        <v>7.6589999999999998</v>
      </c>
      <c r="G6" s="74">
        <f t="shared" si="0"/>
        <v>7.5046652157174876</v>
      </c>
      <c r="H6" s="75">
        <v>12</v>
      </c>
      <c r="I6" s="76">
        <f t="shared" si="1"/>
        <v>42.24</v>
      </c>
      <c r="J6" s="77">
        <f t="shared" si="5"/>
        <v>91</v>
      </c>
      <c r="K6" s="77">
        <f t="shared" si="2"/>
        <v>100</v>
      </c>
      <c r="L6" s="75">
        <v>47</v>
      </c>
      <c r="M6" s="76">
        <f t="shared" si="3"/>
        <v>1</v>
      </c>
      <c r="N6" s="76">
        <f t="shared" si="4"/>
        <v>3</v>
      </c>
      <c r="O6" s="77">
        <f t="shared" si="6"/>
        <v>1</v>
      </c>
      <c r="P6" s="77">
        <f t="shared" si="7"/>
        <v>3740</v>
      </c>
    </row>
    <row r="7" spans="1:16" x14ac:dyDescent="0.3">
      <c r="A7" s="71" t="s">
        <v>173</v>
      </c>
      <c r="B7" s="72" t="s">
        <v>174</v>
      </c>
      <c r="C7" s="72" t="s">
        <v>175</v>
      </c>
      <c r="D7" s="73">
        <v>5.56</v>
      </c>
      <c r="E7" s="73">
        <v>2.8</v>
      </c>
      <c r="F7" s="73">
        <v>9.4380000000000006</v>
      </c>
      <c r="G7" s="74">
        <f t="shared" si="0"/>
        <v>9.4318608980412773</v>
      </c>
      <c r="H7" s="75">
        <v>12</v>
      </c>
      <c r="I7" s="76">
        <f t="shared" si="1"/>
        <v>66.72</v>
      </c>
      <c r="J7" s="77">
        <f t="shared" si="5"/>
        <v>91</v>
      </c>
      <c r="K7" s="77">
        <f t="shared" si="2"/>
        <v>100</v>
      </c>
      <c r="L7" s="75">
        <v>49</v>
      </c>
      <c r="M7" s="76">
        <f t="shared" si="3"/>
        <v>2</v>
      </c>
      <c r="N7" s="76">
        <f t="shared" si="4"/>
        <v>3</v>
      </c>
      <c r="O7" s="77">
        <f t="shared" si="6"/>
        <v>1</v>
      </c>
      <c r="P7" s="77">
        <f t="shared" si="7"/>
        <v>3740</v>
      </c>
    </row>
    <row r="8" spans="1:16" x14ac:dyDescent="0.3">
      <c r="A8" s="71" t="s">
        <v>176</v>
      </c>
      <c r="B8" s="72" t="s">
        <v>177</v>
      </c>
      <c r="C8" s="72" t="s">
        <v>178</v>
      </c>
      <c r="D8" s="73">
        <v>3.52</v>
      </c>
      <c r="E8" s="73">
        <v>2.8</v>
      </c>
      <c r="F8" s="73">
        <v>7.6589999999999998</v>
      </c>
      <c r="G8" s="74">
        <f t="shared" si="0"/>
        <v>7.5046652157174876</v>
      </c>
      <c r="H8" s="75">
        <v>12</v>
      </c>
      <c r="I8" s="76">
        <f t="shared" si="1"/>
        <v>42.24</v>
      </c>
      <c r="J8" s="77">
        <f t="shared" si="5"/>
        <v>91</v>
      </c>
      <c r="K8" s="77">
        <f t="shared" si="2"/>
        <v>100</v>
      </c>
      <c r="L8" s="75">
        <v>47</v>
      </c>
      <c r="M8" s="76">
        <f t="shared" si="3"/>
        <v>1</v>
      </c>
      <c r="N8" s="76">
        <f t="shared" si="4"/>
        <v>3</v>
      </c>
      <c r="O8" s="77">
        <f t="shared" si="6"/>
        <v>1</v>
      </c>
      <c r="P8" s="77">
        <f t="shared" si="7"/>
        <v>3740</v>
      </c>
    </row>
    <row r="9" spans="1:16" x14ac:dyDescent="0.3">
      <c r="A9" s="71" t="s">
        <v>179</v>
      </c>
      <c r="B9" s="72" t="s">
        <v>180</v>
      </c>
      <c r="C9" s="72" t="s">
        <v>181</v>
      </c>
      <c r="D9" s="73">
        <v>47.57</v>
      </c>
      <c r="E9" s="73">
        <v>2.8</v>
      </c>
      <c r="F9" s="73">
        <v>29.123000000000001</v>
      </c>
      <c r="G9" s="74">
        <f t="shared" si="0"/>
        <v>27.588403360832608</v>
      </c>
      <c r="H9" s="75">
        <v>12</v>
      </c>
      <c r="I9" s="76">
        <f t="shared" si="1"/>
        <v>570.84</v>
      </c>
      <c r="J9" s="77">
        <f t="shared" si="5"/>
        <v>637</v>
      </c>
      <c r="K9" s="77">
        <f t="shared" si="2"/>
        <v>700</v>
      </c>
      <c r="L9" s="75">
        <v>25</v>
      </c>
      <c r="M9" s="76">
        <f t="shared" si="3"/>
        <v>23</v>
      </c>
      <c r="N9" s="76">
        <f t="shared" si="4"/>
        <v>28</v>
      </c>
      <c r="O9" s="77">
        <f t="shared" si="6"/>
        <v>8</v>
      </c>
      <c r="P9" s="77">
        <f t="shared" si="7"/>
        <v>29920</v>
      </c>
    </row>
    <row r="10" spans="1:16" x14ac:dyDescent="0.3">
      <c r="A10" s="71" t="s">
        <v>182</v>
      </c>
      <c r="B10" s="72" t="s">
        <v>183</v>
      </c>
      <c r="C10" s="72" t="s">
        <v>184</v>
      </c>
      <c r="D10" s="73">
        <v>151.04</v>
      </c>
      <c r="E10" s="73">
        <v>2.8</v>
      </c>
      <c r="F10" s="73">
        <v>64.236999999999995</v>
      </c>
      <c r="G10" s="74">
        <f t="shared" si="0"/>
        <v>49.159332786359094</v>
      </c>
      <c r="H10" s="75">
        <v>12</v>
      </c>
      <c r="I10" s="76">
        <f t="shared" si="1"/>
        <v>1812.48</v>
      </c>
      <c r="J10" s="77">
        <f t="shared" si="5"/>
        <v>2056.6</v>
      </c>
      <c r="K10" s="77">
        <f t="shared" si="2"/>
        <v>2260</v>
      </c>
      <c r="L10" s="75">
        <v>25</v>
      </c>
      <c r="M10" s="76">
        <f t="shared" si="3"/>
        <v>73</v>
      </c>
      <c r="N10" s="76">
        <f t="shared" si="4"/>
        <v>91</v>
      </c>
      <c r="O10" s="77">
        <f t="shared" si="6"/>
        <v>18</v>
      </c>
      <c r="P10" s="77">
        <f t="shared" si="7"/>
        <v>67320</v>
      </c>
    </row>
    <row r="11" spans="1:16" x14ac:dyDescent="0.3">
      <c r="A11" s="71" t="s">
        <v>185</v>
      </c>
      <c r="B11" s="72" t="s">
        <v>186</v>
      </c>
      <c r="C11" s="72" t="s">
        <v>187</v>
      </c>
      <c r="D11" s="73">
        <v>12.13</v>
      </c>
      <c r="E11" s="73">
        <v>2.8</v>
      </c>
      <c r="F11" s="73">
        <v>13.804</v>
      </c>
      <c r="G11" s="74">
        <f t="shared" si="0"/>
        <v>13.9312598138144</v>
      </c>
      <c r="H11" s="75">
        <v>12</v>
      </c>
      <c r="I11" s="76">
        <f t="shared" si="1"/>
        <v>145.56</v>
      </c>
      <c r="J11" s="77">
        <f t="shared" si="5"/>
        <v>145.6</v>
      </c>
      <c r="K11" s="77">
        <f t="shared" si="2"/>
        <v>160</v>
      </c>
      <c r="L11" s="75">
        <v>25</v>
      </c>
      <c r="M11" s="76">
        <f t="shared" si="3"/>
        <v>6</v>
      </c>
      <c r="N11" s="76">
        <f t="shared" si="4"/>
        <v>7</v>
      </c>
      <c r="O11" s="77">
        <f t="shared" si="6"/>
        <v>3</v>
      </c>
      <c r="P11" s="77">
        <f t="shared" si="7"/>
        <v>11220</v>
      </c>
    </row>
    <row r="12" spans="1:16" x14ac:dyDescent="0.3">
      <c r="A12" s="71" t="s">
        <v>188</v>
      </c>
      <c r="B12" s="72" t="s">
        <v>186</v>
      </c>
      <c r="C12" s="72" t="s">
        <v>187</v>
      </c>
      <c r="D12" s="73">
        <v>13.15</v>
      </c>
      <c r="E12" s="73">
        <v>2.8</v>
      </c>
      <c r="F12" s="73">
        <v>14.779</v>
      </c>
      <c r="G12" s="74">
        <f t="shared" si="0"/>
        <v>14.505171491574997</v>
      </c>
      <c r="H12" s="75">
        <v>12</v>
      </c>
      <c r="I12" s="76">
        <f t="shared" si="1"/>
        <v>157.80000000000001</v>
      </c>
      <c r="J12" s="77">
        <f t="shared" si="5"/>
        <v>145.6</v>
      </c>
      <c r="K12" s="77">
        <f t="shared" si="2"/>
        <v>160</v>
      </c>
      <c r="L12" s="75">
        <v>25</v>
      </c>
      <c r="M12" s="76">
        <f t="shared" si="3"/>
        <v>7</v>
      </c>
      <c r="N12" s="76">
        <f t="shared" si="4"/>
        <v>7</v>
      </c>
      <c r="O12" s="77">
        <f t="shared" si="6"/>
        <v>4</v>
      </c>
      <c r="P12" s="77">
        <f t="shared" si="7"/>
        <v>14960</v>
      </c>
    </row>
    <row r="13" spans="1:16" x14ac:dyDescent="0.3">
      <c r="A13" s="71" t="s">
        <v>189</v>
      </c>
      <c r="B13" s="72" t="s">
        <v>190</v>
      </c>
      <c r="C13" s="72" t="s">
        <v>191</v>
      </c>
      <c r="D13" s="73">
        <v>74.64</v>
      </c>
      <c r="E13" s="73">
        <v>2.8</v>
      </c>
      <c r="F13" s="73">
        <v>42.856999999999999</v>
      </c>
      <c r="G13" s="74">
        <f t="shared" si="0"/>
        <v>34.557777706328281</v>
      </c>
      <c r="H13" s="75">
        <v>12</v>
      </c>
      <c r="I13" s="76">
        <f t="shared" si="1"/>
        <v>895.68000000000006</v>
      </c>
      <c r="J13" s="77">
        <f t="shared" si="5"/>
        <v>1019.2</v>
      </c>
      <c r="K13" s="77">
        <f t="shared" si="2"/>
        <v>1120</v>
      </c>
      <c r="L13" s="75">
        <v>25</v>
      </c>
      <c r="M13" s="76">
        <f t="shared" si="3"/>
        <v>36</v>
      </c>
      <c r="N13" s="76">
        <f t="shared" si="4"/>
        <v>45</v>
      </c>
      <c r="O13" s="77">
        <f t="shared" si="6"/>
        <v>12</v>
      </c>
      <c r="P13" s="77">
        <f t="shared" si="7"/>
        <v>44880</v>
      </c>
    </row>
    <row r="14" spans="1:16" x14ac:dyDescent="0.3">
      <c r="A14" s="71" t="s">
        <v>192</v>
      </c>
      <c r="B14" s="72" t="s">
        <v>193</v>
      </c>
      <c r="C14" s="72" t="s">
        <v>193</v>
      </c>
      <c r="D14" s="73">
        <v>5.76</v>
      </c>
      <c r="E14" s="73">
        <v>2.8</v>
      </c>
      <c r="F14" s="73">
        <v>9.6</v>
      </c>
      <c r="G14" s="74">
        <f t="shared" si="0"/>
        <v>9.6</v>
      </c>
      <c r="H14" s="75">
        <v>12</v>
      </c>
      <c r="I14" s="76">
        <f t="shared" si="1"/>
        <v>69.12</v>
      </c>
      <c r="J14" s="77">
        <f t="shared" si="5"/>
        <v>91</v>
      </c>
      <c r="K14" s="77">
        <f t="shared" si="2"/>
        <v>100</v>
      </c>
      <c r="L14" s="75">
        <v>47</v>
      </c>
      <c r="M14" s="76">
        <f t="shared" si="3"/>
        <v>2</v>
      </c>
      <c r="N14" s="76">
        <f t="shared" si="4"/>
        <v>3</v>
      </c>
      <c r="O14" s="77">
        <f t="shared" si="6"/>
        <v>1</v>
      </c>
      <c r="P14" s="77">
        <f t="shared" si="7"/>
        <v>3740</v>
      </c>
    </row>
    <row r="15" spans="1:16" x14ac:dyDescent="0.3">
      <c r="A15" s="71" t="s">
        <v>194</v>
      </c>
      <c r="B15" s="72" t="s">
        <v>193</v>
      </c>
      <c r="C15" s="72" t="s">
        <v>193</v>
      </c>
      <c r="D15" s="73">
        <v>5.52</v>
      </c>
      <c r="E15" s="73">
        <v>2.8</v>
      </c>
      <c r="F15" s="73">
        <v>9.4</v>
      </c>
      <c r="G15" s="74">
        <f t="shared" si="0"/>
        <v>9.3978720995765848</v>
      </c>
      <c r="H15" s="75">
        <v>12</v>
      </c>
      <c r="I15" s="76">
        <f t="shared" si="1"/>
        <v>66.239999999999995</v>
      </c>
      <c r="J15" s="77">
        <f t="shared" si="5"/>
        <v>91</v>
      </c>
      <c r="K15" s="77">
        <f t="shared" si="2"/>
        <v>100</v>
      </c>
      <c r="L15" s="75">
        <v>47</v>
      </c>
      <c r="M15" s="76">
        <f t="shared" si="3"/>
        <v>2</v>
      </c>
      <c r="N15" s="76">
        <f t="shared" si="4"/>
        <v>3</v>
      </c>
      <c r="O15" s="77">
        <f t="shared" si="6"/>
        <v>1</v>
      </c>
      <c r="P15" s="77">
        <f t="shared" si="7"/>
        <v>3740</v>
      </c>
    </row>
    <row r="16" spans="1:16" x14ac:dyDescent="0.3">
      <c r="A16" s="71" t="s">
        <v>195</v>
      </c>
      <c r="B16" s="72" t="s">
        <v>196</v>
      </c>
      <c r="C16" s="72" t="s">
        <v>197</v>
      </c>
      <c r="D16" s="73">
        <v>171.8</v>
      </c>
      <c r="E16" s="73">
        <v>3</v>
      </c>
      <c r="F16" s="73">
        <v>58.384</v>
      </c>
      <c r="G16" s="74">
        <f t="shared" si="0"/>
        <v>52.428999608995021</v>
      </c>
      <c r="H16" s="75">
        <v>12</v>
      </c>
      <c r="I16" s="76">
        <f t="shared" si="1"/>
        <v>2061.6000000000004</v>
      </c>
      <c r="J16" s="77">
        <f t="shared" si="5"/>
        <v>2329.6</v>
      </c>
      <c r="K16" s="77">
        <f t="shared" si="2"/>
        <v>2560</v>
      </c>
      <c r="L16" s="75">
        <v>47</v>
      </c>
      <c r="M16" s="76">
        <f t="shared" si="3"/>
        <v>44</v>
      </c>
      <c r="N16" s="76">
        <f t="shared" si="4"/>
        <v>55</v>
      </c>
      <c r="O16" s="77">
        <f t="shared" si="6"/>
        <v>16</v>
      </c>
      <c r="P16" s="77">
        <f t="shared" si="7"/>
        <v>59840</v>
      </c>
    </row>
    <row r="17" spans="1:16" x14ac:dyDescent="0.3">
      <c r="A17" s="71" t="s">
        <v>198</v>
      </c>
      <c r="B17" s="72" t="s">
        <v>199</v>
      </c>
      <c r="C17" s="72" t="s">
        <v>200</v>
      </c>
      <c r="D17" s="73">
        <v>18.989999999999998</v>
      </c>
      <c r="E17" s="73">
        <v>3</v>
      </c>
      <c r="F17" s="73">
        <v>18.972000000000001</v>
      </c>
      <c r="G17" s="74">
        <f t="shared" si="0"/>
        <v>17.431006855600739</v>
      </c>
      <c r="H17" s="75">
        <v>12</v>
      </c>
      <c r="I17" s="76">
        <f t="shared" si="1"/>
        <v>227.88</v>
      </c>
      <c r="J17" s="77">
        <f t="shared" si="5"/>
        <v>254.8</v>
      </c>
      <c r="K17" s="77">
        <f t="shared" si="2"/>
        <v>280</v>
      </c>
      <c r="L17" s="75">
        <v>47</v>
      </c>
      <c r="M17" s="76">
        <f t="shared" si="3"/>
        <v>5</v>
      </c>
      <c r="N17" s="76">
        <f t="shared" si="4"/>
        <v>6</v>
      </c>
      <c r="O17" s="77">
        <f t="shared" si="6"/>
        <v>5</v>
      </c>
      <c r="P17" s="77">
        <f t="shared" si="7"/>
        <v>18700</v>
      </c>
    </row>
    <row r="18" spans="1:16" x14ac:dyDescent="0.3">
      <c r="A18" s="71" t="s">
        <v>201</v>
      </c>
      <c r="B18" s="72" t="s">
        <v>202</v>
      </c>
      <c r="C18" s="72" t="s">
        <v>203</v>
      </c>
      <c r="D18" s="73">
        <v>13.89</v>
      </c>
      <c r="E18" s="73">
        <v>3</v>
      </c>
      <c r="F18" s="73">
        <v>16.8</v>
      </c>
      <c r="G18" s="74">
        <f t="shared" si="0"/>
        <v>14.907716122867379</v>
      </c>
      <c r="H18" s="75">
        <v>12</v>
      </c>
      <c r="I18" s="76">
        <f t="shared" si="1"/>
        <v>166.68</v>
      </c>
      <c r="J18" s="77">
        <f t="shared" si="5"/>
        <v>145.6</v>
      </c>
      <c r="K18" s="77">
        <f t="shared" si="2"/>
        <v>160</v>
      </c>
      <c r="L18" s="75">
        <v>47</v>
      </c>
      <c r="M18" s="76">
        <f t="shared" si="3"/>
        <v>4</v>
      </c>
      <c r="N18" s="76">
        <f t="shared" si="4"/>
        <v>4</v>
      </c>
      <c r="O18" s="77">
        <f t="shared" si="6"/>
        <v>4</v>
      </c>
      <c r="P18" s="77">
        <f t="shared" si="7"/>
        <v>14960</v>
      </c>
    </row>
    <row r="19" spans="1:16" x14ac:dyDescent="0.3">
      <c r="A19" s="71" t="s">
        <v>204</v>
      </c>
      <c r="B19" s="72" t="s">
        <v>205</v>
      </c>
      <c r="C19" s="72" t="s">
        <v>206</v>
      </c>
      <c r="D19" s="73">
        <v>18.399999999999999</v>
      </c>
      <c r="E19" s="73">
        <v>3</v>
      </c>
      <c r="F19" s="73">
        <v>18.8</v>
      </c>
      <c r="G19" s="74">
        <f t="shared" si="0"/>
        <v>17.158088471621774</v>
      </c>
      <c r="H19" s="75">
        <v>12</v>
      </c>
      <c r="I19" s="76">
        <f t="shared" si="1"/>
        <v>220.79999999999998</v>
      </c>
      <c r="J19" s="77">
        <f t="shared" si="5"/>
        <v>254.8</v>
      </c>
      <c r="K19" s="77">
        <f t="shared" si="2"/>
        <v>280</v>
      </c>
      <c r="L19" s="75">
        <v>47</v>
      </c>
      <c r="M19" s="76">
        <f t="shared" si="3"/>
        <v>5</v>
      </c>
      <c r="N19" s="76">
        <f t="shared" si="4"/>
        <v>6</v>
      </c>
      <c r="O19" s="77">
        <f t="shared" si="6"/>
        <v>5</v>
      </c>
      <c r="P19" s="77">
        <f t="shared" si="7"/>
        <v>18700</v>
      </c>
    </row>
    <row r="20" spans="1:16" x14ac:dyDescent="0.3">
      <c r="A20" s="71" t="s">
        <v>207</v>
      </c>
      <c r="B20" s="72" t="s">
        <v>208</v>
      </c>
      <c r="C20" s="72" t="s">
        <v>209</v>
      </c>
      <c r="D20" s="73">
        <v>70.06</v>
      </c>
      <c r="E20" s="73">
        <v>3</v>
      </c>
      <c r="F20" s="73">
        <v>35.270000000000003</v>
      </c>
      <c r="G20" s="74">
        <f t="shared" si="0"/>
        <v>33.480740732546522</v>
      </c>
      <c r="H20" s="75">
        <v>12</v>
      </c>
      <c r="I20" s="76">
        <f t="shared" si="1"/>
        <v>840.72</v>
      </c>
      <c r="J20" s="77">
        <f t="shared" si="5"/>
        <v>964.6</v>
      </c>
      <c r="K20" s="77">
        <f t="shared" si="2"/>
        <v>1060</v>
      </c>
      <c r="L20" s="75">
        <v>47</v>
      </c>
      <c r="M20" s="76">
        <f t="shared" si="3"/>
        <v>18</v>
      </c>
      <c r="N20" s="76">
        <f t="shared" si="4"/>
        <v>23</v>
      </c>
      <c r="O20" s="77">
        <f t="shared" si="6"/>
        <v>10</v>
      </c>
      <c r="P20" s="77">
        <f t="shared" si="7"/>
        <v>37400</v>
      </c>
    </row>
    <row r="21" spans="1:16" x14ac:dyDescent="0.3">
      <c r="A21" s="71" t="s">
        <v>210</v>
      </c>
      <c r="B21" s="72" t="s">
        <v>211</v>
      </c>
      <c r="C21" s="72" t="s">
        <v>212</v>
      </c>
      <c r="D21" s="73">
        <v>47.62</v>
      </c>
      <c r="E21" s="73">
        <v>3</v>
      </c>
      <c r="F21" s="73">
        <v>52.298999999999999</v>
      </c>
      <c r="G21" s="74">
        <f t="shared" si="0"/>
        <v>27.602898398537789</v>
      </c>
      <c r="H21" s="75">
        <v>12</v>
      </c>
      <c r="I21" s="76">
        <f t="shared" si="1"/>
        <v>571.43999999999994</v>
      </c>
      <c r="J21" s="77">
        <f t="shared" si="5"/>
        <v>637</v>
      </c>
      <c r="K21" s="77">
        <f t="shared" si="2"/>
        <v>700</v>
      </c>
      <c r="L21" s="75">
        <v>47</v>
      </c>
      <c r="M21" s="76">
        <f t="shared" si="3"/>
        <v>13</v>
      </c>
      <c r="N21" s="76">
        <f t="shared" si="4"/>
        <v>15</v>
      </c>
      <c r="O21" s="77">
        <f t="shared" si="6"/>
        <v>14</v>
      </c>
      <c r="P21" s="77">
        <f t="shared" si="7"/>
        <v>52360</v>
      </c>
    </row>
    <row r="22" spans="1:16" x14ac:dyDescent="0.3">
      <c r="A22" s="71" t="s">
        <v>213</v>
      </c>
      <c r="B22" s="72" t="s">
        <v>214</v>
      </c>
      <c r="C22" s="72" t="s">
        <v>215</v>
      </c>
      <c r="D22" s="73">
        <v>27.51</v>
      </c>
      <c r="E22" s="73">
        <v>3</v>
      </c>
      <c r="F22" s="73">
        <v>22.024000000000001</v>
      </c>
      <c r="G22" s="74">
        <f t="shared" si="0"/>
        <v>20.979990467109371</v>
      </c>
      <c r="H22" s="75">
        <v>12</v>
      </c>
      <c r="I22" s="76">
        <f t="shared" si="1"/>
        <v>330.12</v>
      </c>
      <c r="J22" s="77">
        <f t="shared" si="5"/>
        <v>364</v>
      </c>
      <c r="K22" s="77">
        <f t="shared" si="2"/>
        <v>400</v>
      </c>
      <c r="L22" s="75">
        <v>47</v>
      </c>
      <c r="M22" s="76">
        <f t="shared" si="3"/>
        <v>8</v>
      </c>
      <c r="N22" s="76">
        <f t="shared" si="4"/>
        <v>9</v>
      </c>
      <c r="O22" s="77">
        <f t="shared" si="6"/>
        <v>6</v>
      </c>
      <c r="P22" s="77">
        <f t="shared" si="7"/>
        <v>22440</v>
      </c>
    </row>
    <row r="23" spans="1:16" x14ac:dyDescent="0.3">
      <c r="A23" s="71" t="s">
        <v>216</v>
      </c>
      <c r="B23" s="72" t="s">
        <v>217</v>
      </c>
      <c r="C23" s="72" t="s">
        <v>218</v>
      </c>
      <c r="D23" s="73">
        <v>13.53</v>
      </c>
      <c r="E23" s="73">
        <v>3</v>
      </c>
      <c r="F23" s="73">
        <v>14.8</v>
      </c>
      <c r="G23" s="74">
        <f t="shared" si="0"/>
        <v>14.713259326199616</v>
      </c>
      <c r="H23" s="75">
        <v>12</v>
      </c>
      <c r="I23" s="76">
        <f t="shared" si="1"/>
        <v>162.35999999999999</v>
      </c>
      <c r="J23" s="77">
        <f t="shared" si="5"/>
        <v>145.6</v>
      </c>
      <c r="K23" s="77">
        <f t="shared" si="2"/>
        <v>160</v>
      </c>
      <c r="L23" s="75">
        <v>47</v>
      </c>
      <c r="M23" s="76">
        <f t="shared" si="3"/>
        <v>4</v>
      </c>
      <c r="N23" s="76">
        <f t="shared" si="4"/>
        <v>4</v>
      </c>
      <c r="O23" s="77">
        <f t="shared" si="6"/>
        <v>4</v>
      </c>
      <c r="P23" s="77">
        <f t="shared" si="7"/>
        <v>14960</v>
      </c>
    </row>
    <row r="24" spans="1:16" x14ac:dyDescent="0.3">
      <c r="A24" s="71" t="s">
        <v>219</v>
      </c>
      <c r="B24" s="72" t="s">
        <v>220</v>
      </c>
      <c r="C24" s="72" t="s">
        <v>221</v>
      </c>
      <c r="D24" s="73">
        <v>11.8</v>
      </c>
      <c r="E24" s="73">
        <v>3</v>
      </c>
      <c r="F24" s="73">
        <v>13.75</v>
      </c>
      <c r="G24" s="74">
        <f t="shared" si="0"/>
        <v>13.740451229854134</v>
      </c>
      <c r="H24" s="75">
        <v>12</v>
      </c>
      <c r="I24" s="76">
        <f t="shared" si="1"/>
        <v>141.60000000000002</v>
      </c>
      <c r="J24" s="77">
        <f t="shared" si="5"/>
        <v>145.6</v>
      </c>
      <c r="K24" s="77">
        <f t="shared" si="2"/>
        <v>160</v>
      </c>
      <c r="L24" s="75">
        <v>47</v>
      </c>
      <c r="M24" s="76">
        <f t="shared" si="3"/>
        <v>4</v>
      </c>
      <c r="N24" s="76">
        <f t="shared" si="4"/>
        <v>4</v>
      </c>
      <c r="O24" s="77">
        <f t="shared" si="6"/>
        <v>3</v>
      </c>
      <c r="P24" s="77">
        <f t="shared" si="7"/>
        <v>11220</v>
      </c>
    </row>
    <row r="25" spans="1:16" x14ac:dyDescent="0.3">
      <c r="A25" s="71" t="s">
        <v>222</v>
      </c>
      <c r="B25" s="72" t="s">
        <v>223</v>
      </c>
      <c r="C25" s="72" t="s">
        <v>224</v>
      </c>
      <c r="D25" s="73">
        <v>4.9400000000000004</v>
      </c>
      <c r="E25" s="73">
        <v>3</v>
      </c>
      <c r="F25" s="73">
        <v>9.49</v>
      </c>
      <c r="G25" s="74">
        <f t="shared" si="0"/>
        <v>8.8904443083571483</v>
      </c>
      <c r="H25" s="75">
        <v>12</v>
      </c>
      <c r="I25" s="76">
        <f t="shared" si="1"/>
        <v>59.28</v>
      </c>
      <c r="J25" s="77">
        <f t="shared" si="5"/>
        <v>91</v>
      </c>
      <c r="K25" s="77">
        <f t="shared" si="2"/>
        <v>100</v>
      </c>
      <c r="L25" s="75">
        <v>47</v>
      </c>
      <c r="M25" s="76">
        <f t="shared" si="3"/>
        <v>2</v>
      </c>
      <c r="N25" s="76">
        <f t="shared" si="4"/>
        <v>3</v>
      </c>
      <c r="O25" s="77">
        <f t="shared" si="6"/>
        <v>1</v>
      </c>
      <c r="P25" s="77">
        <f t="shared" si="7"/>
        <v>3740</v>
      </c>
    </row>
    <row r="26" spans="1:16" x14ac:dyDescent="0.3">
      <c r="A26" s="71" t="s">
        <v>225</v>
      </c>
      <c r="B26" s="72" t="s">
        <v>226</v>
      </c>
      <c r="C26" s="72" t="s">
        <v>227</v>
      </c>
      <c r="D26" s="73">
        <v>16.64</v>
      </c>
      <c r="E26" s="73">
        <v>3</v>
      </c>
      <c r="F26" s="73">
        <v>16.8</v>
      </c>
      <c r="G26" s="74">
        <f t="shared" si="0"/>
        <v>16.316862443496913</v>
      </c>
      <c r="H26" s="75">
        <v>12</v>
      </c>
      <c r="I26" s="76">
        <f t="shared" si="1"/>
        <v>199.68</v>
      </c>
      <c r="J26" s="77">
        <f t="shared" si="5"/>
        <v>200.20000000000002</v>
      </c>
      <c r="K26" s="77">
        <f t="shared" si="2"/>
        <v>220</v>
      </c>
      <c r="L26" s="75">
        <v>47</v>
      </c>
      <c r="M26" s="76">
        <f t="shared" si="3"/>
        <v>5</v>
      </c>
      <c r="N26" s="76">
        <f t="shared" si="4"/>
        <v>5</v>
      </c>
      <c r="O26" s="77">
        <f t="shared" si="6"/>
        <v>4</v>
      </c>
      <c r="P26" s="77">
        <f t="shared" si="7"/>
        <v>14960</v>
      </c>
    </row>
    <row r="27" spans="1:16" x14ac:dyDescent="0.3">
      <c r="A27" s="71" t="s">
        <v>228</v>
      </c>
      <c r="B27" s="72" t="s">
        <v>229</v>
      </c>
      <c r="C27" s="72" t="s">
        <v>230</v>
      </c>
      <c r="D27" s="73">
        <v>17.22</v>
      </c>
      <c r="E27" s="73">
        <v>3</v>
      </c>
      <c r="F27" s="73">
        <v>19.116</v>
      </c>
      <c r="G27" s="74">
        <f t="shared" si="0"/>
        <v>16.598795136997143</v>
      </c>
      <c r="H27" s="75">
        <v>12</v>
      </c>
      <c r="I27" s="76">
        <f t="shared" si="1"/>
        <v>206.64</v>
      </c>
      <c r="J27" s="77">
        <f t="shared" si="5"/>
        <v>200.20000000000002</v>
      </c>
      <c r="K27" s="77">
        <f t="shared" si="2"/>
        <v>220</v>
      </c>
      <c r="L27" s="75">
        <v>47</v>
      </c>
      <c r="M27" s="76">
        <f t="shared" si="3"/>
        <v>5</v>
      </c>
      <c r="N27" s="76">
        <f t="shared" si="4"/>
        <v>5</v>
      </c>
      <c r="O27" s="77">
        <f t="shared" si="6"/>
        <v>5</v>
      </c>
      <c r="P27" s="77">
        <f t="shared" si="7"/>
        <v>18700</v>
      </c>
    </row>
    <row r="28" spans="1:16" x14ac:dyDescent="0.3">
      <c r="A28" s="71" t="s">
        <v>231</v>
      </c>
      <c r="B28" s="72" t="s">
        <v>223</v>
      </c>
      <c r="C28" s="72" t="s">
        <v>224</v>
      </c>
      <c r="D28" s="73">
        <v>3.61</v>
      </c>
      <c r="E28" s="73">
        <v>3</v>
      </c>
      <c r="F28" s="73">
        <v>7.8159999999999998</v>
      </c>
      <c r="G28" s="74">
        <f t="shared" si="0"/>
        <v>7.6</v>
      </c>
      <c r="H28" s="75">
        <v>12</v>
      </c>
      <c r="I28" s="76">
        <f t="shared" si="1"/>
        <v>43.32</v>
      </c>
      <c r="J28" s="77">
        <f t="shared" si="5"/>
        <v>91</v>
      </c>
      <c r="K28" s="77">
        <f t="shared" si="2"/>
        <v>100</v>
      </c>
      <c r="L28" s="75">
        <v>47</v>
      </c>
      <c r="M28" s="76">
        <f t="shared" si="3"/>
        <v>1</v>
      </c>
      <c r="N28" s="76">
        <f t="shared" si="4"/>
        <v>3</v>
      </c>
      <c r="O28" s="77">
        <f t="shared" si="6"/>
        <v>1</v>
      </c>
      <c r="P28" s="77">
        <f t="shared" si="7"/>
        <v>3740</v>
      </c>
    </row>
    <row r="29" spans="1:16" x14ac:dyDescent="0.3">
      <c r="A29" s="71" t="s">
        <v>232</v>
      </c>
      <c r="B29" s="72" t="s">
        <v>233</v>
      </c>
      <c r="C29" s="72" t="s">
        <v>234</v>
      </c>
      <c r="D29" s="78">
        <v>25.14</v>
      </c>
      <c r="E29" s="73">
        <v>3</v>
      </c>
      <c r="F29" s="73">
        <v>20.99</v>
      </c>
      <c r="G29" s="74">
        <f t="shared" si="0"/>
        <v>20.05592181875468</v>
      </c>
      <c r="H29" s="75">
        <v>12</v>
      </c>
      <c r="I29" s="76">
        <f t="shared" si="1"/>
        <v>301.68</v>
      </c>
      <c r="J29" s="77">
        <f t="shared" si="5"/>
        <v>309.40000000000003</v>
      </c>
      <c r="K29" s="77">
        <f t="shared" si="2"/>
        <v>340</v>
      </c>
      <c r="L29" s="75">
        <v>47</v>
      </c>
      <c r="M29" s="76">
        <f t="shared" si="3"/>
        <v>7</v>
      </c>
      <c r="N29" s="76">
        <f t="shared" si="4"/>
        <v>8</v>
      </c>
      <c r="O29" s="77">
        <f t="shared" si="6"/>
        <v>5</v>
      </c>
      <c r="P29" s="77">
        <f t="shared" si="7"/>
        <v>18700</v>
      </c>
    </row>
    <row r="30" spans="1:16" x14ac:dyDescent="0.3">
      <c r="A30" s="71" t="s">
        <v>235</v>
      </c>
      <c r="B30" s="72" t="s">
        <v>236</v>
      </c>
      <c r="C30" s="72" t="s">
        <v>237</v>
      </c>
      <c r="D30" s="78">
        <v>4.74</v>
      </c>
      <c r="E30" s="73">
        <v>3</v>
      </c>
      <c r="F30" s="73">
        <v>9.5</v>
      </c>
      <c r="G30" s="74">
        <f t="shared" si="0"/>
        <v>8.7086164228308967</v>
      </c>
      <c r="H30" s="75">
        <v>12</v>
      </c>
      <c r="I30" s="76">
        <f t="shared" si="1"/>
        <v>56.88</v>
      </c>
      <c r="J30" s="77">
        <f t="shared" si="5"/>
        <v>91</v>
      </c>
      <c r="K30" s="77">
        <f t="shared" si="2"/>
        <v>100</v>
      </c>
      <c r="L30" s="75">
        <v>47</v>
      </c>
      <c r="M30" s="76">
        <f t="shared" si="3"/>
        <v>2</v>
      </c>
      <c r="N30" s="76">
        <f t="shared" si="4"/>
        <v>3</v>
      </c>
      <c r="O30" s="77">
        <f t="shared" si="6"/>
        <v>1</v>
      </c>
      <c r="P30" s="77">
        <f t="shared" si="7"/>
        <v>3740</v>
      </c>
    </row>
    <row r="31" spans="1:16" x14ac:dyDescent="0.3">
      <c r="A31" s="71" t="s">
        <v>238</v>
      </c>
      <c r="B31" s="72"/>
      <c r="C31" s="72" t="s">
        <v>237</v>
      </c>
      <c r="D31" s="73">
        <v>2.25</v>
      </c>
      <c r="E31" s="73">
        <v>2.4380000000000002</v>
      </c>
      <c r="F31" s="73">
        <v>5.173</v>
      </c>
      <c r="G31" s="74">
        <f t="shared" si="0"/>
        <v>6</v>
      </c>
      <c r="H31" s="75">
        <v>12</v>
      </c>
      <c r="I31" s="76">
        <f t="shared" si="1"/>
        <v>27</v>
      </c>
      <c r="J31" s="77">
        <f t="shared" si="5"/>
        <v>91</v>
      </c>
      <c r="K31" s="77">
        <f t="shared" si="2"/>
        <v>100</v>
      </c>
      <c r="L31" s="75">
        <v>47</v>
      </c>
      <c r="M31" s="76">
        <f t="shared" si="3"/>
        <v>1</v>
      </c>
      <c r="N31" s="76">
        <f t="shared" si="4"/>
        <v>3</v>
      </c>
      <c r="O31" s="77">
        <f t="shared" si="6"/>
        <v>1</v>
      </c>
      <c r="P31" s="77">
        <f t="shared" si="7"/>
        <v>3740</v>
      </c>
    </row>
    <row r="32" spans="1:16" x14ac:dyDescent="0.3">
      <c r="A32" s="71" t="s">
        <v>239</v>
      </c>
      <c r="B32" s="72"/>
      <c r="C32" s="72" t="s">
        <v>240</v>
      </c>
      <c r="D32" s="73">
        <v>3.24</v>
      </c>
      <c r="E32" s="73">
        <v>2.4380000000000002</v>
      </c>
      <c r="F32" s="73">
        <v>7.2</v>
      </c>
      <c r="G32" s="74">
        <f t="shared" si="0"/>
        <v>7.2</v>
      </c>
      <c r="H32" s="75">
        <v>12</v>
      </c>
      <c r="I32" s="76">
        <f t="shared" si="1"/>
        <v>38.880000000000003</v>
      </c>
      <c r="J32" s="77">
        <f t="shared" si="5"/>
        <v>91</v>
      </c>
      <c r="K32" s="77">
        <f t="shared" si="2"/>
        <v>100</v>
      </c>
      <c r="L32" s="75">
        <v>47</v>
      </c>
      <c r="M32" s="76">
        <f t="shared" si="3"/>
        <v>1</v>
      </c>
      <c r="N32" s="76">
        <f t="shared" si="4"/>
        <v>3</v>
      </c>
      <c r="O32" s="77">
        <f t="shared" si="6"/>
        <v>1</v>
      </c>
      <c r="P32" s="77">
        <f t="shared" si="7"/>
        <v>3740</v>
      </c>
    </row>
    <row r="33" spans="1:16" x14ac:dyDescent="0.3">
      <c r="A33" s="71" t="s">
        <v>241</v>
      </c>
      <c r="B33" s="72" t="s">
        <v>242</v>
      </c>
      <c r="C33" s="72" t="s">
        <v>243</v>
      </c>
      <c r="D33" s="73">
        <v>15.32</v>
      </c>
      <c r="E33" s="73">
        <v>3</v>
      </c>
      <c r="F33" s="73">
        <v>18.247</v>
      </c>
      <c r="G33" s="74">
        <f t="shared" si="0"/>
        <v>15.656308632624741</v>
      </c>
      <c r="H33" s="75">
        <v>12</v>
      </c>
      <c r="I33" s="76">
        <f t="shared" si="1"/>
        <v>183.84</v>
      </c>
      <c r="J33" s="77">
        <f t="shared" si="5"/>
        <v>200.20000000000002</v>
      </c>
      <c r="K33" s="77">
        <f t="shared" si="2"/>
        <v>220</v>
      </c>
      <c r="L33" s="75">
        <v>47</v>
      </c>
      <c r="M33" s="76">
        <f t="shared" si="3"/>
        <v>4</v>
      </c>
      <c r="N33" s="76">
        <f t="shared" si="4"/>
        <v>5</v>
      </c>
      <c r="O33" s="77">
        <f t="shared" si="6"/>
        <v>5</v>
      </c>
      <c r="P33" s="77">
        <f t="shared" si="7"/>
        <v>18700</v>
      </c>
    </row>
    <row r="34" spans="1:16" x14ac:dyDescent="0.3">
      <c r="A34" s="71" t="s">
        <v>244</v>
      </c>
      <c r="B34" s="72" t="s">
        <v>211</v>
      </c>
      <c r="C34" s="72" t="s">
        <v>212</v>
      </c>
      <c r="D34" s="73">
        <v>45.8</v>
      </c>
      <c r="E34" s="73">
        <v>3</v>
      </c>
      <c r="F34" s="73">
        <v>52.274000000000001</v>
      </c>
      <c r="G34" s="74">
        <f t="shared" si="0"/>
        <v>27.070278905101809</v>
      </c>
      <c r="H34" s="75">
        <v>12</v>
      </c>
      <c r="I34" s="76">
        <f t="shared" si="1"/>
        <v>549.59999999999991</v>
      </c>
      <c r="J34" s="77">
        <f t="shared" si="5"/>
        <v>582.4</v>
      </c>
      <c r="K34" s="77">
        <f t="shared" si="2"/>
        <v>640</v>
      </c>
      <c r="L34" s="75">
        <v>47</v>
      </c>
      <c r="M34" s="76">
        <f t="shared" si="3"/>
        <v>12</v>
      </c>
      <c r="N34" s="76">
        <f t="shared" si="4"/>
        <v>14</v>
      </c>
      <c r="O34" s="77">
        <f t="shared" si="6"/>
        <v>14</v>
      </c>
      <c r="P34" s="77">
        <f t="shared" si="7"/>
        <v>52360</v>
      </c>
    </row>
    <row r="35" spans="1:16" x14ac:dyDescent="0.3">
      <c r="A35" s="71" t="s">
        <v>245</v>
      </c>
      <c r="B35" s="72" t="s">
        <v>246</v>
      </c>
      <c r="C35" s="72" t="s">
        <v>247</v>
      </c>
      <c r="D35" s="73">
        <v>18.29</v>
      </c>
      <c r="E35" s="73">
        <v>3</v>
      </c>
      <c r="F35" s="73">
        <v>17.994</v>
      </c>
      <c r="G35" s="74">
        <f t="shared" si="0"/>
        <v>17.106723824274479</v>
      </c>
      <c r="H35" s="75">
        <v>12</v>
      </c>
      <c r="I35" s="76">
        <f t="shared" si="1"/>
        <v>219.48</v>
      </c>
      <c r="J35" s="77">
        <f t="shared" si="5"/>
        <v>254.8</v>
      </c>
      <c r="K35" s="77">
        <f t="shared" si="2"/>
        <v>280</v>
      </c>
      <c r="L35" s="75">
        <v>47</v>
      </c>
      <c r="M35" s="76">
        <f t="shared" si="3"/>
        <v>5</v>
      </c>
      <c r="N35" s="76">
        <f t="shared" si="4"/>
        <v>6</v>
      </c>
      <c r="O35" s="77">
        <f t="shared" si="6"/>
        <v>5</v>
      </c>
      <c r="P35" s="77">
        <f t="shared" si="7"/>
        <v>18700</v>
      </c>
    </row>
    <row r="36" spans="1:16" x14ac:dyDescent="0.3">
      <c r="A36" s="71" t="s">
        <v>248</v>
      </c>
      <c r="B36" s="72" t="s">
        <v>249</v>
      </c>
      <c r="C36" s="72" t="s">
        <v>250</v>
      </c>
      <c r="D36" s="73">
        <v>18.71</v>
      </c>
      <c r="E36" s="73">
        <v>3</v>
      </c>
      <c r="F36" s="73">
        <v>18.187999999999999</v>
      </c>
      <c r="G36" s="74">
        <f t="shared" si="0"/>
        <v>17.302023003105734</v>
      </c>
      <c r="H36" s="75">
        <v>12</v>
      </c>
      <c r="I36" s="76">
        <f t="shared" si="1"/>
        <v>224.52</v>
      </c>
      <c r="J36" s="77">
        <f t="shared" si="5"/>
        <v>254.8</v>
      </c>
      <c r="K36" s="77">
        <f t="shared" si="2"/>
        <v>280</v>
      </c>
      <c r="L36" s="75">
        <v>47</v>
      </c>
      <c r="M36" s="76">
        <f t="shared" si="3"/>
        <v>5</v>
      </c>
      <c r="N36" s="76">
        <f t="shared" si="4"/>
        <v>6</v>
      </c>
      <c r="O36" s="77">
        <f t="shared" si="6"/>
        <v>5</v>
      </c>
      <c r="P36" s="77">
        <f t="shared" si="7"/>
        <v>18700</v>
      </c>
    </row>
    <row r="37" spans="1:16" x14ac:dyDescent="0.3">
      <c r="A37" s="71" t="s">
        <v>251</v>
      </c>
      <c r="B37" s="72" t="s">
        <v>252</v>
      </c>
      <c r="C37" s="72" t="s">
        <v>253</v>
      </c>
      <c r="D37" s="73">
        <v>12.72</v>
      </c>
      <c r="E37" s="73">
        <v>3</v>
      </c>
      <c r="F37" s="73">
        <v>17.094000000000001</v>
      </c>
      <c r="G37" s="74">
        <f t="shared" si="0"/>
        <v>14.266043600101607</v>
      </c>
      <c r="H37" s="75">
        <v>12</v>
      </c>
      <c r="I37" s="76">
        <f t="shared" si="1"/>
        <v>152.64000000000001</v>
      </c>
      <c r="J37" s="77">
        <f t="shared" si="5"/>
        <v>145.6</v>
      </c>
      <c r="K37" s="77">
        <f t="shared" si="2"/>
        <v>160</v>
      </c>
      <c r="L37" s="75">
        <v>47</v>
      </c>
      <c r="M37" s="76">
        <f t="shared" si="3"/>
        <v>4</v>
      </c>
      <c r="N37" s="76">
        <f t="shared" si="4"/>
        <v>4</v>
      </c>
      <c r="O37" s="77">
        <f t="shared" si="6"/>
        <v>4</v>
      </c>
      <c r="P37" s="77">
        <f t="shared" si="7"/>
        <v>14960</v>
      </c>
    </row>
    <row r="38" spans="1:16" x14ac:dyDescent="0.3">
      <c r="A38" s="71" t="s">
        <v>254</v>
      </c>
      <c r="B38" s="72" t="s">
        <v>223</v>
      </c>
      <c r="C38" s="72" t="s">
        <v>255</v>
      </c>
      <c r="D38" s="73">
        <v>3.2</v>
      </c>
      <c r="E38" s="73">
        <v>3</v>
      </c>
      <c r="F38" s="73">
        <v>7.194</v>
      </c>
      <c r="G38" s="74">
        <f t="shared" si="0"/>
        <v>7.1554175279993268</v>
      </c>
      <c r="H38" s="75">
        <v>12</v>
      </c>
      <c r="I38" s="76">
        <f t="shared" si="1"/>
        <v>38.400000000000006</v>
      </c>
      <c r="J38" s="77">
        <f t="shared" si="5"/>
        <v>91</v>
      </c>
      <c r="K38" s="77">
        <f t="shared" si="2"/>
        <v>100</v>
      </c>
      <c r="L38" s="75">
        <v>47</v>
      </c>
      <c r="M38" s="76">
        <f t="shared" si="3"/>
        <v>1</v>
      </c>
      <c r="N38" s="76">
        <f t="shared" si="4"/>
        <v>3</v>
      </c>
      <c r="O38" s="77">
        <f t="shared" si="6"/>
        <v>1</v>
      </c>
      <c r="P38" s="77">
        <f t="shared" si="7"/>
        <v>3740</v>
      </c>
    </row>
    <row r="39" spans="1:16" x14ac:dyDescent="0.3">
      <c r="A39" s="71" t="s">
        <v>256</v>
      </c>
      <c r="B39" s="72" t="s">
        <v>257</v>
      </c>
      <c r="C39" s="72" t="s">
        <v>258</v>
      </c>
      <c r="D39" s="73">
        <v>15.51</v>
      </c>
      <c r="E39" s="73">
        <v>3</v>
      </c>
      <c r="F39" s="73">
        <v>18.294</v>
      </c>
      <c r="G39" s="74">
        <f t="shared" si="0"/>
        <v>15.753094934012173</v>
      </c>
      <c r="H39" s="75">
        <v>12</v>
      </c>
      <c r="I39" s="76">
        <f t="shared" si="1"/>
        <v>186.12</v>
      </c>
      <c r="J39" s="77">
        <f t="shared" si="5"/>
        <v>200.20000000000002</v>
      </c>
      <c r="K39" s="77">
        <f t="shared" si="2"/>
        <v>220</v>
      </c>
      <c r="L39" s="75">
        <v>47</v>
      </c>
      <c r="M39" s="76">
        <f t="shared" si="3"/>
        <v>4</v>
      </c>
      <c r="N39" s="76">
        <f t="shared" si="4"/>
        <v>5</v>
      </c>
      <c r="O39" s="77">
        <f t="shared" si="6"/>
        <v>5</v>
      </c>
      <c r="P39" s="77">
        <f t="shared" si="7"/>
        <v>18700</v>
      </c>
    </row>
    <row r="40" spans="1:16" x14ac:dyDescent="0.3">
      <c r="A40" s="71" t="s">
        <v>259</v>
      </c>
      <c r="B40" s="72" t="s">
        <v>223</v>
      </c>
      <c r="C40" s="72" t="s">
        <v>255</v>
      </c>
      <c r="D40" s="73">
        <v>3.84</v>
      </c>
      <c r="E40" s="73">
        <v>3</v>
      </c>
      <c r="F40" s="73">
        <v>7.9939999999999998</v>
      </c>
      <c r="G40" s="74">
        <f t="shared" si="0"/>
        <v>7.8383671769061696</v>
      </c>
      <c r="H40" s="75">
        <v>12</v>
      </c>
      <c r="I40" s="76">
        <f t="shared" si="1"/>
        <v>46.08</v>
      </c>
      <c r="J40" s="77">
        <f t="shared" si="5"/>
        <v>91</v>
      </c>
      <c r="K40" s="77">
        <f t="shared" si="2"/>
        <v>100</v>
      </c>
      <c r="L40" s="75">
        <v>47</v>
      </c>
      <c r="M40" s="76">
        <f t="shared" si="3"/>
        <v>1</v>
      </c>
      <c r="N40" s="76">
        <f t="shared" si="4"/>
        <v>3</v>
      </c>
      <c r="O40" s="77">
        <f t="shared" si="6"/>
        <v>1</v>
      </c>
      <c r="P40" s="77">
        <f t="shared" si="7"/>
        <v>3740</v>
      </c>
    </row>
    <row r="41" spans="1:16" x14ac:dyDescent="0.3">
      <c r="A41" s="71" t="s">
        <v>260</v>
      </c>
      <c r="B41" s="72" t="s">
        <v>261</v>
      </c>
      <c r="C41" s="72" t="s">
        <v>262</v>
      </c>
      <c r="D41" s="73">
        <v>19.690000000000001</v>
      </c>
      <c r="E41" s="73">
        <v>3</v>
      </c>
      <c r="F41" s="73">
        <v>19.626999999999999</v>
      </c>
      <c r="G41" s="74">
        <f t="shared" si="0"/>
        <v>17.749366185867032</v>
      </c>
      <c r="H41" s="75">
        <v>12</v>
      </c>
      <c r="I41" s="76">
        <f t="shared" si="1"/>
        <v>236.28000000000003</v>
      </c>
      <c r="J41" s="77">
        <f t="shared" si="5"/>
        <v>254.8</v>
      </c>
      <c r="K41" s="77">
        <f t="shared" si="2"/>
        <v>280</v>
      </c>
      <c r="L41" s="75">
        <v>47</v>
      </c>
      <c r="M41" s="76">
        <f t="shared" si="3"/>
        <v>6</v>
      </c>
      <c r="N41" s="76">
        <f t="shared" si="4"/>
        <v>6</v>
      </c>
      <c r="O41" s="77">
        <f t="shared" si="6"/>
        <v>5</v>
      </c>
      <c r="P41" s="77">
        <f t="shared" si="7"/>
        <v>18700</v>
      </c>
    </row>
    <row r="42" spans="1:16" x14ac:dyDescent="0.3">
      <c r="A42" s="71" t="s">
        <v>263</v>
      </c>
      <c r="B42" s="72" t="s">
        <v>264</v>
      </c>
      <c r="C42" s="72" t="s">
        <v>265</v>
      </c>
      <c r="D42" s="73">
        <v>19.79</v>
      </c>
      <c r="E42" s="73">
        <v>3</v>
      </c>
      <c r="F42" s="73">
        <v>19.312000000000001</v>
      </c>
      <c r="G42" s="74">
        <f t="shared" si="0"/>
        <v>17.794381135628178</v>
      </c>
      <c r="H42" s="75">
        <v>12</v>
      </c>
      <c r="I42" s="76">
        <f t="shared" si="1"/>
        <v>237.48</v>
      </c>
      <c r="J42" s="77">
        <f t="shared" si="5"/>
        <v>254.8</v>
      </c>
      <c r="K42" s="77">
        <f t="shared" si="2"/>
        <v>280</v>
      </c>
      <c r="L42" s="75">
        <v>47</v>
      </c>
      <c r="M42" s="76">
        <f t="shared" si="3"/>
        <v>6</v>
      </c>
      <c r="N42" s="76">
        <f t="shared" si="4"/>
        <v>6</v>
      </c>
      <c r="O42" s="77">
        <f t="shared" si="6"/>
        <v>5</v>
      </c>
      <c r="P42" s="77">
        <f t="shared" si="7"/>
        <v>18700</v>
      </c>
    </row>
    <row r="43" spans="1:16" x14ac:dyDescent="0.3">
      <c r="A43" s="71" t="s">
        <v>266</v>
      </c>
      <c r="B43" s="72" t="s">
        <v>183</v>
      </c>
      <c r="C43" s="72" t="s">
        <v>184</v>
      </c>
      <c r="D43" s="73">
        <v>9.9</v>
      </c>
      <c r="E43" s="73">
        <v>3</v>
      </c>
      <c r="F43" s="73">
        <v>12.318</v>
      </c>
      <c r="G43" s="74">
        <f t="shared" si="0"/>
        <v>12.58570617804182</v>
      </c>
      <c r="H43" s="75">
        <v>12</v>
      </c>
      <c r="I43" s="76">
        <f t="shared" si="1"/>
        <v>118.80000000000001</v>
      </c>
      <c r="J43" s="77">
        <f t="shared" si="5"/>
        <v>91</v>
      </c>
      <c r="K43" s="77">
        <f t="shared" si="2"/>
        <v>100</v>
      </c>
      <c r="L43" s="75">
        <v>25</v>
      </c>
      <c r="M43" s="76">
        <f t="shared" si="3"/>
        <v>5</v>
      </c>
      <c r="N43" s="76">
        <f t="shared" si="4"/>
        <v>4</v>
      </c>
      <c r="O43" s="77">
        <f t="shared" si="6"/>
        <v>3</v>
      </c>
      <c r="P43" s="77">
        <f t="shared" si="7"/>
        <v>11220</v>
      </c>
    </row>
    <row r="44" spans="1:16" x14ac:dyDescent="0.3">
      <c r="A44" s="71" t="s">
        <v>267</v>
      </c>
      <c r="B44" s="72" t="s">
        <v>268</v>
      </c>
      <c r="C44" s="72" t="s">
        <v>269</v>
      </c>
      <c r="D44" s="73">
        <v>19.14</v>
      </c>
      <c r="E44" s="73">
        <v>3</v>
      </c>
      <c r="F44" s="73">
        <v>20.614000000000001</v>
      </c>
      <c r="G44" s="74">
        <f t="shared" si="0"/>
        <v>17.499714283381888</v>
      </c>
      <c r="H44" s="75">
        <v>12</v>
      </c>
      <c r="I44" s="76">
        <f t="shared" si="1"/>
        <v>229.68</v>
      </c>
      <c r="J44" s="77">
        <f t="shared" si="5"/>
        <v>254.8</v>
      </c>
      <c r="K44" s="77">
        <f t="shared" si="2"/>
        <v>280</v>
      </c>
      <c r="L44" s="75">
        <v>47</v>
      </c>
      <c r="M44" s="76">
        <f t="shared" si="3"/>
        <v>5</v>
      </c>
      <c r="N44" s="76">
        <f t="shared" si="4"/>
        <v>6</v>
      </c>
      <c r="O44" s="77">
        <f t="shared" si="6"/>
        <v>5</v>
      </c>
      <c r="P44" s="77">
        <f t="shared" si="7"/>
        <v>18700</v>
      </c>
    </row>
    <row r="45" spans="1:16" x14ac:dyDescent="0.3">
      <c r="A45" s="71" t="s">
        <v>270</v>
      </c>
      <c r="B45" s="72" t="s">
        <v>211</v>
      </c>
      <c r="C45" s="72" t="s">
        <v>212</v>
      </c>
      <c r="D45" s="73">
        <v>36.700000000000003</v>
      </c>
      <c r="E45" s="73">
        <v>3</v>
      </c>
      <c r="F45" s="73">
        <v>42.78</v>
      </c>
      <c r="G45" s="74">
        <f t="shared" si="0"/>
        <v>24.232209969377536</v>
      </c>
      <c r="H45" s="75">
        <v>12</v>
      </c>
      <c r="I45" s="76">
        <f t="shared" si="1"/>
        <v>440.40000000000003</v>
      </c>
      <c r="J45" s="77">
        <f t="shared" si="5"/>
        <v>473.2</v>
      </c>
      <c r="K45" s="77">
        <f t="shared" si="2"/>
        <v>520</v>
      </c>
      <c r="L45" s="75">
        <v>47</v>
      </c>
      <c r="M45" s="76">
        <f t="shared" si="3"/>
        <v>10</v>
      </c>
      <c r="N45" s="76">
        <f t="shared" si="4"/>
        <v>12</v>
      </c>
      <c r="O45" s="77">
        <f t="shared" si="6"/>
        <v>12</v>
      </c>
      <c r="P45" s="77">
        <f t="shared" si="7"/>
        <v>44880</v>
      </c>
    </row>
    <row r="46" spans="1:16" x14ac:dyDescent="0.3">
      <c r="A46" s="71" t="s">
        <v>271</v>
      </c>
      <c r="B46" s="72" t="s">
        <v>272</v>
      </c>
      <c r="C46" s="72" t="s">
        <v>273</v>
      </c>
      <c r="D46" s="73">
        <v>12.28</v>
      </c>
      <c r="E46" s="73">
        <v>3</v>
      </c>
      <c r="F46" s="73">
        <v>14.628</v>
      </c>
      <c r="G46" s="74">
        <f t="shared" si="0"/>
        <v>14.017132374348185</v>
      </c>
      <c r="H46" s="75">
        <v>12</v>
      </c>
      <c r="I46" s="76">
        <f t="shared" si="1"/>
        <v>147.35999999999999</v>
      </c>
      <c r="J46" s="77">
        <f t="shared" si="5"/>
        <v>145.6</v>
      </c>
      <c r="K46" s="77">
        <f t="shared" si="2"/>
        <v>160</v>
      </c>
      <c r="L46" s="75">
        <v>47</v>
      </c>
      <c r="M46" s="76">
        <f t="shared" si="3"/>
        <v>4</v>
      </c>
      <c r="N46" s="76">
        <f t="shared" si="4"/>
        <v>4</v>
      </c>
      <c r="O46" s="77">
        <f t="shared" si="6"/>
        <v>4</v>
      </c>
      <c r="P46" s="77">
        <f t="shared" si="7"/>
        <v>14960</v>
      </c>
    </row>
    <row r="47" spans="1:16" x14ac:dyDescent="0.3">
      <c r="A47" s="71" t="s">
        <v>274</v>
      </c>
      <c r="B47" s="72" t="s">
        <v>275</v>
      </c>
      <c r="C47" s="72" t="s">
        <v>276</v>
      </c>
      <c r="D47" s="73">
        <v>13.12</v>
      </c>
      <c r="E47" s="73">
        <v>3</v>
      </c>
      <c r="F47" s="73">
        <v>15</v>
      </c>
      <c r="G47" s="74">
        <f t="shared" si="0"/>
        <v>14.488616221019866</v>
      </c>
      <c r="H47" s="75">
        <v>12</v>
      </c>
      <c r="I47" s="76">
        <f t="shared" si="1"/>
        <v>157.44</v>
      </c>
      <c r="J47" s="77">
        <f t="shared" si="5"/>
        <v>145.6</v>
      </c>
      <c r="K47" s="77">
        <f t="shared" si="2"/>
        <v>160</v>
      </c>
      <c r="L47" s="75">
        <v>47</v>
      </c>
      <c r="M47" s="76">
        <f t="shared" si="3"/>
        <v>4</v>
      </c>
      <c r="N47" s="76">
        <f t="shared" si="4"/>
        <v>4</v>
      </c>
      <c r="O47" s="77">
        <f t="shared" si="6"/>
        <v>4</v>
      </c>
      <c r="P47" s="77">
        <f t="shared" si="7"/>
        <v>14960</v>
      </c>
    </row>
    <row r="48" spans="1:16" x14ac:dyDescent="0.3">
      <c r="A48" s="71" t="s">
        <v>277</v>
      </c>
      <c r="B48" s="72" t="s">
        <v>278</v>
      </c>
      <c r="C48" s="72" t="s">
        <v>279</v>
      </c>
      <c r="D48" s="73">
        <v>6.74</v>
      </c>
      <c r="E48" s="73">
        <v>3</v>
      </c>
      <c r="F48" s="73">
        <v>10.416</v>
      </c>
      <c r="G48" s="74">
        <f t="shared" si="0"/>
        <v>10.384603988597735</v>
      </c>
      <c r="H48" s="75">
        <v>12</v>
      </c>
      <c r="I48" s="76">
        <f t="shared" si="1"/>
        <v>80.88</v>
      </c>
      <c r="J48" s="77">
        <f t="shared" si="5"/>
        <v>91</v>
      </c>
      <c r="K48" s="77">
        <f t="shared" si="2"/>
        <v>100</v>
      </c>
      <c r="L48" s="75">
        <v>47</v>
      </c>
      <c r="M48" s="76">
        <f t="shared" si="3"/>
        <v>2</v>
      </c>
      <c r="N48" s="76">
        <f t="shared" si="4"/>
        <v>3</v>
      </c>
      <c r="O48" s="77">
        <f t="shared" si="6"/>
        <v>2</v>
      </c>
      <c r="P48" s="77">
        <f t="shared" si="7"/>
        <v>7480</v>
      </c>
    </row>
    <row r="49" spans="1:18" x14ac:dyDescent="0.3">
      <c r="A49" s="71" t="s">
        <v>280</v>
      </c>
      <c r="B49" s="72" t="s">
        <v>281</v>
      </c>
      <c r="C49" s="72" t="s">
        <v>282</v>
      </c>
      <c r="D49" s="73">
        <v>9.31</v>
      </c>
      <c r="E49" s="73">
        <v>3</v>
      </c>
      <c r="F49" s="73">
        <v>12.545</v>
      </c>
      <c r="G49" s="74">
        <f t="shared" si="0"/>
        <v>12.204917041913886</v>
      </c>
      <c r="H49" s="75">
        <v>12</v>
      </c>
      <c r="I49" s="76">
        <f t="shared" si="1"/>
        <v>111.72</v>
      </c>
      <c r="J49" s="77">
        <f t="shared" si="5"/>
        <v>91</v>
      </c>
      <c r="K49" s="77">
        <f t="shared" si="2"/>
        <v>100</v>
      </c>
      <c r="L49" s="75">
        <v>47</v>
      </c>
      <c r="M49" s="76">
        <f t="shared" si="3"/>
        <v>3</v>
      </c>
      <c r="N49" s="76">
        <f t="shared" si="4"/>
        <v>3</v>
      </c>
      <c r="O49" s="77">
        <f t="shared" si="6"/>
        <v>3</v>
      </c>
      <c r="P49" s="77">
        <f t="shared" si="7"/>
        <v>11220</v>
      </c>
    </row>
    <row r="50" spans="1:18" x14ac:dyDescent="0.3">
      <c r="A50" s="71" t="s">
        <v>283</v>
      </c>
      <c r="B50" s="72"/>
      <c r="C50" s="72" t="s">
        <v>181</v>
      </c>
      <c r="D50" s="73">
        <v>55.29</v>
      </c>
      <c r="E50" s="73">
        <v>3.95</v>
      </c>
      <c r="F50" s="73">
        <v>30.777000000000001</v>
      </c>
      <c r="G50" s="74">
        <f t="shared" si="0"/>
        <v>29.742898312034086</v>
      </c>
      <c r="H50" s="75">
        <v>12</v>
      </c>
      <c r="I50" s="76">
        <f t="shared" si="1"/>
        <v>663.48</v>
      </c>
      <c r="J50" s="77">
        <f t="shared" si="5"/>
        <v>746.2</v>
      </c>
      <c r="K50" s="77">
        <f t="shared" si="2"/>
        <v>820</v>
      </c>
      <c r="L50" s="75">
        <v>47</v>
      </c>
      <c r="M50" s="76">
        <f t="shared" si="3"/>
        <v>15</v>
      </c>
      <c r="N50" s="76">
        <f t="shared" si="4"/>
        <v>18</v>
      </c>
      <c r="O50" s="77">
        <f t="shared" si="6"/>
        <v>8</v>
      </c>
      <c r="P50" s="77">
        <f t="shared" si="7"/>
        <v>29920</v>
      </c>
    </row>
    <row r="51" spans="1:18" s="84" customFormat="1" x14ac:dyDescent="0.3">
      <c r="A51" s="83" t="s">
        <v>2</v>
      </c>
      <c r="B51" s="83" t="s">
        <v>2</v>
      </c>
      <c r="C51" s="83" t="s">
        <v>2</v>
      </c>
      <c r="D51" s="85">
        <f>SUM(D3:D50)</f>
        <v>1177.06</v>
      </c>
      <c r="E51" s="83" t="s">
        <v>2</v>
      </c>
      <c r="F51" s="85">
        <f>SUM(F3:F50)</f>
        <v>962.35599999999999</v>
      </c>
      <c r="G51" s="83" t="s">
        <v>2</v>
      </c>
      <c r="H51" s="83" t="s">
        <v>2</v>
      </c>
      <c r="I51" s="81">
        <f>(SUM(I3:I50))/1000</f>
        <v>14.124720000000002</v>
      </c>
      <c r="J51" s="82">
        <f>(SUM(J3:J50))/1000</f>
        <v>15.842000000000002</v>
      </c>
      <c r="K51" s="82">
        <f>(SUM(K3:K50))/1000</f>
        <v>17.399999999999999</v>
      </c>
      <c r="L51" s="83" t="s">
        <v>2</v>
      </c>
      <c r="M51" s="81">
        <f>SUM(M3:M50)</f>
        <v>392</v>
      </c>
      <c r="N51" s="81">
        <f>SUM(N3:N50)</f>
        <v>480</v>
      </c>
      <c r="O51" s="81">
        <f>SUM(O3:O50)</f>
        <v>240</v>
      </c>
      <c r="P51" s="81">
        <f>SUM(P3:P50)/1000</f>
        <v>897.6</v>
      </c>
    </row>
    <row r="52" spans="1:18" x14ac:dyDescent="0.3">
      <c r="P52" s="84" t="s">
        <v>19</v>
      </c>
    </row>
    <row r="54" spans="1:18" x14ac:dyDescent="0.3">
      <c r="J54" s="80"/>
      <c r="O54" s="80"/>
      <c r="P54" s="79">
        <f>P51*Q54*Q55</f>
        <v>89.76</v>
      </c>
      <c r="Q54" s="79">
        <v>0.25</v>
      </c>
      <c r="R54" s="79" t="s">
        <v>313</v>
      </c>
    </row>
    <row r="55" spans="1:18" x14ac:dyDescent="0.3">
      <c r="Q55" s="79">
        <v>0.4</v>
      </c>
      <c r="R55" s="79" t="s">
        <v>312</v>
      </c>
    </row>
  </sheetData>
  <autoFilter ref="A2:R52" xr:uid="{7BC59DE7-EE0B-4499-9955-07D4CB072F2C}"/>
  <mergeCells count="2">
    <mergeCell ref="E1:E2"/>
    <mergeCell ref="H1:H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7F847-63AD-4EB7-8B5C-9C5B32BC7EBD}">
  <dimension ref="A1:G10"/>
  <sheetViews>
    <sheetView workbookViewId="0">
      <selection activeCell="A34" sqref="A34:D34"/>
    </sheetView>
  </sheetViews>
  <sheetFormatPr defaultRowHeight="13.2" x14ac:dyDescent="0.25"/>
  <cols>
    <col min="1" max="1" width="42.33203125" customWidth="1"/>
    <col min="5" max="5" width="31.33203125" bestFit="1" customWidth="1"/>
  </cols>
  <sheetData>
    <row r="1" spans="1:7" x14ac:dyDescent="0.25">
      <c r="A1" s="22" t="s">
        <v>298</v>
      </c>
      <c r="B1" s="37">
        <v>6</v>
      </c>
      <c r="C1" s="22" t="s">
        <v>130</v>
      </c>
      <c r="D1" s="37">
        <v>1</v>
      </c>
      <c r="E1" s="22" t="s">
        <v>299</v>
      </c>
      <c r="F1" s="22" t="s">
        <v>2</v>
      </c>
      <c r="G1" s="22" t="s">
        <v>2</v>
      </c>
    </row>
    <row r="2" spans="1:7" x14ac:dyDescent="0.25">
      <c r="A2" s="22" t="s">
        <v>300</v>
      </c>
      <c r="B2" s="37">
        <v>6</v>
      </c>
      <c r="C2" s="22" t="s">
        <v>130</v>
      </c>
      <c r="D2" s="37">
        <v>1</v>
      </c>
      <c r="E2" s="22" t="s">
        <v>301</v>
      </c>
      <c r="F2" s="37">
        <v>5</v>
      </c>
      <c r="G2" s="22" t="s">
        <v>156</v>
      </c>
    </row>
    <row r="3" spans="1:7" x14ac:dyDescent="0.25">
      <c r="A3" s="22" t="s">
        <v>302</v>
      </c>
      <c r="B3" s="22" t="s">
        <v>2</v>
      </c>
      <c r="C3" s="22" t="s">
        <v>2</v>
      </c>
      <c r="D3" s="37">
        <v>1</v>
      </c>
      <c r="E3" s="22" t="s">
        <v>301</v>
      </c>
      <c r="F3" s="37">
        <v>3.5</v>
      </c>
      <c r="G3" s="22" t="s">
        <v>156</v>
      </c>
    </row>
    <row r="4" spans="1:7" x14ac:dyDescent="0.25">
      <c r="A4" s="22" t="s">
        <v>303</v>
      </c>
      <c r="B4" s="22" t="s">
        <v>2</v>
      </c>
      <c r="C4" s="22" t="s">
        <v>2</v>
      </c>
      <c r="D4" s="37">
        <v>1</v>
      </c>
      <c r="E4" s="22" t="s">
        <v>304</v>
      </c>
      <c r="F4" s="22" t="s">
        <v>2</v>
      </c>
      <c r="G4" s="22" t="s">
        <v>2</v>
      </c>
    </row>
    <row r="5" spans="1:7" x14ac:dyDescent="0.25">
      <c r="A5" s="22" t="s">
        <v>305</v>
      </c>
      <c r="B5" s="22" t="s">
        <v>2</v>
      </c>
      <c r="C5" s="22" t="s">
        <v>2</v>
      </c>
      <c r="D5" s="37">
        <v>1</v>
      </c>
      <c r="E5" s="22" t="s">
        <v>306</v>
      </c>
      <c r="F5" s="22" t="s">
        <v>2</v>
      </c>
      <c r="G5" s="22" t="s">
        <v>2</v>
      </c>
    </row>
    <row r="6" spans="1:7" x14ac:dyDescent="0.25">
      <c r="A6" s="22" t="s">
        <v>307</v>
      </c>
      <c r="B6" s="22" t="s">
        <v>2</v>
      </c>
      <c r="C6" s="22" t="s">
        <v>2</v>
      </c>
      <c r="D6" s="37">
        <v>1</v>
      </c>
      <c r="E6" s="22" t="s">
        <v>308</v>
      </c>
      <c r="F6" s="22" t="s">
        <v>2</v>
      </c>
      <c r="G6" s="22" t="s">
        <v>2</v>
      </c>
    </row>
    <row r="7" spans="1:7" x14ac:dyDescent="0.25">
      <c r="A7" s="37"/>
      <c r="B7" s="37"/>
      <c r="C7" s="22" t="s">
        <v>297</v>
      </c>
      <c r="D7" s="37"/>
      <c r="E7" s="37"/>
      <c r="F7" s="37"/>
      <c r="G7" s="37"/>
    </row>
    <row r="8" spans="1:7" x14ac:dyDescent="0.25">
      <c r="A8" s="37"/>
      <c r="B8" s="37"/>
      <c r="C8" s="37"/>
      <c r="D8" s="37"/>
      <c r="E8" s="37"/>
      <c r="F8" s="37"/>
      <c r="G8" s="37"/>
    </row>
    <row r="9" spans="1:7" x14ac:dyDescent="0.25">
      <c r="A9" s="37"/>
      <c r="B9" s="37"/>
      <c r="C9" s="37"/>
      <c r="D9" s="37"/>
      <c r="E9" s="37"/>
      <c r="F9" s="37"/>
      <c r="G9" s="37"/>
    </row>
    <row r="10" spans="1:7" x14ac:dyDescent="0.25">
      <c r="A10" s="37"/>
      <c r="B10" s="37"/>
      <c r="C10" s="37"/>
      <c r="D10" s="37"/>
      <c r="E10" s="37"/>
      <c r="F10" s="37"/>
      <c r="G10" s="37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A6EF274AE796B4AA820B8CB6E63380A" ma:contentTypeVersion="0" ma:contentTypeDescription="Crie um novo documento." ma:contentTypeScope="" ma:versionID="bc610122d1b1703478ff2e4af46c5d47">
  <xsd:schema xmlns:xsd="http://www.w3.org/2001/XMLSchema" xmlns:p="http://schemas.microsoft.com/office/2006/metadata/properties" targetNamespace="http://schemas.microsoft.com/office/2006/metadata/properties" ma:root="true" ma:fieldsID="834597303d62dd03ddcd59f56325a213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 ma:readOnly="true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Props1.xml><?xml version="1.0" encoding="utf-8"?>
<ds:datastoreItem xmlns:ds="http://schemas.openxmlformats.org/officeDocument/2006/customXml" ds:itemID="{24CC3F72-1394-4697-800D-98CC592A37A6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dcmitype/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728169DA-0B48-4C94-92DC-822AA51FB24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8A28900-C2DD-4449-8458-EEAF09CE765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13</vt:i4>
      </vt:variant>
      <vt:variant>
        <vt:lpstr>Intervalos Nomeados</vt:lpstr>
      </vt:variant>
      <vt:variant>
        <vt:i4>8</vt:i4>
      </vt:variant>
    </vt:vector>
  </HeadingPairs>
  <TitlesOfParts>
    <vt:vector size="21" baseType="lpstr">
      <vt:lpstr>Capa</vt:lpstr>
      <vt:lpstr>Referências e Notas</vt:lpstr>
      <vt:lpstr>Lista de Cargas</vt:lpstr>
      <vt:lpstr>Lista de Carga</vt:lpstr>
      <vt:lpstr>Resumo LC</vt:lpstr>
      <vt:lpstr>Lista de Equipamentos</vt:lpstr>
      <vt:lpstr>motor</vt:lpstr>
      <vt:lpstr>partida</vt:lpstr>
      <vt:lpstr>TOMADAS</vt:lpstr>
      <vt:lpstr>PAINEL</vt:lpstr>
      <vt:lpstr>custo-cabos</vt:lpstr>
      <vt:lpstr>mc-ilum</vt:lpstr>
      <vt:lpstr>TUG-resid</vt:lpstr>
      <vt:lpstr>Capa!Area_de_impressao</vt:lpstr>
      <vt:lpstr>'Lista de Carga'!Area_de_impressao</vt:lpstr>
      <vt:lpstr>'Lista de Cargas'!Area_de_impressao</vt:lpstr>
      <vt:lpstr>'Lista de Equipamentos'!Area_de_impressao</vt:lpstr>
      <vt:lpstr>Capa!Titulos_de_impressao</vt:lpstr>
      <vt:lpstr>'Lista de Carga'!Titulos_de_impressao</vt:lpstr>
      <vt:lpstr>'Lista de Cargas'!Titulos_de_impressao</vt:lpstr>
      <vt:lpstr>'Lista de Equipamentos'!Titulos_de_impressao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Emerson  Albertini</dc:creator>
  <cp:lastModifiedBy>Emerson Albertini</cp:lastModifiedBy>
  <cp:revision>3</cp:revision>
  <cp:lastPrinted>2025-10-01T02:14:13Z</cp:lastPrinted>
  <dcterms:created xsi:type="dcterms:W3CDTF">2000-02-23T16:59:26Z</dcterms:created>
  <dcterms:modified xsi:type="dcterms:W3CDTF">2025-10-01T02:15:08Z</dcterms:modified>
</cp:coreProperties>
</file>